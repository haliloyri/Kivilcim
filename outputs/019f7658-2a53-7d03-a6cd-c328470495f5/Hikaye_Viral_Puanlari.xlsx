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17a6c4e7884f9c" /></Relationships>
</file>

<file path=xl/workbook.xml><?xml version="1.0" encoding="utf-8"?>
<x:workbook xmlns:x="http://schemas.openxmlformats.org/spreadsheetml/2006/main">
  <x:sheets>
    <x:sheet xmlns:r="http://schemas.openxmlformats.org/officeDocument/2006/relationships" name="Özet" sheetId="1" r:id="Rcafc772d81cd4516"/>
    <x:sheet xmlns:r="http://schemas.openxmlformats.org/officeDocument/2006/relationships" name="Tüm Hikâyeler" sheetId="2" r:id="R44badffdefac4046"/>
    <x:sheet xmlns:r="http://schemas.openxmlformats.org/officeDocument/2006/relationships" name="Rubrik" sheetId="3" r:id="Rb6e82759174d4144"/>
    <x:sheet xmlns:r="http://schemas.openxmlformats.org/officeDocument/2006/relationships" name="Kaynak Metin" sheetId="4" r:id="Rffe68457d33a4ac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7">
    <x:font>
      <x:sz val="11"/>
      <x:name val="Carlito"/>
    </x:font>
    <x:font>
      <x:b/>
      <x:sz val="18"/>
      <x:color rgb="FFFFFFFF"/>
      <x:name val="Carlito"/>
    </x:font>
    <x:font>
      <x:i/>
      <x:sz val="11"/>
      <x:color rgb="FF6B7280"/>
      <x:name val="Carlito"/>
    </x:font>
    <x:font>
      <x:b/>
      <x:sz val="11"/>
      <x:color rgb="FF142A4A"/>
      <x:name val="Carlito"/>
    </x:font>
    <x:font>
      <x:b/>
      <x:sz val="11"/>
      <x:color rgb="FFFFFFFF"/>
      <x:name val="Carlito"/>
    </x:font>
    <x:font>
      <x:b/>
      <x:sz val="20"/>
      <x:color rgb="FFFFFFFF"/>
      <x:name val="Carlito"/>
    </x:font>
    <x:font>
      <x:b/>
      <x:sz val="18"/>
      <x:color rgb="FF142A4A"/>
      <x:name val="Carlito"/>
    </x:font>
  </x:fonts>
  <x:fills count="9">
    <x:fill>
      <x:patternFill patternType="none"/>
    </x:fill>
    <x:fill>
      <x:patternFill patternType="gray125"/>
    </x:fill>
    <x:fill>
      <x:patternFill patternType="solid">
        <x:fgColor rgb="FF142A4A"/>
      </x:patternFill>
    </x:fill>
    <x:fill>
      <x:patternFill patternType="solid">
        <x:fgColor rgb="FFFAF8F3"/>
      </x:patternFill>
    </x:fill>
    <x:fill>
      <x:patternFill patternType="solid">
        <x:fgColor rgb="FFD9E2EC"/>
      </x:patternFill>
    </x:fill>
    <x:fill>
      <x:patternFill patternType="solid">
        <x:fgColor rgb="FFFFF4D6"/>
      </x:patternFill>
    </x:fill>
    <x:fill>
      <x:patternFill patternType="solid">
        <x:fgColor rgb="FFE5C27A"/>
      </x:patternFill>
    </x:fill>
    <x:fill>
      <x:patternFill patternType="solid">
        <x:fgColor rgb="FF2C4A73"/>
      </x:patternFill>
    </x:fill>
    <x:fill>
      <x:patternFill patternType="solid">
        <x:fgColor rgb="FFFFFDF9"/>
      </x:patternFill>
    </x:fill>
  </x:fills>
  <x:borders count="9">
    <x:border/>
    <x:border>
      <x:bottom style="double">
        <x:color rgb="FF142A4A"/>
      </x:bottom>
    </x:border>
    <x:border>
      <x:bottom style="thin">
        <x:color rgb="FFE7DFD4"/>
      </x:bottom>
    </x:border>
    <x:border>
      <x:top style="thin">
        <x:color rgb="FFE7DFD4"/>
      </x:top>
      <x:bottom style="thin">
        <x:color rgb="FFE7DFD4"/>
      </x:bottom>
    </x:border>
    <x:border>
      <x:bottom style="thin">
        <x:color rgb="FFF0ECE5"/>
      </x:bottom>
    </x:border>
    <x:border>
      <x:top style="thin">
        <x:color rgb="FFF0ECE5"/>
      </x:top>
      <x:bottom style="thin">
        <x:color rgb="FFF0ECE5"/>
      </x:bottom>
    </x:border>
    <x:border>
      <x:top style="thin">
        <x:color rgb="FFF0ECE5"/>
      </x:top>
    </x:border>
    <x:border>
      <x:left style="thin">
        <x:color rgb="FFE7DFD4"/>
      </x:left>
      <x:right style="thin">
        <x:color rgb="FFE7DFD4"/>
      </x:right>
      <x:top style="thin">
        <x:color rgb="FFE7DFD4"/>
      </x:top>
      <x:bottom style="thin">
        <x:color rgb="FFE7DFD4"/>
      </x:bottom>
    </x:border>
    <x:border>
      <x:top style="thin">
        <x:color rgb="FFE7DFD4"/>
      </x:top>
    </x:border>
  </x:borders>
  <x:cellStyleXfs count="1">
    <x:xf numFmtId="0" fontId="0" fillId="0" borderId="0"/>
  </x:cellStyleXfs>
  <x:cellXfs count="7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3" fillId="5" borderId="0" xfId="0" applyNumberFormat="1" applyFont="1" applyFill="1" applyBorder="1"/>
    <x:xf numFmtId="200" fontId="3"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4" fillId="7" borderId="0" xfId="0" applyNumberFormat="1" applyFont="1" applyFill="1" applyBorder="1"/>
    <x:xf numFmtId="0" fontId="4" fillId="7" borderId="2" xfId="0" applyNumberFormat="1" applyFont="1" applyFill="1" applyBorder="1"/>
    <x:xf numFmtId="0" fontId="0" fillId="0" borderId="3" xfId="0" applyNumberFormat="1" applyFont="1" applyFill="1" applyBorder="1"/>
    <x:xf numFmtId="0" fontId="3" fillId="4" borderId="3" xfId="0" applyNumberFormat="1" applyFont="1" applyFill="1" applyBorder="1"/>
    <x:xf numFmtId="0" fontId="4" fillId="7" borderId="3" xfId="0" applyNumberFormat="1" applyFont="1" applyFill="1" applyBorder="1"/>
    <x:xf numFmtId="200" fontId="3" fillId="5" borderId="3" xfId="0" applyNumberFormat="1" applyFont="1" applyFill="1" applyBorder="1"/>
    <x:xf numFmtId="0" fontId="3" fillId="6" borderId="3"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7" borderId="2" xfId="0" applyNumberFormat="1" applyFont="1" applyFill="1" applyBorder="1" applyAlignment="1">
      <x:alignment wrapText="1"/>
    </x:xf>
    <x:xf numFmtId="0" fontId="0" fillId="0" borderId="3" xfId="0" applyNumberFormat="1" applyFont="1" applyFill="1" applyBorder="1" applyAlignment="1">
      <x:alignment wrapText="1"/>
    </x:xf>
    <x:xf numFmtId="0" fontId="3" fillId="4" borderId="3" xfId="0" applyNumberFormat="1" applyFont="1" applyFill="1" applyBorder="1" applyAlignment="1">
      <x:alignment wrapText="1"/>
    </x:xf>
    <x:xf numFmtId="0" fontId="3" fillId="6" borderId="3"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200" fontId="0" fillId="0" borderId="0" xfId="0" applyNumberFormat="1" applyFont="1" applyFill="1" applyBorder="1"/>
    <x:xf numFmtId="0" fontId="4" fillId="2" borderId="4" xfId="0" applyNumberFormat="1" applyFont="1" applyFill="1" applyBorder="1" applyAlignment="1">
      <x:alignment vertical="center" wrapText="1"/>
    </x:xf>
    <x:xf numFmtId="200" fontId="0" fillId="0" borderId="5" xfId="0" applyNumberFormat="1" applyFont="1" applyFill="1" applyBorder="1"/>
    <x:xf numFmtId="0" fontId="0" fillId="0" borderId="5" xfId="0" applyNumberFormat="1" applyFont="1" applyFill="1" applyBorder="1"/>
    <x:xf numFmtId="200" fontId="0" fillId="0" borderId="6" xfId="0" applyNumberFormat="1" applyFont="1" applyFill="1" applyBorder="1"/>
    <x:xf numFmtId="0" fontId="0" fillId="0" borderId="6" xfId="0" applyNumberFormat="1" applyFont="1" applyFill="1" applyBorder="1"/>
    <x:xf numFmtId="0" fontId="0" fillId="0" borderId="5" xfId="0" applyNumberFormat="1" applyFont="1" applyFill="1" applyBorder="1" applyAlignment="1">
      <x:alignment wrapText="0"/>
    </x:xf>
    <x:xf numFmtId="0" fontId="0" fillId="0" borderId="6" xfId="0" applyNumberFormat="1" applyFont="1" applyFill="1" applyBorder="1" applyAlignment="1">
      <x:alignment wrapText="0"/>
    </x:xf>
    <x:xf numFmtId="200" fontId="0" fillId="5" borderId="0" xfId="0" applyNumberFormat="1" applyFont="1" applyFill="1" applyBorder="1"/>
    <x:xf numFmtId="200" fontId="0" fillId="4" borderId="0" xfId="0" applyNumberFormat="1" applyFont="1" applyFill="1" applyBorder="1"/>
    <x:xf numFmtId="200" fontId="3" fillId="4" borderId="0" xfId="0" applyNumberFormat="1" applyFont="1" applyFill="1" applyBorder="1"/>
    <x:xf numFmtId="200" fontId="0" fillId="5" borderId="5" xfId="0" applyNumberFormat="1" applyFont="1" applyFill="1" applyBorder="1"/>
    <x:xf numFmtId="200" fontId="3" fillId="4" borderId="5" xfId="0" applyNumberFormat="1" applyFont="1" applyFill="1" applyBorder="1"/>
    <x:xf numFmtId="200" fontId="0" fillId="5" borderId="6" xfId="0" applyNumberFormat="1" applyFont="1" applyFill="1" applyBorder="1"/>
    <x:xf numFmtId="200" fontId="3" fillId="4" borderId="6"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200" fontId="0" fillId="0" borderId="5" xfId="0" applyNumberFormat="1" applyFont="1" applyFill="1" applyBorder="1" applyAlignment="1">
      <x:alignment horizontal="center"/>
    </x:xf>
    <x:xf numFmtId="200" fontId="0" fillId="0" borderId="6" xfId="0" applyNumberFormat="1" applyFont="1" applyFill="1" applyBorder="1" applyAlignment="1">
      <x:alignment horizontal="center"/>
    </x:xf>
    <x:xf numFmtId="0" fontId="0" fillId="0" borderId="5" xfId="0" applyNumberFormat="1" applyFont="1" applyFill="1" applyBorder="1" applyAlignment="1">
      <x:alignment horizontal="center"/>
    </x:xf>
    <x:xf numFmtId="200" fontId="0" fillId="5" borderId="5" xfId="0" applyNumberFormat="1" applyFont="1" applyFill="1" applyBorder="1" applyAlignment="1">
      <x:alignment horizontal="center"/>
    </x:xf>
    <x:xf numFmtId="200" fontId="3" fillId="4" borderId="5" xfId="0" applyNumberFormat="1" applyFont="1" applyFill="1" applyBorder="1" applyAlignment="1">
      <x:alignment horizontal="center"/>
    </x:xf>
    <x:xf numFmtId="0" fontId="0" fillId="0" borderId="6" xfId="0" applyNumberFormat="1" applyFont="1" applyFill="1" applyBorder="1" applyAlignment="1">
      <x:alignment horizontal="center"/>
    </x:xf>
    <x:xf numFmtId="200" fontId="0" fillId="5" borderId="6" xfId="0" applyNumberFormat="1" applyFont="1" applyFill="1" applyBorder="1" applyAlignment="1">
      <x:alignment horizontal="center"/>
    </x:xf>
    <x:xf numFmtId="200" fontId="3" fillId="4" borderId="6" xfId="0" applyNumberFormat="1" applyFont="1" applyFill="1" applyBorder="1" applyAlignment="1">
      <x:alignment horizontal="center"/>
    </x:xf>
    <x:xf numFmtId="0" fontId="5" fillId="2" borderId="0" xfId="0" applyNumberFormat="1" applyFont="1" applyFill="1" applyBorder="1"/>
    <x:xf numFmtId="0" fontId="5" fillId="2" borderId="0" xfId="0" applyNumberFormat="1" applyFont="1" applyFill="1" applyBorder="1" applyAlignment="1">
      <x:alignment vertical="center"/>
    </x:xf>
    <x:xf numFmtId="0" fontId="3" fillId="4" borderId="0" xfId="0" applyNumberFormat="1" applyFont="1" applyFill="1" applyBorder="1" applyAlignment="1">
      <x:alignment horizontal="center"/>
    </x:xf>
    <x:xf numFmtId="0" fontId="0" fillId="8" borderId="0" xfId="0" applyNumberFormat="1" applyFont="1" applyFill="1" applyBorder="1"/>
    <x:xf numFmtId="0" fontId="6" fillId="8" borderId="0" xfId="0" applyNumberFormat="1" applyFont="1" applyFill="1" applyBorder="1"/>
    <x:xf numFmtId="0" fontId="6" fillId="8" borderId="7" xfId="0" applyNumberFormat="1" applyFont="1" applyFill="1" applyBorder="1"/>
    <x:xf numFmtId="0" fontId="6" fillId="8" borderId="7" xfId="0" applyNumberFormat="1" applyFont="1" applyFill="1" applyBorder="1" applyAlignment="1">
      <x:alignment horizontal="center"/>
    </x:xf>
    <x:xf numFmtId="0" fontId="6" fillId="8" borderId="7" xfId="0" applyNumberFormat="1" applyFont="1" applyFill="1" applyBorder="1" applyAlignment="1">
      <x:alignment horizontal="center" vertical="center"/>
    </x:xf>
    <x:xf numFmtId="201" fontId="6" fillId="8" borderId="7" xfId="0" applyNumberFormat="1" applyFont="1" applyFill="1" applyBorder="1" applyAlignment="1">
      <x:alignment horizontal="center" vertical="center"/>
    </x:xf>
    <x:xf numFmtId="201" fontId="0" fillId="0" borderId="0" xfId="0" applyNumberFormat="1" applyFont="1" applyFill="1" applyBorder="1"/>
    <x:xf numFmtId="0" fontId="0" fillId="0" borderId="3" xfId="0" applyNumberFormat="1" applyFont="1" applyFill="1" applyBorder="1" applyAlignment="1">
      <x:alignment horizontal="center"/>
    </x:xf>
    <x:xf numFmtId="0" fontId="0" fillId="4" borderId="3" xfId="0" applyNumberFormat="1" applyFont="1" applyFill="1" applyBorder="1" applyAlignment="1">
      <x:alignment horizontal="center"/>
    </x:xf>
    <x:xf numFmtId="0" fontId="3" fillId="4" borderId="3" xfId="0" applyNumberFormat="1" applyFont="1" applyFill="1" applyBorder="1" applyAlignment="1">
      <x:alignment horizontal="center"/>
    </x:xf>
    <x:xf numFmtId="200" fontId="3" fillId="4" borderId="3" xfId="0" applyNumberFormat="1" applyFont="1" applyFill="1" applyBorder="1" applyAlignment="1">
      <x:alignment horizontal="center"/>
    </x:xf>
    <x:xf numFmtId="201" fontId="0" fillId="0" borderId="3" xfId="0" applyNumberFormat="1" applyFont="1" applyFill="1" applyBorder="1" applyAlignment="1">
      <x:alignment horizontal="center"/>
    </x:xf>
    <x:xf numFmtId="0" fontId="0" fillId="0" borderId="2" xfId="0" applyNumberFormat="1" applyFont="1" applyFill="1" applyBorder="1"/>
    <x:xf numFmtId="0" fontId="0" fillId="0" borderId="8" xfId="0" applyNumberFormat="1" applyFont="1" applyFill="1" applyBorder="1"/>
    <x:xf numFmtId="0" fontId="0" fillId="5" borderId="2" xfId="0" applyNumberFormat="1" applyFont="1" applyFill="1" applyBorder="1"/>
    <x:xf numFmtId="0" fontId="0" fillId="5" borderId="3"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2" xfId="0" applyNumberFormat="1" applyFont="1" applyFill="1" applyBorder="1" applyAlignment="1">
      <x:alignment horizontal="center"/>
    </x:xf>
    <x:xf numFmtId="0" fontId="3" fillId="5" borderId="3" xfId="0" applyNumberFormat="1" applyFont="1" applyFill="1" applyBorder="1" applyAlignment="1">
      <x:alignment horizontal="center"/>
    </x:xf>
  </x:cellXfs>
  <x:cellStyles count="1">
    <x:cellStyle name="Normal" xfId="0"/>
  </x:cellStyles>
  <x:dxfs count="2">
    <x:dxf>
      <x:font>
        <x:b/>
        <x:color rgb="FF3A5F3C"/>
      </x:font>
      <x:fill>
        <x:patternFill patternType="solid">
          <x:bgColor rgb="FFDDEED8"/>
        </x:patternFill>
      </x:fill>
    </x:dxf>
    <x:dxf>
      <x:font>
        <x:color rgb="FFB3261E"/>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2108a689dbc4b32" /><Relationship Type="http://schemas.openxmlformats.org/officeDocument/2006/relationships/theme" Target="/xl/theme/theme1.xml" Id="R445c9864ef2e4f16" /><Relationship Type="http://schemas.openxmlformats.org/officeDocument/2006/relationships/sharedStrings" Target="/xl/sharedStrings.xml" Id="Rd4437bc7cef640a2" /><Relationship Type="http://schemas.openxmlformats.org/officeDocument/2006/relationships/worksheet" Target="/xl/worksheets/sheet1.xml" Id="Rcafc772d81cd4516" /><Relationship Type="http://schemas.openxmlformats.org/officeDocument/2006/relationships/worksheet" Target="/xl/worksheets/sheet2.xml" Id="R44badffdefac4046" /><Relationship Type="http://schemas.openxmlformats.org/officeDocument/2006/relationships/worksheet" Target="/xl/worksheets/sheet3.xml" Id="Rb6e82759174d4144" /><Relationship Type="http://schemas.openxmlformats.org/officeDocument/2006/relationships/worksheet" Target="/xl/worksheets/sheet4.xml" Id="Rffe68457d33a4aca" /></Relationships>
</file>

<file path=xl/tables/table1.xml><?xml version="1.0" encoding="utf-8"?>
<x:table xmlns:x="http://schemas.openxmlformats.org/spreadsheetml/2006/main" id="2" name="StoryScoresTable" displayName="StoryScoresTable" ref="A1:V751" headerRowCount="1" totalsRowCount="0" totalsRowShown="0">
  <x:tableColumns count="22">
    <x:tableColumn id="1" name="Sıra"/>
    <x:tableColumn id="2" name="Story ID"/>
    <x:tableColumn id="3" name="Başlık"/>
    <x:tableColumn id="4" name="Ana Kategori"/>
    <x:tableColumn id="5" name="Alt Kategori"/>
    <x:tableColumn id="6" name="Kaynak Kitap"/>
    <x:tableColumn id="7" name="Yazar"/>
    <x:tableColumn id="8" name="Versiyon"/>
    <x:tableColumn id="9" name="Hazırlık"/>
    <x:tableColumn id="10" name="Dikkat /15"/>
    <x:tableColumn id="11" name="Duygu /10"/>
    <x:tableColumn id="12" name="Paylaşım /15"/>
    <x:tableColumn id="13" name="Kaydetme /15"/>
    <x:tableColumn id="14" name="Sesli Not /10"/>
    <x:tableColumn id="15" name="Akış /10"/>
    <x:tableColumn id="16" name="Video /20"/>
    <x:tableColumn id="17" name="Güven /5"/>
    <x:tableColumn id="18" name="Toplam /100"/>
    <x:tableColumn id="19" name="Karar"/>
    <x:tableColumn id="20" name="Önerilen Format"/>
    <x:tableColumn id="21" name="Kısa Değerlendirme"/>
    <x:tableColumn id="22" name="Doğruluk Notu"/>
  </x:tableColumns>
  <x:tableStyleInfo name="TableStyleMedium2" showFirstColumn="0" showLastColumn="0" showRowStripes="1" showColumnStripes="0"/>
</x:table>
</file>

<file path=xl/tables/table2.xml><?xml version="1.0" encoding="utf-8"?>
<x:table xmlns:x="http://schemas.openxmlformats.org/spreadsheetml/2006/main" id="1" name="SourceStoriesTable" displayName="SourceStoriesTable" ref="A1:O751" headerRowCount="1" totalsRowCount="0" totalsRowShown="0">
  <x:tableColumns count="15">
    <x:tableColumn id="1" name="Story ID"/>
    <x:tableColumn id="2" name="Versiyon"/>
    <x:tableColumn id="3" name="Ana Kategori"/>
    <x:tableColumn id="4" name="Alt Kategori"/>
    <x:tableColumn id="5" name="Kaynak Kitap"/>
    <x:tableColumn id="6" name="Yazar"/>
    <x:tableColumn id="7" name="Yayın Yılı"/>
    <x:tableColumn id="8" name="Başlık"/>
    <x:tableColumn id="9" name="Açıklama"/>
    <x:tableColumn id="10" name="Gövde"/>
    <x:tableColumn id="11" name="Hook"/>
    <x:tableColumn id="12" name="Punchline"/>
    <x:tableColumn id="13" name="30 Saniye"/>
    <x:tableColumn id="14" name="Soru"/>
    <x:tableColumn id="15" name="Ana Karşıtlı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786d9a3030046e5" /></Relationships>
</file>

<file path=xl/worksheets/_rels/sheet4.xml.rels>&#65279;<?xml version="1.0" encoding="utf-8"?><Relationships xmlns="http://schemas.openxmlformats.org/package/2006/relationships"><Relationship Type="http://schemas.openxmlformats.org/officeDocument/2006/relationships/table" Target="/xl/tables/table2.xml" Id="Rf23ea2e61f794889" /></Relationships>
</file>

<file path=xl/worksheets/sheet1.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46" hidden="0" customWidth="1"/>
    <x:col min="4" max="4" width="18" hidden="0" customWidth="1"/>
    <x:col min="5" max="5" width="12" hidden="0" customWidth="1"/>
    <x:col min="6" max="6" width="20" hidden="0" customWidth="1"/>
    <x:col min="7" max="7" width="18" hidden="0" customWidth="1"/>
    <x:col min="8" max="8" width="18" hidden="0" customWidth="1"/>
    <x:col min="9" max="9" width="18" hidden="0" customWidth="1"/>
    <x:col min="10" max="10" width="34" hidden="0" customWidth="1"/>
  </x:cols>
  <x:sheetData>
    <x:row r="1" ht="38" customHeight="1">
      <x:c r="A1" s="57" t="str">
        <x:v>Hikâye Sosyal Potansiyel Puanlaması</x:v>
      </x:c>
      <x:c r="B1" s="57"/>
      <x:c r="C1" s="57"/>
      <x:c r="D1" s="57"/>
      <x:c r="E1" s="57"/>
      <x:c r="F1" s="57"/>
      <x:c r="G1" s="57"/>
      <x:c r="H1" s="57"/>
      <x:c r="I1" s="57"/>
      <x:c r="J1" s="57"/>
    </x:row>
    <x:row r="2" ht="30" customHeight="1">
      <x:c r="A2" s="5" t="str">
        <x:v>Amaç: en çok dikkat çekecek, paylaşılacak, kaydedilecek ve sesli anlatılacak hikâyeleri video üretimi için önceliklendirmek.</x:v>
      </x:c>
      <x:c r="B2" s="5"/>
      <x:c r="C2" s="5"/>
      <x:c r="D2" s="5"/>
      <x:c r="E2" s="5"/>
      <x:c r="F2" s="5"/>
      <x:c r="G2" s="5"/>
      <x:c r="H2" s="5"/>
      <x:c r="I2" s="5"/>
      <x:c r="J2" s="5"/>
    </x:row>
    <x:row r="4">
      <x:c r="A4" s="58" t="str">
        <x:v>Toplam Hikâye</x:v>
      </x:c>
      <x:c r="B4" s="58" t="str"/>
      <x:c r="C4" s="58" t="str">
        <x:v>Ortalama Puan</x:v>
      </x:c>
      <x:c r="D4" s="58" t="str"/>
      <x:c r="E4" s="58" t="str">
        <x:v>90+ Aday</x:v>
      </x:c>
      <x:c r="F4" s="58" t="str"/>
      <x:c r="G4" s="58" t="str">
        <x:v>85+ Aday</x:v>
      </x:c>
      <x:c r="H4" s="58" t="str"/>
      <x:c r="I4" s="58" t="str">
        <x:v>Zengin İçerik</x:v>
      </x:c>
      <x:c r="J4" s="58" t="str"/>
    </x:row>
    <x:row r="5" ht="34" customHeight="1">
      <x:c r="A5" s="63" t="n">
        <x:f>COUNTA('Tüm Hikâyeler'!$B$2:$B$751)</x:f>
        <x:v>750</x:v>
      </x:c>
      <x:c r="C5" s="64" t="n">
        <x:f>AVERAGE('Tüm Hikâyeler'!$R$2:$R$751)</x:f>
        <x:v>76.10266666666666</x:v>
      </x:c>
      <x:c r="D5" s="65"/>
      <x:c r="E5" s="63" t="n">
        <x:f>COUNTIF('Tüm Hikâyeler'!$R$2:$R$751,"&gt;=90")</x:f>
        <x:v>27</x:v>
      </x:c>
      <x:c r="G5" s="63" t="n">
        <x:f>COUNTIF('Tüm Hikâyeler'!$R$2:$R$751,"&gt;=85")</x:f>
        <x:v>93</x:v>
      </x:c>
      <x:c r="I5" s="63" t="n">
        <x:f>COUNTIF('Tüm Hikâyeler'!$I$2:$I$751,"Zengin")</x:f>
        <x:v>117</x:v>
      </x:c>
    </x:row>
    <x:row r="7" ht="28" customHeight="1">
      <x:c r="A7" s="13" t="str">
        <x:v>İlk 20 Video Adayı</x:v>
      </x:c>
      <x:c r="B7" s="13"/>
      <x:c r="C7" s="13"/>
      <x:c r="D7" s="13"/>
      <x:c r="E7" s="13"/>
      <x:c r="F7" s="13"/>
      <x:c r="G7" s="13"/>
    </x:row>
    <x:row r="8" ht="26" customHeight="1">
      <x:c r="A8" s="16" t="str">
        <x:v>Sıra</x:v>
      </x:c>
      <x:c r="B8" s="16" t="str">
        <x:v>Story ID</x:v>
      </x:c>
      <x:c r="C8" s="16" t="str">
        <x:v>Başlık</x:v>
      </x:c>
      <x:c r="D8" s="16" t="str">
        <x:v>Kategori</x:v>
      </x:c>
      <x:c r="E8" s="16" t="str">
        <x:v>Puan</x:v>
      </x:c>
      <x:c r="F8" s="16" t="str">
        <x:v>Karar</x:v>
      </x:c>
      <x:c r="G8" s="16" t="str">
        <x:v>Format</x:v>
      </x:c>
    </x:row>
    <x:row r="9" ht="28" customHeight="1">
      <x:c r="A9" s="66" t="n">
        <x:f>'Tüm Hikâyeler'!A2</x:f>
        <x:v>1</x:v>
      </x:c>
      <x:c r="B9" s="66" t="n">
        <x:f>'Tüm Hikâyeler'!B2</x:f>
        <x:v>1410</x:v>
      </x:c>
      <x:c r="C9" s="25" t="str">
        <x:f>'Tüm Hikâyeler'!C2</x:f>
        <x:v>Varsayımda bulunmamak — üçüncü anlaşma</x:v>
      </x:c>
      <x:c r="D9" s="17" t="str">
        <x:f>'Tüm Hikâyeler'!D2</x:f>
        <x:v>Felsefe</x:v>
      </x:c>
      <x:c r="E9" s="69" t="n">
        <x:f>'Tüm Hikâyeler'!R2</x:f>
        <x:v>95</x:v>
      </x:c>
      <x:c r="F9" s="66" t="str">
        <x:f>'Tüm Hikâyeler'!S2</x:f>
        <x:v>Öncelikli video</x:v>
      </x:c>
      <x:c r="G9" s="66" t="str">
        <x:f>'Tüm Hikâyeler'!T2</x:f>
        <x:v>Reel + Carousel</x:v>
      </x:c>
    </x:row>
    <x:row r="10" ht="28" customHeight="1">
      <x:c r="A10" s="66" t="n">
        <x:f>'Tüm Hikâyeler'!A3</x:f>
        <x:v>2</x:v>
      </x:c>
      <x:c r="B10" s="66" t="n">
        <x:f>'Tüm Hikâyeler'!B3</x:f>
        <x:v>1534</x:v>
      </x:c>
      <x:c r="C10" s="25" t="str">
        <x:f>'Tüm Hikâyeler'!C3</x:f>
        <x:v>Havacılıktan öğrenmek — başarı kültürü vs öğrenme kültürü</x:v>
      </x:c>
      <x:c r="D10" s="17" t="str">
        <x:f>'Tüm Hikâyeler'!D3</x:f>
        <x:v>Felsefe</x:v>
      </x:c>
      <x:c r="E10" s="69" t="n">
        <x:f>'Tüm Hikâyeler'!R3</x:f>
        <x:v>94</x:v>
      </x:c>
      <x:c r="F10" s="66" t="str">
        <x:f>'Tüm Hikâyeler'!S3</x:f>
        <x:v>Öncelikli video</x:v>
      </x:c>
      <x:c r="G10" s="66" t="str">
        <x:f>'Tüm Hikâyeler'!T3</x:f>
        <x:v>Reel + Carousel</x:v>
      </x:c>
    </x:row>
    <x:row r="11" ht="28" customHeight="1">
      <x:c r="A11" s="66" t="n">
        <x:f>'Tüm Hikâyeler'!A4</x:f>
        <x:v>3</x:v>
      </x:c>
      <x:c r="B11" s="66" t="n">
        <x:f>'Tüm Hikâyeler'!B4</x:f>
        <x:v>1483</x:v>
      </x:c>
      <x:c r="C11" s="25" t="str">
        <x:f>'Tüm Hikâyeler'!C4</x:f>
        <x:v>Columbia uzay mekiği ve sessizlik bedeli</x:v>
      </x:c>
      <x:c r="D11" s="17" t="str">
        <x:f>'Tüm Hikâyeler'!D4</x:f>
        <x:v>Liderlik</x:v>
      </x:c>
      <x:c r="E11" s="69" t="n">
        <x:f>'Tüm Hikâyeler'!R4</x:f>
        <x:v>93</x:v>
      </x:c>
      <x:c r="F11" s="66" t="str">
        <x:f>'Tüm Hikâyeler'!S4</x:f>
        <x:v>Öncelikli video</x:v>
      </x:c>
      <x:c r="G11" s="66" t="str">
        <x:f>'Tüm Hikâyeler'!T4</x:f>
        <x:v>Reel + Carousel</x:v>
      </x:c>
    </x:row>
    <x:row r="12" ht="28" customHeight="1">
      <x:c r="A12" s="66" t="n">
        <x:f>'Tüm Hikâyeler'!A5</x:f>
        <x:v>4</x:v>
      </x:c>
      <x:c r="B12" s="66" t="n">
        <x:f>'Tüm Hikâyeler'!B5</x:f>
        <x:v>1339</x:v>
      </x:c>
      <x:c r="C12" s="25" t="str">
        <x:f>'Tüm Hikâyeler'!C5</x:f>
        <x:v>Huffington'ın çöküşü</x:v>
      </x:c>
      <x:c r="D12" s="17" t="str">
        <x:f>'Tüm Hikâyeler'!D5</x:f>
        <x:v>Sağlık</x:v>
      </x:c>
      <x:c r="E12" s="69" t="n">
        <x:f>'Tüm Hikâyeler'!R5</x:f>
        <x:v>92</x:v>
      </x:c>
      <x:c r="F12" s="66" t="str">
        <x:f>'Tüm Hikâyeler'!S5</x:f>
        <x:v>Öncelikli video</x:v>
      </x:c>
      <x:c r="G12" s="66" t="str">
        <x:f>'Tüm Hikâyeler'!T5</x:f>
        <x:v>Reel + Carousel</x:v>
      </x:c>
    </x:row>
    <x:row r="13" ht="28" customHeight="1">
      <x:c r="A13" s="66" t="n">
        <x:f>'Tüm Hikâyeler'!A6</x:f>
        <x:v>5</x:v>
      </x:c>
      <x:c r="B13" s="66" t="n">
        <x:f>'Tüm Hikâyeler'!B6</x:f>
        <x:v>1369</x:v>
      </x:c>
      <x:c r="C13" s="25" t="str">
        <x:f>'Tüm Hikâyeler'!C6</x:f>
        <x:v>FBI rehine müzakeresi</x:v>
      </x:c>
      <x:c r="D13" s="17" t="str">
        <x:f>'Tüm Hikâyeler'!D6</x:f>
        <x:v>İletişim</x:v>
      </x:c>
      <x:c r="E13" s="69" t="n">
        <x:f>'Tüm Hikâyeler'!R6</x:f>
        <x:v>92</x:v>
      </x:c>
      <x:c r="F13" s="66" t="str">
        <x:f>'Tüm Hikâyeler'!S6</x:f>
        <x:v>Öncelikli video</x:v>
      </x:c>
      <x:c r="G13" s="66" t="str">
        <x:f>'Tüm Hikâyeler'!T6</x:f>
        <x:v>Reel + Carousel</x:v>
      </x:c>
    </x:row>
    <x:row r="14" ht="28" customHeight="1">
      <x:c r="A14" s="66" t="n">
        <x:f>'Tüm Hikâyeler'!A7</x:f>
        <x:v>6</x:v>
      </x:c>
      <x:c r="B14" s="66" t="n">
        <x:f>'Tüm Hikâyeler'!B7</x:f>
        <x:v>1456</x:v>
      </x:c>
      <x:c r="C14" s="25" t="str">
        <x:f>'Tüm Hikâyeler'!C7</x:f>
        <x:v>Phantom limb — hayalet uzuv ve beynin gerçeği</x:v>
      </x:c>
      <x:c r="D14" s="17" t="str">
        <x:f>'Tüm Hikâyeler'!D7</x:f>
        <x:v>Psikoloji</x:v>
      </x:c>
      <x:c r="E14" s="69" t="n">
        <x:f>'Tüm Hikâyeler'!R7</x:f>
        <x:v>92</x:v>
      </x:c>
      <x:c r="F14" s="66" t="str">
        <x:f>'Tüm Hikâyeler'!S7</x:f>
        <x:v>Öncelikli video</x:v>
      </x:c>
      <x:c r="G14" s="66" t="str">
        <x:f>'Tüm Hikâyeler'!T7</x:f>
        <x:v>Reel + Carousel</x:v>
      </x:c>
    </x:row>
    <x:row r="15" ht="28" customHeight="1">
      <x:c r="A15" s="66" t="n">
        <x:f>'Tüm Hikâyeler'!A8</x:f>
        <x:v>7</x:v>
      </x:c>
      <x:c r="B15" s="66" t="n">
        <x:f>'Tüm Hikâyeler'!B8</x:f>
        <x:v>1430</x:v>
      </x:c>
      <x:c r="C15" s="25" t="str">
        <x:f>'Tüm Hikâyeler'!C8</x:f>
        <x:v>Değişim istemek ile değişmek istemek</x:v>
      </x:c>
      <x:c r="D15" s="17" t="str">
        <x:f>'Tüm Hikâyeler'!D8</x:f>
        <x:v>Psikoloji</x:v>
      </x:c>
      <x:c r="E15" s="69" t="n">
        <x:f>'Tüm Hikâyeler'!R8</x:f>
        <x:v>92</x:v>
      </x:c>
      <x:c r="F15" s="66" t="str">
        <x:f>'Tüm Hikâyeler'!S8</x:f>
        <x:v>Öncelikli video</x:v>
      </x:c>
      <x:c r="G15" s="66" t="str">
        <x:f>'Tüm Hikâyeler'!T8</x:f>
        <x:v>Reel + Carousel</x:v>
      </x:c>
    </x:row>
    <x:row r="16" ht="28" customHeight="1">
      <x:c r="A16" s="66" t="n">
        <x:f>'Tüm Hikâyeler'!A9</x:f>
        <x:v>8</x:v>
      </x:c>
      <x:c r="B16" s="66" t="n">
        <x:f>'Tüm Hikâyeler'!B9</x:f>
        <x:v>1504</x:v>
      </x:c>
      <x:c r="C16" s="25" t="str">
        <x:f>'Tüm Hikâyeler'!C9</x:f>
        <x:v>Mevzisel müzakere tuzağı</x:v>
      </x:c>
      <x:c r="D16" s="17" t="str">
        <x:f>'Tüm Hikâyeler'!D9</x:f>
        <x:v>İletişim</x:v>
      </x:c>
      <x:c r="E16" s="69" t="n">
        <x:f>'Tüm Hikâyeler'!R9</x:f>
        <x:v>92</x:v>
      </x:c>
      <x:c r="F16" s="66" t="str">
        <x:f>'Tüm Hikâyeler'!S9</x:f>
        <x:v>Öncelikli video</x:v>
      </x:c>
      <x:c r="G16" s="66" t="str">
        <x:f>'Tüm Hikâyeler'!T9</x:f>
        <x:v>Reel + Carousel</x:v>
      </x:c>
    </x:row>
    <x:row r="17" ht="28" customHeight="1">
      <x:c r="A17" s="66" t="n">
        <x:f>'Tüm Hikâyeler'!A10</x:f>
        <x:v>9</x:v>
      </x:c>
      <x:c r="B17" s="66" t="n">
        <x:f>'Tüm Hikâyeler'!B10</x:f>
        <x:v>1701</x:v>
      </x:c>
      <x:c r="C17" s="25" t="str">
        <x:f>'Tüm Hikâyeler'!C10</x:f>
        <x:v>Basit Bir Kontrol Listesi Kaç Hayat Kurtarabilir?</x:v>
      </x:c>
      <x:c r="D17" s="17" t="str">
        <x:f>'Tüm Hikâyeler'!D10</x:f>
        <x:v>Sağlık</x:v>
      </x:c>
      <x:c r="E17" s="69" t="n">
        <x:f>'Tüm Hikâyeler'!R10</x:f>
        <x:v>91</x:v>
      </x:c>
      <x:c r="F17" s="66" t="str">
        <x:f>'Tüm Hikâyeler'!S10</x:f>
        <x:v>Öncelikli video</x:v>
      </x:c>
      <x:c r="G17" s="66" t="str">
        <x:f>'Tüm Hikâyeler'!T10</x:f>
        <x:v>Reel + Carousel</x:v>
      </x:c>
    </x:row>
    <x:row r="18" ht="28" customHeight="1">
      <x:c r="A18" s="66" t="n">
        <x:f>'Tüm Hikâyeler'!A11</x:f>
        <x:v>10</x:v>
      </x:c>
      <x:c r="B18" s="66" t="n">
        <x:f>'Tüm Hikâyeler'!B11</x:f>
        <x:v>1472</x:v>
      </x:c>
      <x:c r="C18" s="25" t="str">
        <x:f>'Tüm Hikâyeler'!C11</x:f>
        <x:v>Uyku ve yaratıcı problem çözme</x:v>
      </x:c>
      <x:c r="D18" s="17" t="str">
        <x:f>'Tüm Hikâyeler'!D11</x:f>
        <x:v>Verimlilik</x:v>
      </x:c>
      <x:c r="E18" s="69" t="n">
        <x:f>'Tüm Hikâyeler'!R11</x:f>
        <x:v>91</x:v>
      </x:c>
      <x:c r="F18" s="66" t="str">
        <x:f>'Tüm Hikâyeler'!S11</x:f>
        <x:v>Öncelikli video</x:v>
      </x:c>
      <x:c r="G18" s="66" t="str">
        <x:f>'Tüm Hikâyeler'!T11</x:f>
        <x:v>Reel + Carousel</x:v>
      </x:c>
    </x:row>
    <x:row r="19" ht="28" customHeight="1">
      <x:c r="A19" s="66" t="n">
        <x:f>'Tüm Hikâyeler'!A12</x:f>
        <x:v>11</x:v>
      </x:c>
      <x:c r="B19" s="66" t="n">
        <x:f>'Tüm Hikâyeler'!B12</x:f>
        <x:v>1547</x:v>
      </x:c>
      <x:c r="C19" s="25" t="str">
        <x:f>'Tüm Hikâyeler'!C12</x:f>
        <x:v>Moore Yasası ve bileşik büyümenin kavranmayan gücü</x:v>
      </x:c>
      <x:c r="D19" s="17" t="str">
        <x:f>'Tüm Hikâyeler'!D12</x:f>
        <x:v>Bilim</x:v>
      </x:c>
      <x:c r="E19" s="69" t="n">
        <x:f>'Tüm Hikâyeler'!R12</x:f>
        <x:v>91</x:v>
      </x:c>
      <x:c r="F19" s="66" t="str">
        <x:f>'Tüm Hikâyeler'!S12</x:f>
        <x:v>Öncelikli video</x:v>
      </x:c>
      <x:c r="G19" s="66" t="str">
        <x:f>'Tüm Hikâyeler'!T12</x:f>
        <x:v>Reel + Carousel</x:v>
      </x:c>
    </x:row>
    <x:row r="20" ht="28" customHeight="1">
      <x:c r="A20" s="66" t="n">
        <x:f>'Tüm Hikâyeler'!A13</x:f>
        <x:v>12</x:v>
      </x:c>
      <x:c r="B20" s="66" t="n">
        <x:f>'Tüm Hikâyeler'!B13</x:f>
        <x:v>1161</x:v>
      </x:c>
      <x:c r="C20" s="25" t="str">
        <x:f>'Tüm Hikâyeler'!C13</x:f>
        <x:v>İtfaiyecinin ölümcül sezgisi</x:v>
      </x:c>
      <x:c r="D20" s="17" t="str">
        <x:f>'Tüm Hikâyeler'!D13</x:f>
        <x:v>Psikoloji</x:v>
      </x:c>
      <x:c r="E20" s="69" t="n">
        <x:f>'Tüm Hikâyeler'!R13</x:f>
        <x:v>91</x:v>
      </x:c>
      <x:c r="F20" s="66" t="str">
        <x:f>'Tüm Hikâyeler'!S13</x:f>
        <x:v>Öncelikli video</x:v>
      </x:c>
      <x:c r="G20" s="66" t="str">
        <x:f>'Tüm Hikâyeler'!T13</x:f>
        <x:v>Reel + Carousel</x:v>
      </x:c>
    </x:row>
    <x:row r="21" ht="28" customHeight="1">
      <x:c r="A21" s="66" t="n">
        <x:f>'Tüm Hikâyeler'!A14</x:f>
        <x:v>13</x:v>
      </x:c>
      <x:c r="B21" s="66" t="n">
        <x:f>'Tüm Hikâyeler'!B14</x:f>
        <x:v>1205</x:v>
      </x:c>
      <x:c r="C21" s="25" t="str">
        <x:f>'Tüm Hikâyeler'!C14</x:f>
        <x:v>Hazinenin geri dönüşü</x:v>
      </x:c>
      <x:c r="D21" s="17" t="str">
        <x:f>'Tüm Hikâyeler'!D14</x:f>
        <x:v>Büyüme</x:v>
      </x:c>
      <x:c r="E21" s="69" t="n">
        <x:f>'Tüm Hikâyeler'!R14</x:f>
        <x:v>91</x:v>
      </x:c>
      <x:c r="F21" s="66" t="str">
        <x:f>'Tüm Hikâyeler'!S14</x:f>
        <x:v>Öncelikli video</x:v>
      </x:c>
      <x:c r="G21" s="66" t="str">
        <x:f>'Tüm Hikâyeler'!T14</x:f>
        <x:v>Reel + Carousel</x:v>
      </x:c>
    </x:row>
    <x:row r="22" ht="28" customHeight="1">
      <x:c r="A22" s="66" t="n">
        <x:f>'Tüm Hikâyeler'!A15</x:f>
        <x:v>14</x:v>
      </x:c>
      <x:c r="B22" s="66" t="n">
        <x:f>'Tüm Hikâyeler'!B15</x:f>
        <x:v>1219</x:v>
      </x:c>
      <x:c r="C22" s="25" t="str">
        <x:f>'Tüm Hikâyeler'!C15</x:f>
        <x:v>Harvard'ın 85 yıllık mutluluk araştırması</x:v>
      </x:c>
      <x:c r="D22" s="17" t="str">
        <x:f>'Tüm Hikâyeler'!D15</x:f>
        <x:v>Psikoloji</x:v>
      </x:c>
      <x:c r="E22" s="69" t="n">
        <x:f>'Tüm Hikâyeler'!R15</x:f>
        <x:v>91</x:v>
      </x:c>
      <x:c r="F22" s="66" t="str">
        <x:f>'Tüm Hikâyeler'!S15</x:f>
        <x:v>Öncelikli video</x:v>
      </x:c>
      <x:c r="G22" s="66" t="str">
        <x:f>'Tüm Hikâyeler'!T15</x:f>
        <x:v>Reel + Carousel</x:v>
      </x:c>
    </x:row>
    <x:row r="23" ht="28" customHeight="1">
      <x:c r="A23" s="66" t="n">
        <x:f>'Tüm Hikâyeler'!A16</x:f>
        <x:v>15</x:v>
      </x:c>
      <x:c r="B23" s="66" t="n">
        <x:f>'Tüm Hikâyeler'!B16</x:f>
        <x:v>1118</x:v>
      </x:c>
      <x:c r="C23" s="25" t="str">
        <x:f>'Tüm Hikâyeler'!C16</x:f>
        <x:v>H.M.'nin sonsuz şimdi'si</x:v>
      </x:c>
      <x:c r="D23" s="17" t="str">
        <x:f>'Tüm Hikâyeler'!D16</x:f>
        <x:v>Psikoloji</x:v>
      </x:c>
      <x:c r="E23" s="69" t="n">
        <x:f>'Tüm Hikâyeler'!R16</x:f>
        <x:v>91</x:v>
      </x:c>
      <x:c r="F23" s="66" t="str">
        <x:f>'Tüm Hikâyeler'!S16</x:f>
        <x:v>Öncelikli video</x:v>
      </x:c>
      <x:c r="G23" s="66" t="str">
        <x:f>'Tüm Hikâyeler'!T16</x:f>
        <x:v>Reel + Carousel</x:v>
      </x:c>
    </x:row>
    <x:row r="24" ht="28" customHeight="1">
      <x:c r="A24" s="66" t="n">
        <x:f>'Tüm Hikâyeler'!A17</x:f>
        <x:v>16</x:v>
      </x:c>
      <x:c r="B24" s="66" t="n">
        <x:f>'Tüm Hikâyeler'!B17</x:f>
        <x:v>1720</x:v>
      </x:c>
      <x:c r="C24" s="25" t="str">
        <x:f>'Tüm Hikâyeler'!C17</x:f>
        <x:v>24 Reçel Neden 6 Reçelden Daha Az Sattı?</x:v>
      </x:c>
      <x:c r="D24" s="17" t="str">
        <x:f>'Tüm Hikâyeler'!D17</x:f>
        <x:v>Psikoloji</x:v>
      </x:c>
      <x:c r="E24" s="69" t="n">
        <x:f>'Tüm Hikâyeler'!R17</x:f>
        <x:v>90</x:v>
      </x:c>
      <x:c r="F24" s="66" t="str">
        <x:f>'Tüm Hikâyeler'!S17</x:f>
        <x:v>Öncelikli video</x:v>
      </x:c>
      <x:c r="G24" s="66" t="str">
        <x:f>'Tüm Hikâyeler'!T17</x:f>
        <x:v>Reel + Carousel</x:v>
      </x:c>
    </x:row>
    <x:row r="25" ht="28" customHeight="1">
      <x:c r="A25" s="66" t="n">
        <x:f>'Tüm Hikâyeler'!A18</x:f>
        <x:v>17</x:v>
      </x:c>
      <x:c r="B25" s="66" t="n">
        <x:f>'Tüm Hikâyeler'!B18</x:f>
        <x:v>1788</x:v>
      </x:c>
      <x:c r="C25" s="25" t="str">
        <x:f>'Tüm Hikâyeler'!C18</x:f>
        <x:v>Aslandan Kaçan Zebra</x:v>
      </x:c>
      <x:c r="D25" s="17" t="str">
        <x:f>'Tüm Hikâyeler'!D18</x:f>
        <x:v>Sağlık</x:v>
      </x:c>
      <x:c r="E25" s="69" t="n">
        <x:f>'Tüm Hikâyeler'!R18</x:f>
        <x:v>90</x:v>
      </x:c>
      <x:c r="F25" s="66" t="str">
        <x:f>'Tüm Hikâyeler'!S18</x:f>
        <x:v>Öncelikli video</x:v>
      </x:c>
      <x:c r="G25" s="66" t="str">
        <x:f>'Tüm Hikâyeler'!T18</x:f>
        <x:v>Soru odaklı Reel</x:v>
      </x:c>
    </x:row>
    <x:row r="26" ht="28" customHeight="1">
      <x:c r="A26" s="66" t="n">
        <x:f>'Tüm Hikâyeler'!A19</x:f>
        <x:v>18</x:v>
      </x:c>
      <x:c r="B26" s="66" t="n">
        <x:f>'Tüm Hikâyeler'!B19</x:f>
        <x:v>1694</x:v>
      </x:c>
      <x:c r="C26" s="25" t="str">
        <x:f>'Tüm Hikâyeler'!C19</x:f>
        <x:v>Seabiscuit Büyük Buhran'a Nasıl Umut Oldu?</x:v>
      </x:c>
      <x:c r="D26" s="17" t="str">
        <x:f>'Tüm Hikâyeler'!D19</x:f>
        <x:v>Tarih</x:v>
      </x:c>
      <x:c r="E26" s="69" t="n">
        <x:f>'Tüm Hikâyeler'!R19</x:f>
        <x:v>90</x:v>
      </x:c>
      <x:c r="F26" s="66" t="str">
        <x:f>'Tüm Hikâyeler'!S19</x:f>
        <x:v>Öncelikli video</x:v>
      </x:c>
      <x:c r="G26" s="66" t="str">
        <x:f>'Tüm Hikâyeler'!T19</x:f>
        <x:v>Soru odaklı Reel</x:v>
      </x:c>
    </x:row>
    <x:row r="27" ht="28" customHeight="1">
      <x:c r="A27" s="66" t="n">
        <x:f>'Tüm Hikâyeler'!A20</x:f>
        <x:v>19</x:v>
      </x:c>
      <x:c r="B27" s="66" t="n">
        <x:f>'Tüm Hikâyeler'!B20</x:f>
        <x:v>1284</x:v>
      </x:c>
      <x:c r="C27" s="25" t="str">
        <x:f>'Tüm Hikâyeler'!C20</x:f>
        <x:v>Hazine hep başladığın yerde</x:v>
      </x:c>
      <x:c r="D27" s="17" t="str">
        <x:f>'Tüm Hikâyeler'!D20</x:f>
        <x:v>Büyüme</x:v>
      </x:c>
      <x:c r="E27" s="69" t="n">
        <x:f>'Tüm Hikâyeler'!R20</x:f>
        <x:v>90</x:v>
      </x:c>
      <x:c r="F27" s="66" t="str">
        <x:f>'Tüm Hikâyeler'!S20</x:f>
        <x:v>Öncelikli video</x:v>
      </x:c>
      <x:c r="G27" s="66" t="str">
        <x:f>'Tüm Hikâyeler'!T20</x:f>
        <x:v>Soru odaklı Reel</x:v>
      </x:c>
    </x:row>
    <x:row r="28" ht="28" customHeight="1">
      <x:c r="A28" s="66" t="n">
        <x:f>'Tüm Hikâyeler'!A21</x:f>
        <x:v>20</x:v>
      </x:c>
      <x:c r="B28" s="66" t="n">
        <x:f>'Tüm Hikâyeler'!B21</x:f>
        <x:v>1303</x:v>
      </x:c>
      <x:c r="C28" s="25" t="str">
        <x:f>'Tüm Hikâyeler'!C21</x:f>
        <x:v>Hindinin yanlış öğrenimi</x:v>
      </x:c>
      <x:c r="D28" s="17" t="str">
        <x:f>'Tüm Hikâyeler'!D21</x:f>
        <x:v>Felsefe</x:v>
      </x:c>
      <x:c r="E28" s="69" t="n">
        <x:f>'Tüm Hikâyeler'!R21</x:f>
        <x:v>90</x:v>
      </x:c>
      <x:c r="F28" s="66" t="str">
        <x:f>'Tüm Hikâyeler'!S21</x:f>
        <x:v>Öncelikli video</x:v>
      </x:c>
      <x:c r="G28" s="66" t="str">
        <x:f>'Tüm Hikâyeler'!T21</x:f>
        <x:v>Reel + Carousel</x:v>
      </x:c>
    </x:row>
    <x:row r="31" ht="28" customHeight="1">
      <x:c r="A31" s="13" t="str">
        <x:v>Kategori Özeti</x:v>
      </x:c>
      <x:c r="B31" s="13"/>
      <x:c r="C31" s="13"/>
      <x:c r="D31" s="13"/>
      <x:c r="E31" s="13"/>
      <x:c r="G31" s="13" t="str">
        <x:v>Okuma Anahtarı</x:v>
      </x:c>
      <x:c r="H31" s="13"/>
      <x:c r="I31" s="13"/>
      <x:c r="J31" s="13"/>
    </x:row>
    <x:row r="32" ht="26" customHeight="1">
      <x:c r="A32" s="16" t="str">
        <x:v>Kategori</x:v>
      </x:c>
      <x:c r="B32" s="16" t="str">
        <x:v>Hikâye</x:v>
      </x:c>
      <x:c r="C32" s="16" t="str">
        <x:v>Ort. Puan</x:v>
      </x:c>
      <x:c r="D32" s="16" t="str">
        <x:v>85+ Aday</x:v>
      </x:c>
      <x:c r="E32" s="16" t="str">
        <x:v>90+ Aday</x:v>
      </x:c>
      <x:c r="G32" s="77" t="str">
        <x:v>90–100</x:v>
      </x:c>
      <x:c r="H32" s="71" t="str">
        <x:v>Öncelikli video</x:v>
      </x:c>
      <x:c r="I32" s="71" t="str"/>
      <x:c r="J32" s="71" t="str">
        <x:v>Doğruluk kontrolü sonrası üret</x:v>
      </x:c>
    </x:row>
    <x:row r="33">
      <x:c r="A33" s="17" t="str">
        <x:v>Bilim</x:v>
      </x:c>
      <x:c r="B33" s="66" t="n">
        <x:f>COUNTIF('Tüm Hikâyeler'!$D$2:$D$751,A33)</x:f>
        <x:v>19</x:v>
      </x:c>
      <x:c r="C33" s="70" t="n">
        <x:f>IFERROR(AVERAGEIF('Tüm Hikâyeler'!$D$2:$D$751,A33,'Tüm Hikâyeler'!$R$2:$R$751),0)</x:f>
        <x:v>78.63157894736842</x:v>
      </x:c>
      <x:c r="D33" s="66" t="n">
        <x:f>COUNTIFS('Tüm Hikâyeler'!$D$2:$D$751,A33,'Tüm Hikâyeler'!$R$2:$R$751,"&gt;=85")</x:f>
        <x:v>4</x:v>
      </x:c>
      <x:c r="E33" s="66" t="n">
        <x:f>COUNTIFS('Tüm Hikâyeler'!$D$2:$D$751,A33,'Tüm Hikâyeler'!$R$2:$R$751,"&gt;=90")</x:f>
        <x:v>1</x:v>
      </x:c>
      <x:c r="G33" s="78" t="str">
        <x:v>85–89</x:v>
      </x:c>
      <x:c r="H33" s="17" t="str">
        <x:v>Video kuyruğu</x:v>
      </x:c>
      <x:c r="I33" s="17" t="str"/>
      <x:c r="J33" s="17" t="str">
        <x:v>2–3 hook ile test et</x:v>
      </x:c>
    </x:row>
    <x:row r="34">
      <x:c r="A34" s="17" t="str">
        <x:v>Büyüme</x:v>
      </x:c>
      <x:c r="B34" s="66" t="n">
        <x:f>COUNTIF('Tüm Hikâyeler'!$D$2:$D$751,A34)</x:f>
        <x:v>69</x:v>
      </x:c>
      <x:c r="C34" s="70" t="n">
        <x:f>IFERROR(AVERAGEIF('Tüm Hikâyeler'!$D$2:$D$751,A34,'Tüm Hikâyeler'!$R$2:$R$751),0)</x:f>
        <x:v>75.78260869565217</x:v>
      </x:c>
      <x:c r="D34" s="66" t="n">
        <x:f>COUNTIFS('Tüm Hikâyeler'!$D$2:$D$751,A34,'Tüm Hikâyeler'!$R$2:$R$751,"&gt;=85")</x:f>
        <x:v>7</x:v>
      </x:c>
      <x:c r="E34" s="66" t="n">
        <x:f>COUNTIFS('Tüm Hikâyeler'!$D$2:$D$751,A34,'Tüm Hikâyeler'!$R$2:$R$751,"&gt;=90")</x:f>
        <x:v>2</x:v>
      </x:c>
      <x:c r="G34" s="78" t="str">
        <x:v>78–84</x:v>
      </x:c>
      <x:c r="H34" s="17" t="str">
        <x:v>Revize et</x:v>
      </x:c>
      <x:c r="I34" s="17" t="str"/>
      <x:c r="J34" s="17" t="str">
        <x:v>Zayıf alt puanı güçlendir</x:v>
      </x:c>
    </x:row>
    <x:row r="35">
      <x:c r="A35" s="17" t="str">
        <x:v>Felsefe</x:v>
      </x:c>
      <x:c r="B35" s="66" t="n">
        <x:f>COUNTIF('Tüm Hikâyeler'!$D$2:$D$751,A35)</x:f>
        <x:v>87</x:v>
      </x:c>
      <x:c r="C35" s="70" t="n">
        <x:f>IFERROR(AVERAGEIF('Tüm Hikâyeler'!$D$2:$D$751,A35,'Tüm Hikâyeler'!$R$2:$R$751),0)</x:f>
        <x:v>77.13793103448276</x:v>
      </x:c>
      <x:c r="D35" s="66" t="n">
        <x:f>COUNTIFS('Tüm Hikâyeler'!$D$2:$D$751,A35,'Tüm Hikâyeler'!$R$2:$R$751,"&gt;=85")</x:f>
        <x:v>17</x:v>
      </x:c>
      <x:c r="E35" s="66" t="n">
        <x:f>COUNTIFS('Tüm Hikâyeler'!$D$2:$D$751,A35,'Tüm Hikâyeler'!$R$2:$R$751,"&gt;=90")</x:f>
        <x:v>3</x:v>
      </x:c>
      <x:c r="G35" s="78" t="str">
        <x:v>70–77</x:v>
      </x:c>
      <x:c r="H35" s="17" t="str">
        <x:v>Kartla test</x:v>
      </x:c>
      <x:c r="I35" s="17" t="str"/>
      <x:c r="J35" s="17" t="str">
        <x:v>Carousel/kart verisi topla</x:v>
      </x:c>
    </x:row>
    <x:row r="36">
      <x:c r="A36" s="17" t="str">
        <x:v>Finans</x:v>
      </x:c>
      <x:c r="B36" s="66" t="n">
        <x:f>COUNTIF('Tüm Hikâyeler'!$D$2:$D$751,A36)</x:f>
        <x:v>76</x:v>
      </x:c>
      <x:c r="C36" s="70" t="n">
        <x:f>IFERROR(AVERAGEIF('Tüm Hikâyeler'!$D$2:$D$751,A36,'Tüm Hikâyeler'!$R$2:$R$751),0)</x:f>
        <x:v>77.57894736842105</x:v>
      </x:c>
      <x:c r="D36" s="66" t="n">
        <x:f>COUNTIFS('Tüm Hikâyeler'!$D$2:$D$751,A36,'Tüm Hikâyeler'!$R$2:$R$751,"&gt;=85")</x:f>
        <x:v>6</x:v>
      </x:c>
      <x:c r="E36" s="66" t="n">
        <x:f>COUNTIFS('Tüm Hikâyeler'!$D$2:$D$751,A36,'Tüm Hikâyeler'!$R$2:$R$751,"&gt;=90")</x:f>
        <x:v>1</x:v>
      </x:c>
      <x:c r="G36" s="78" t="str">
        <x:v>0–69</x:v>
      </x:c>
      <x:c r="H36" s="17" t="str">
        <x:v>Düşük öncelik</x:v>
      </x:c>
      <x:c r="I36" s="17" t="str"/>
      <x:c r="J36" s="17" t="str">
        <x:v>Şimdilik bütçe ayırma</x:v>
      </x:c>
    </x:row>
    <x:row r="37">
      <x:c r="A37" s="17" t="str">
        <x:v>İletişim</x:v>
      </x:c>
      <x:c r="B37" s="66" t="n">
        <x:f>COUNTIF('Tüm Hikâyeler'!$D$2:$D$751,A37)</x:f>
        <x:v>32</x:v>
      </x:c>
      <x:c r="C37" s="70" t="n">
        <x:f>IFERROR(AVERAGEIF('Tüm Hikâyeler'!$D$2:$D$751,A37,'Tüm Hikâyeler'!$R$2:$R$751),0)</x:f>
        <x:v>73.59375</x:v>
      </x:c>
      <x:c r="D37" s="66" t="n">
        <x:f>COUNTIFS('Tüm Hikâyeler'!$D$2:$D$751,A37,'Tüm Hikâyeler'!$R$2:$R$751,"&gt;=85")</x:f>
        <x:v>4</x:v>
      </x:c>
      <x:c r="E37" s="66" t="n">
        <x:f>COUNTIFS('Tüm Hikâyeler'!$D$2:$D$751,A37,'Tüm Hikâyeler'!$R$2:$R$751,"&gt;=90")</x:f>
        <x:v>2</x:v>
      </x:c>
      <x:c r="G37" s="17" t="str">
        <x:v>Zengin</x:v>
      </x:c>
      <x:c r="H37" s="17" t="str">
        <x:v>Sosyal alanlar hazır</x:v>
      </x:c>
      <x:c r="I37" s="17" t="str"/>
      <x:c r="J37" s="17" t="str">
        <x:v>Hook + 30 sn + soru mevcut</x:v>
      </x:c>
    </x:row>
    <x:row r="38">
      <x:c r="A38" s="17" t="str">
        <x:v>Liderlik</x:v>
      </x:c>
      <x:c r="B38" s="66" t="n">
        <x:f>COUNTIF('Tüm Hikâyeler'!$D$2:$D$751,A38)</x:f>
        <x:v>105</x:v>
      </x:c>
      <x:c r="C38" s="70" t="n">
        <x:f>IFERROR(AVERAGEIF('Tüm Hikâyeler'!$D$2:$D$751,A38,'Tüm Hikâyeler'!$R$2:$R$751),0)</x:f>
        <x:v>74.46666666666667</x:v>
      </x:c>
      <x:c r="D38" s="66" t="n">
        <x:f>COUNTIFS('Tüm Hikâyeler'!$D$2:$D$751,A38,'Tüm Hikâyeler'!$R$2:$R$751,"&gt;=85")</x:f>
        <x:v>7</x:v>
      </x:c>
      <x:c r="E38" s="66" t="n">
        <x:f>COUNTIFS('Tüm Hikâyeler'!$D$2:$D$751,A38,'Tüm Hikâyeler'!$R$2:$R$751,"&gt;=90")</x:f>
        <x:v>3</x:v>
      </x:c>
      <x:c r="G38" s="72" t="str">
        <x:v>Temel</x:v>
      </x:c>
      <x:c r="H38" s="72" t="str">
        <x:v>İçerik puanlandı</x:v>
      </x:c>
      <x:c r="I38" s="72" t="str"/>
      <x:c r="J38" s="72" t="str">
        <x:v>Video metni ayrıca hazırlanmalı</x:v>
      </x:c>
    </x:row>
    <x:row r="39">
      <x:c r="A39" s="17" t="str">
        <x:v>Psikoloji</x:v>
      </x:c>
      <x:c r="B39" s="66" t="n">
        <x:f>COUNTIF('Tüm Hikâyeler'!$D$2:$D$751,A39)</x:f>
        <x:v>151</x:v>
      </x:c>
      <x:c r="C39" s="70" t="n">
        <x:f>IFERROR(AVERAGEIF('Tüm Hikâyeler'!$D$2:$D$751,A39,'Tüm Hikâyeler'!$R$2:$R$751),0)</x:f>
        <x:v>75.8543046357616</x:v>
      </x:c>
      <x:c r="D39" s="66" t="n">
        <x:f>COUNTIFS('Tüm Hikâyeler'!$D$2:$D$751,A39,'Tüm Hikâyeler'!$R$2:$R$751,"&gt;=85")</x:f>
        <x:v>23</x:v>
      </x:c>
      <x:c r="E39" s="66" t="n">
        <x:f>COUNTIFS('Tüm Hikâyeler'!$D$2:$D$751,A39,'Tüm Hikâyeler'!$R$2:$R$751,"&gt;=90")</x:f>
        <x:v>9</x:v>
      </x:c>
    </x:row>
    <x:row r="40">
      <x:c r="A40" s="17" t="str">
        <x:v>Sağlık</x:v>
      </x:c>
      <x:c r="B40" s="66" t="n">
        <x:f>COUNTIF('Tüm Hikâyeler'!$D$2:$D$751,A40)</x:f>
        <x:v>73</x:v>
      </x:c>
      <x:c r="C40" s="70" t="n">
        <x:f>IFERROR(AVERAGEIF('Tüm Hikâyeler'!$D$2:$D$751,A40,'Tüm Hikâyeler'!$R$2:$R$751),0)</x:f>
        <x:v>76.91780821917808</x:v>
      </x:c>
      <x:c r="D40" s="66" t="n">
        <x:f>COUNTIFS('Tüm Hikâyeler'!$D$2:$D$751,A40,'Tüm Hikâyeler'!$R$2:$R$751,"&gt;=85")</x:f>
        <x:v>7</x:v>
      </x:c>
      <x:c r="E40" s="66" t="n">
        <x:f>COUNTIFS('Tüm Hikâyeler'!$D$2:$D$751,A40,'Tüm Hikâyeler'!$R$2:$R$751,"&gt;=90")</x:f>
        <x:v>3</x:v>
      </x:c>
    </x:row>
    <x:row r="41">
      <x:c r="A41" s="17" t="str">
        <x:v>Tarih</x:v>
      </x:c>
      <x:c r="B41" s="66" t="n">
        <x:f>COUNTIF('Tüm Hikâyeler'!$D$2:$D$751,A41)</x:f>
        <x:v>27</x:v>
      </x:c>
      <x:c r="C41" s="70" t="n">
        <x:f>IFERROR(AVERAGEIF('Tüm Hikâyeler'!$D$2:$D$751,A41,'Tüm Hikâyeler'!$R$2:$R$751),0)</x:f>
        <x:v>81.66666666666667</x:v>
      </x:c>
      <x:c r="D41" s="66" t="n">
        <x:f>COUNTIFS('Tüm Hikâyeler'!$D$2:$D$751,A41,'Tüm Hikâyeler'!$R$2:$R$751,"&gt;=85")</x:f>
        <x:v>7</x:v>
      </x:c>
      <x:c r="E41" s="66" t="n">
        <x:f>COUNTIFS('Tüm Hikâyeler'!$D$2:$D$751,A41,'Tüm Hikâyeler'!$R$2:$R$751,"&gt;=90")</x:f>
        <x:v>1</x:v>
      </x:c>
    </x:row>
    <x:row r="42">
      <x:c r="A42" s="17" t="str">
        <x:v>Verimlilik</x:v>
      </x:c>
      <x:c r="B42" s="66" t="n">
        <x:f>COUNTIF('Tüm Hikâyeler'!$D$2:$D$751,A42)</x:f>
        <x:v>111</x:v>
      </x:c>
      <x:c r="C42" s="70" t="n">
        <x:f>IFERROR(AVERAGEIF('Tüm Hikâyeler'!$D$2:$D$751,A42,'Tüm Hikâyeler'!$R$2:$R$751),0)</x:f>
        <x:v>74.76576576576576</x:v>
      </x:c>
      <x:c r="D42" s="66" t="n">
        <x:f>COUNTIFS('Tüm Hikâyeler'!$D$2:$D$751,A42,'Tüm Hikâyeler'!$R$2:$R$751,"&gt;=85")</x:f>
        <x:v>11</x:v>
      </x:c>
      <x:c r="E42" s="66" t="n">
        <x:f>COUNTIFS('Tüm Hikâyeler'!$D$2:$D$751,A42,'Tüm Hikâyeler'!$R$2:$R$751,"&gt;=90")</x:f>
        <x:v>2</x:v>
      </x:c>
    </x:row>
    <x:row r="44" ht="34" customHeight="1">
      <x:c r="A44" s="22" t="str">
        <x:v>Not: Ham adetler yerine paylaşım/okuma, kaydetme/okuma ve ses kaydı/okuma oranları geldikçe bu tahmini puanlar davranış verisiyle güncellenmelidir.</x:v>
      </x:c>
      <x:c r="B44" s="22"/>
      <x:c r="C44" s="22"/>
      <x:c r="D44" s="22"/>
      <x:c r="E44" s="22"/>
      <x:c r="F44" s="22"/>
      <x:c r="G44" s="22"/>
      <x:c r="H44" s="22"/>
      <x:c r="I44" s="22"/>
      <x:c r="J44" s="22"/>
    </x:row>
  </x:sheetData>
  <x:mergeCells>
    <x:mergeCell ref="A1:J1"/>
    <x:mergeCell ref="A2:J2"/>
    <x:mergeCell ref="A4:B4"/>
    <x:mergeCell ref="C4:D4"/>
    <x:mergeCell ref="E4:F4"/>
    <x:mergeCell ref="G4:H4"/>
    <x:mergeCell ref="I4:J4"/>
    <x:mergeCell ref="A5:B5"/>
    <x:mergeCell ref="C5:D5"/>
    <x:mergeCell ref="E5:F5"/>
    <x:mergeCell ref="G5:H5"/>
    <x:mergeCell ref="I5:J5"/>
    <x:mergeCell ref="A7:G7"/>
    <x:mergeCell ref="A31:E31"/>
    <x:mergeCell ref="G31:J31"/>
    <x:mergeCell ref="A44:J4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0" hidden="0" customWidth="1"/>
    <x:col min="3" max="3" width="44" hidden="0" customWidth="1"/>
    <x:col min="4" max="4" width="16" hidden="0" customWidth="1"/>
    <x:col min="5" max="5" width="22" hidden="0" customWidth="1"/>
    <x:col min="6" max="6" width="30" hidden="0" customWidth="1"/>
    <x:col min="7" max="7" width="22" hidden="0" customWidth="1"/>
    <x:col min="8" max="8" width="10" hidden="0" customWidth="1"/>
    <x:col min="9" max="9" width="12" hidden="0" customWidth="1"/>
    <x:col min="10" max="10" width="11" hidden="0" customWidth="1"/>
    <x:col min="11" max="11" width="11" hidden="0" customWidth="1"/>
    <x:col min="12" max="12" width="12" hidden="0" customWidth="1"/>
    <x:col min="13" max="13" width="12" hidden="0" customWidth="1"/>
    <x:col min="14" max="14" width="13" hidden="0" customWidth="1"/>
    <x:col min="15" max="15" width="10" hidden="0" customWidth="1"/>
    <x:col min="16" max="16" width="10" hidden="0" customWidth="1"/>
    <x:col min="17" max="17" width="10" hidden="0" customWidth="1"/>
    <x:col min="18" max="18" width="12" hidden="0" customWidth="1"/>
    <x:col min="19" max="19" width="18" hidden="0" customWidth="1"/>
    <x:col min="20" max="20" width="20" hidden="0" customWidth="1"/>
    <x:col min="21" max="21" width="62" hidden="0" customWidth="1"/>
    <x:col min="22" max="22" width="24" hidden="0" customWidth="1"/>
  </x:cols>
  <x:sheetData>
    <x:row r="1" ht="34" customHeight="1">
      <x:c r="A1" s="32" t="str">
        <x:v>Sıra</x:v>
      </x:c>
      <x:c r="B1" s="32" t="str">
        <x:v>Story ID</x:v>
      </x:c>
      <x:c r="C1" s="32" t="str">
        <x:v>Başlık</x:v>
      </x:c>
      <x:c r="D1" s="32" t="str">
        <x:v>Ana Kategori</x:v>
      </x:c>
      <x:c r="E1" s="32" t="str">
        <x:v>Alt Kategori</x:v>
      </x:c>
      <x:c r="F1" s="32" t="str">
        <x:v>Kaynak Kitap</x:v>
      </x:c>
      <x:c r="G1" s="32" t="str">
        <x:v>Yazar</x:v>
      </x:c>
      <x:c r="H1" s="32" t="str">
        <x:v>Versiyon</x:v>
      </x:c>
      <x:c r="I1" s="32" t="str">
        <x:v>Hazırlık</x:v>
      </x:c>
      <x:c r="J1" s="32" t="str">
        <x:v>Dikkat /15</x:v>
      </x:c>
      <x:c r="K1" s="32" t="str">
        <x:v>Duygu /10</x:v>
      </x:c>
      <x:c r="L1" s="32" t="str">
        <x:v>Paylaşım /15</x:v>
      </x:c>
      <x:c r="M1" s="32" t="str">
        <x:v>Kaydetme /15</x:v>
      </x:c>
      <x:c r="N1" s="32" t="str">
        <x:v>Sesli Not /10</x:v>
      </x:c>
      <x:c r="O1" s="32" t="str">
        <x:v>Akış /10</x:v>
      </x:c>
      <x:c r="P1" s="32" t="str">
        <x:v>Video /20</x:v>
      </x:c>
      <x:c r="Q1" s="32" t="str">
        <x:v>Güven /5</x:v>
      </x:c>
      <x:c r="R1" s="32" t="str">
        <x:v>Toplam /100</x:v>
      </x:c>
      <x:c r="S1" s="32" t="str">
        <x:v>Karar</x:v>
      </x:c>
      <x:c r="T1" s="32" t="str">
        <x:v>Önerilen Format</x:v>
      </x:c>
      <x:c r="U1" s="32" t="str">
        <x:v>Kısa Değerlendirme</x:v>
      </x:c>
      <x:c r="V1" s="32" t="str">
        <x:v>Doğruluk Notu</x:v>
      </x:c>
    </x:row>
    <x:row r="2" ht="24" customHeight="1">
      <x:c r="A2" s="48" t="n">
        <x:f>COUNTIF($R$2:$R$751,"&gt;"&amp;R2)+COUNTIF($R$2:R2,R2)</x:f>
        <x:v>1</x:v>
      </x:c>
      <x:c r="B2" s="48" t="n">
        <x:v>1410</x:v>
      </x:c>
      <x:c r="C2" s="46" t="str">
        <x:v>Varsayımda bulunmamak — üçüncü anlaşma</x:v>
      </x:c>
      <x:c r="D2" s="34" t="str">
        <x:v>Felsefe</x:v>
      </x:c>
      <x:c r="E2" s="34" t="str">
        <x:v>Felsefe</x:v>
      </x:c>
      <x:c r="F2" s="34" t="str">
        <x:v>Dört Anlaşma</x:v>
      </x:c>
      <x:c r="G2" s="34" t="str">
        <x:v>Don Miguel Ruiz</x:v>
      </x:c>
      <x:c r="H2" s="50" t="str">
        <x:v>1</x:v>
      </x:c>
      <x:c r="I2" s="50" t="str">
        <x:v>Temel</x:v>
      </x:c>
      <x:c r="J2" s="51" t="n">
        <x:v>15</x:v>
      </x:c>
      <x:c r="K2" s="51" t="n">
        <x:v>9</x:v>
      </x:c>
      <x:c r="L2" s="51" t="n">
        <x:v>14</x:v>
      </x:c>
      <x:c r="M2" s="51" t="n">
        <x:v>14</x:v>
      </x:c>
      <x:c r="N2" s="51" t="n">
        <x:v>10</x:v>
      </x:c>
      <x:c r="O2" s="51" t="n">
        <x:v>10</x:v>
      </x:c>
      <x:c r="P2" s="51" t="n">
        <x:v>19</x:v>
      </x:c>
      <x:c r="Q2" s="51" t="n">
        <x:v>4</x:v>
      </x:c>
      <x:c r="R2" s="52" t="n">
        <x:f>SUM(J2:Q2)</x:f>
        <x:v>95</x:v>
      </x:c>
      <x:c r="S2" s="50" t="str">
        <x:f>IF(R2&gt;='Rubrik'!$B$17,"Öncelikli video",IF(R2&gt;='Rubrik'!$B$18,"Video kuyruğu",IF(R2&gt;='Rubrik'!$B$19,"Revize et",IF(R2&gt;='Rubrik'!$B$20,"Kartla test","Düşük öncelik"))))</x:f>
        <x:v>Öncelikli video</x:v>
      </x:c>
      <x:c r="T2" s="50" t="str">
        <x:f>IF(AND(R2&gt;=85,P2&gt;=16,M2&gt;=12,L2&gt;=12),"Reel + Carousel",IF(AND(R2&gt;=85,P2&gt;=16,N2&gt;=8),"Soru odaklı Reel",IF(AND(R2&gt;=85,P2&gt;=16),"Reel / Short",IF(M2&gt;=11,"Carousel","Kart testi"))))</x:f>
        <x:v>Reel + Carousel</x:v>
      </x:c>
      <x:c r="U2" s="46" t="str">
        <x:v>Partnerin öfkesi sanılırken migren çıkması kusursuz ters köşe; “sor, varsayma” doğrudan uygulanıyor.</x:v>
      </x:c>
      <x:c r="V2" s="46" t="str">
        <x:f>IF(Q2&lt;=3,"Kaynak kontrolü şart",IF(Q2=4,"Kaynak kontrolü önerilir","Standart doğrulama"))</x:f>
        <x:v>Kaynak kontrolü önerilir</x:v>
      </x:c>
    </x:row>
    <x:row r="3" ht="24" customHeight="1">
      <x:c r="A3" s="48" t="n">
        <x:f>COUNTIF($R$2:$R$751,"&gt;"&amp;R3)+COUNTIF($R$2:R3,R3)</x:f>
        <x:v>2</x:v>
      </x:c>
      <x:c r="B3" s="48" t="n">
        <x:v>1534</x:v>
      </x:c>
      <x:c r="C3" s="46" t="str">
        <x:v>Havacılıktan öğrenmek — başarı kültürü vs öğrenme kültürü</x:v>
      </x:c>
      <x:c r="D3" s="34" t="str">
        <x:v>Felsefe</x:v>
      </x:c>
      <x:c r="E3" s="34" t="str">
        <x:v>Öğrenme</x:v>
      </x:c>
      <x:c r="F3" s="34" t="str">
        <x:v>Black Box Thinking</x:v>
      </x:c>
      <x:c r="G3" s="34" t="str">
        <x:v>Matthew Syed</x:v>
      </x:c>
      <x:c r="H3" s="50" t="str">
        <x:v>1</x:v>
      </x:c>
      <x:c r="I3" s="50" t="str">
        <x:v>Temel</x:v>
      </x:c>
      <x:c r="J3" s="51" t="n">
        <x:v>14</x:v>
      </x:c>
      <x:c r="K3" s="51" t="n">
        <x:v>9</x:v>
      </x:c>
      <x:c r="L3" s="51" t="n">
        <x:v>14</x:v>
      </x:c>
      <x:c r="M3" s="51" t="n">
        <x:v>13</x:v>
      </x:c>
      <x:c r="N3" s="51" t="n">
        <x:v>9</x:v>
      </x:c>
      <x:c r="O3" s="51" t="n">
        <x:v>10</x:v>
      </x:c>
      <x:c r="P3" s="51" t="n">
        <x:v>20</x:v>
      </x:c>
      <x:c r="Q3" s="51" t="n">
        <x:v>5</x:v>
      </x:c>
      <x:c r="R3" s="52" t="n">
        <x:f>SUM(J3:Q3)</x:f>
        <x:v>94</x:v>
      </x:c>
      <x:c r="S3" s="50" t="str">
        <x:f>IF(R3&gt;='Rubrik'!$B$17,"Öncelikli video",IF(R3&gt;='Rubrik'!$B$18,"Video kuyruğu",IF(R3&gt;='Rubrik'!$B$19,"Revize et",IF(R3&gt;='Rubrik'!$B$20,"Kartla test","Düşük öncelik"))))</x:f>
        <x:v>Öncelikli video</x:v>
      </x:c>
      <x:c r="T3" s="50" t="str">
        <x:f>IF(AND(R3&gt;=85,P3&gt;=16,M3&gt;=12,L3&gt;=12),"Reel + Carousel",IF(AND(R3&gt;=85,P3&gt;=16,N3&gt;=8),"Soru odaklı Reel",IF(AND(R3&gt;=85,P3&gt;=16),"Reel / Short",IF(M3&gt;=11,"Carousel","Kart testi"))))</x:f>
        <x:v>Reel + Carousel</x:v>
      </x:c>
      <x:c r="U3" s="46" t="str">
        <x:v>Tenerife faciasından doğan kara kutu kültürü yüksek gerilim, kayıp ve net dersle olağanüstü güçlü anlatı sunuyor.</x:v>
      </x:c>
      <x:c r="V3" s="46" t="str">
        <x:f>IF(Q3&lt;=3,"Kaynak kontrolü şart",IF(Q3=4,"Kaynak kontrolü önerilir","Standart doğrulama"))</x:f>
        <x:v>Standart doğrulama</x:v>
      </x:c>
    </x:row>
    <x:row r="4" ht="24" customHeight="1">
      <x:c r="A4" s="48" t="n">
        <x:f>COUNTIF($R$2:$R$751,"&gt;"&amp;R4)+COUNTIF($R$2:R4,R4)</x:f>
        <x:v>3</x:v>
      </x:c>
      <x:c r="B4" s="48" t="n">
        <x:v>1483</x:v>
      </x:c>
      <x:c r="C4" s="46" t="str">
        <x:v>Columbia uzay mekiği ve sessizlik bedeli</x:v>
      </x:c>
      <x:c r="D4" s="34" t="str">
        <x:v>Liderlik</x:v>
      </x:c>
      <x:c r="E4" s="34" t="str">
        <x:v>Yönetim</x:v>
      </x:c>
      <x:c r="F4" s="34" t="str">
        <x:v>The Fearless Organization</x:v>
      </x:c>
      <x:c r="G4" s="34" t="str">
        <x:v>Amy Edmondson</x:v>
      </x:c>
      <x:c r="H4" s="50" t="str">
        <x:v>1</x:v>
      </x:c>
      <x:c r="I4" s="50" t="str">
        <x:v>Temel</x:v>
      </x:c>
      <x:c r="J4" s="51" t="n">
        <x:v>14</x:v>
      </x:c>
      <x:c r="K4" s="51" t="n">
        <x:v>9</x:v>
      </x:c>
      <x:c r="L4" s="51" t="n">
        <x:v>14</x:v>
      </x:c>
      <x:c r="M4" s="51" t="n">
        <x:v>13</x:v>
      </x:c>
      <x:c r="N4" s="51" t="n">
        <x:v>9</x:v>
      </x:c>
      <x:c r="O4" s="51" t="n">
        <x:v>10</x:v>
      </x:c>
      <x:c r="P4" s="51" t="n">
        <x:v>19</x:v>
      </x:c>
      <x:c r="Q4" s="51" t="n">
        <x:v>5</x:v>
      </x:c>
      <x:c r="R4" s="52" t="n">
        <x:f>SUM(J4:Q4)</x:f>
        <x:v>93</x:v>
      </x:c>
      <x:c r="S4" s="50" t="str">
        <x:f>IF(R4&gt;='Rubrik'!$B$17,"Öncelikli video",IF(R4&gt;='Rubrik'!$B$18,"Video kuyruğu",IF(R4&gt;='Rubrik'!$B$19,"Revize et",IF(R4&gt;='Rubrik'!$B$20,"Kartla test","Düşük öncelik"))))</x:f>
        <x:v>Öncelikli video</x:v>
      </x:c>
      <x:c r="T4" s="50" t="str">
        <x:f>IF(AND(R4&gt;=85,P4&gt;=16,M4&gt;=12,L4&gt;=12),"Reel + Carousel",IF(AND(R4&gt;=85,P4&gt;=16,N4&gt;=8),"Soru odaklı Reel",IF(AND(R4&gt;=85,P4&gt;=16),"Reel / Short",IF(M4&gt;=11,"Carousel","Kart testi"))))</x:f>
        <x:v>Reel + Carousel</x:v>
      </x:c>
      <x:c r="U4" s="46" t="str">
        <x:v>Columbia faciasındaki sessizlik yüksek risk, insan hatası ve acı sonuçla son derece güçlü bir liderlik videosu.</x:v>
      </x:c>
      <x:c r="V4" s="46" t="str">
        <x:f>IF(Q4&lt;=3,"Kaynak kontrolü şart",IF(Q4=4,"Kaynak kontrolü önerilir","Standart doğrulama"))</x:f>
        <x:v>Standart doğrulama</x:v>
      </x:c>
    </x:row>
    <x:row r="5" ht="24" customHeight="1">
      <x:c r="A5" s="48" t="n">
        <x:f>COUNTIF($R$2:$R$751,"&gt;"&amp;R5)+COUNTIF($R$2:R5,R5)</x:f>
        <x:v>4</x:v>
      </x:c>
      <x:c r="B5" s="48" t="n">
        <x:v>1339</x:v>
      </x:c>
      <x:c r="C5" s="46" t="str">
        <x:v>Huffington'ın çöküşü</x:v>
      </x:c>
      <x:c r="D5" s="34" t="str">
        <x:v>Sağlık</x:v>
      </x:c>
      <x:c r="E5" s="34" t="str">
        <x:v>Sağlık</x:v>
      </x:c>
      <x:c r="F5" s="34" t="str">
        <x:v>Uyku Devrimi</x:v>
      </x:c>
      <x:c r="G5" s="34" t="str">
        <x:v>Arianna Huffington</x:v>
      </x:c>
      <x:c r="H5" s="50" t="str">
        <x:v>1</x:v>
      </x:c>
      <x:c r="I5" s="50" t="str">
        <x:v>Temel</x:v>
      </x:c>
      <x:c r="J5" s="51" t="n">
        <x:v>15</x:v>
      </x:c>
      <x:c r="K5" s="51" t="n">
        <x:v>9</x:v>
      </x:c>
      <x:c r="L5" s="51" t="n">
        <x:v>13</x:v>
      </x:c>
      <x:c r="M5" s="51" t="n">
        <x:v>13</x:v>
      </x:c>
      <x:c r="N5" s="51" t="n">
        <x:v>9</x:v>
      </x:c>
      <x:c r="O5" s="51" t="n">
        <x:v>10</x:v>
      </x:c>
      <x:c r="P5" s="51" t="n">
        <x:v>19</x:v>
      </x:c>
      <x:c r="Q5" s="51" t="n">
        <x:v>4</x:v>
      </x:c>
      <x:c r="R5" s="52" t="n">
        <x:f>SUM(J5:Q5)</x:f>
        <x:v>92</x:v>
      </x:c>
      <x:c r="S5" s="50" t="str">
        <x:f>IF(R5&gt;='Rubrik'!$B$17,"Öncelikli video",IF(R5&gt;='Rubrik'!$B$18,"Video kuyruğu",IF(R5&gt;='Rubrik'!$B$19,"Revize et",IF(R5&gt;='Rubrik'!$B$20,"Kartla test","Düşük öncelik"))))</x:f>
        <x:v>Öncelikli video</x:v>
      </x:c>
      <x:c r="T5" s="50" t="str">
        <x:f>IF(AND(R5&gt;=85,P5&gt;=16,M5&gt;=12,L5&gt;=12),"Reel + Carousel",IF(AND(R5&gt;=85,P5&gt;=16,N5&gt;=8),"Soru odaklı Reel",IF(AND(R5&gt;=85,P5&gt;=16),"Reel / Short",IF(M5&gt;=11,"Carousel","Kart testi"))))</x:f>
        <x:v>Reel + Carousel</x:v>
      </x:c>
      <x:c r="U5" s="46" t="str">
        <x:v>Masada bayılma anı, “bu başarı mı?” sorusu ve yaşam dönüşü çok güçlü bir kısa video omurgası kuruyor.</x:v>
      </x:c>
      <x:c r="V5" s="46" t="str">
        <x:f>IF(Q5&lt;=3,"Kaynak kontrolü şart",IF(Q5=4,"Kaynak kontrolü önerilir","Standart doğrulama"))</x:f>
        <x:v>Kaynak kontrolü önerilir</x:v>
      </x:c>
    </x:row>
    <x:row r="6" ht="24" customHeight="1">
      <x:c r="A6" s="48" t="n">
        <x:f>COUNTIF($R$2:$R$751,"&gt;"&amp;R6)+COUNTIF($R$2:R6,R6)</x:f>
        <x:v>5</x:v>
      </x:c>
      <x:c r="B6" s="48" t="n">
        <x:v>1369</x:v>
      </x:c>
      <x:c r="C6" s="46" t="str">
        <x:v>FBI rehine müzakeresi</x:v>
      </x:c>
      <x:c r="D6" s="34" t="str">
        <x:v>İletişim</x:v>
      </x:c>
      <x:c r="E6" s="34" t="str">
        <x:v>Müzakere</x:v>
      </x:c>
      <x:c r="F6" s="34" t="str">
        <x:v>İnsanı Anlamak</x:v>
      </x:c>
      <x:c r="G6" s="34" t="str">
        <x:v>Chris Voss</x:v>
      </x:c>
      <x:c r="H6" s="50" t="str">
        <x:v>1</x:v>
      </x:c>
      <x:c r="I6" s="50" t="str">
        <x:v>Temel</x:v>
      </x:c>
      <x:c r="J6" s="51" t="n">
        <x:v>15</x:v>
      </x:c>
      <x:c r="K6" s="51" t="n">
        <x:v>9</x:v>
      </x:c>
      <x:c r="L6" s="51" t="n">
        <x:v>13</x:v>
      </x:c>
      <x:c r="M6" s="51" t="n">
        <x:v>13</x:v>
      </x:c>
      <x:c r="N6" s="51" t="n">
        <x:v>9</x:v>
      </x:c>
      <x:c r="O6" s="51" t="n">
        <x:v>10</x:v>
      </x:c>
      <x:c r="P6" s="51" t="n">
        <x:v>19</x:v>
      </x:c>
      <x:c r="Q6" s="51" t="n">
        <x:v>4</x:v>
      </x:c>
      <x:c r="R6" s="52" t="n">
        <x:f>SUM(J6:Q6)</x:f>
        <x:v>92</x:v>
      </x:c>
      <x:c r="S6" s="50" t="str">
        <x:f>IF(R6&gt;='Rubrik'!$B$17,"Öncelikli video",IF(R6&gt;='Rubrik'!$B$18,"Video kuyruğu",IF(R6&gt;='Rubrik'!$B$19,"Revize et",IF(R6&gt;='Rubrik'!$B$20,"Kartla test","Düşük öncelik"))))</x:f>
        <x:v>Öncelikli video</x:v>
      </x:c>
      <x:c r="T6" s="50" t="str">
        <x:f>IF(AND(R6&gt;=85,P6&gt;=16,M6&gt;=12,L6&gt;=12),"Reel + Carousel",IF(AND(R6&gt;=85,P6&gt;=16,N6&gt;=8),"Soru odaklı Reel",IF(AND(R6&gt;=85,P6&gt;=16),"Reel / Short",IF(M6&gt;=11,"Carousel","Kart testi"))))</x:f>
        <x:v>Reel + Carousel</x:v>
      </x:c>
      <x:c r="U6" s="46" t="str">
        <x:v>Rehine krizinde mantığın çökmesi ve taktiksel empatiye dönüş yüksek gerilimli, uygulanabilir bir öykü.</x:v>
      </x:c>
      <x:c r="V6" s="46" t="str">
        <x:f>IF(Q6&lt;=3,"Kaynak kontrolü şart",IF(Q6=4,"Kaynak kontrolü önerilir","Standart doğrulama"))</x:f>
        <x:v>Kaynak kontrolü önerilir</x:v>
      </x:c>
    </x:row>
    <x:row r="7" ht="24" customHeight="1">
      <x:c r="A7" s="48" t="n">
        <x:f>COUNTIF($R$2:$R$751,"&gt;"&amp;R7)+COUNTIF($R$2:R7,R7)</x:f>
        <x:v>6</x:v>
      </x:c>
      <x:c r="B7" s="48" t="n">
        <x:v>1456</x:v>
      </x:c>
      <x:c r="C7" s="46" t="str">
        <x:v>Phantom limb — hayalet uzuv ve beynin gerçeği</x:v>
      </x:c>
      <x:c r="D7" s="34" t="str">
        <x:v>Psikoloji</x:v>
      </x:c>
      <x:c r="E7" s="34" t="str">
        <x:v>Nörobilim</x:v>
      </x:c>
      <x:c r="F7" s="34" t="str">
        <x:v>Beynin Sırları</x:v>
      </x:c>
      <x:c r="G7" s="34" t="str">
        <x:v>V.S. Ramachandran</x:v>
      </x:c>
      <x:c r="H7" s="50" t="str">
        <x:v>1</x:v>
      </x:c>
      <x:c r="I7" s="50" t="str">
        <x:v>Temel</x:v>
      </x:c>
      <x:c r="J7" s="51" t="n">
        <x:v>14</x:v>
      </x:c>
      <x:c r="K7" s="51" t="n">
        <x:v>9</x:v>
      </x:c>
      <x:c r="L7" s="51" t="n">
        <x:v>14</x:v>
      </x:c>
      <x:c r="M7" s="51" t="n">
        <x:v>13</x:v>
      </x:c>
      <x:c r="N7" s="51" t="n">
        <x:v>9</x:v>
      </x:c>
      <x:c r="O7" s="51" t="n">
        <x:v>10</x:v>
      </x:c>
      <x:c r="P7" s="51" t="n">
        <x:v>18</x:v>
      </x:c>
      <x:c r="Q7" s="51" t="n">
        <x:v>5</x:v>
      </x:c>
      <x:c r="R7" s="52" t="n">
        <x:f>SUM(J7:Q7)</x:f>
        <x:v>92</x:v>
      </x:c>
      <x:c r="S7" s="50" t="str">
        <x:f>IF(R7&gt;='Rubrik'!$B$17,"Öncelikli video",IF(R7&gt;='Rubrik'!$B$18,"Video kuyruğu",IF(R7&gt;='Rubrik'!$B$19,"Revize et",IF(R7&gt;='Rubrik'!$B$20,"Kartla test","Düşük öncelik"))))</x:f>
        <x:v>Öncelikli video</x:v>
      </x:c>
      <x:c r="T7" s="50" t="str">
        <x:f>IF(AND(R7&gt;=85,P7&gt;=16,M7&gt;=12,L7&gt;=12),"Reel + Carousel",IF(AND(R7&gt;=85,P7&gt;=16,N7&gt;=8),"Soru odaklı Reel",IF(AND(R7&gt;=85,P7&gt;=16),"Reel / Short",IF(M7&gt;=11,"Carousel","Kart testi"))))</x:f>
        <x:v>Reel + Carousel</x:v>
      </x:c>
      <x:c r="U7" s="46" t="str">
        <x:v>Fantom ağrı ve ayna kutusu şaşırtıcı dönüşüm, somut nesne ve güçlü çözüm anıyla kusursuza yakın video verir.</x:v>
      </x:c>
      <x:c r="V7" s="46" t="str">
        <x:f>IF(Q7&lt;=3,"Kaynak kontrolü şart",IF(Q7=4,"Kaynak kontrolü önerilir","Standart doğrulama"))</x:f>
        <x:v>Standart doğrulama</x:v>
      </x:c>
    </x:row>
    <x:row r="8" ht="24" customHeight="1">
      <x:c r="A8" s="48" t="n">
        <x:f>COUNTIF($R$2:$R$751,"&gt;"&amp;R8)+COUNTIF($R$2:R8,R8)</x:f>
        <x:v>7</x:v>
      </x:c>
      <x:c r="B8" s="48" t="n">
        <x:v>1430</x:v>
      </x:c>
      <x:c r="C8" s="46" t="str">
        <x:v>Değişim istemek ile değişmek istemek</x:v>
      </x:c>
      <x:c r="D8" s="34" t="str">
        <x:v>Psikoloji</x:v>
      </x:c>
      <x:c r="E8" s="34" t="str">
        <x:v>Psikoloji</x:v>
      </x:c>
      <x:c r="F8" s="34" t="str">
        <x:v>Terapi</x:v>
      </x:c>
      <x:c r="G8" s="34" t="str">
        <x:v>Lori Gottlieb</x:v>
      </x:c>
      <x:c r="H8" s="50" t="str">
        <x:v>1</x:v>
      </x:c>
      <x:c r="I8" s="50" t="str">
        <x:v>Temel</x:v>
      </x:c>
      <x:c r="J8" s="51" t="n">
        <x:v>15</x:v>
      </x:c>
      <x:c r="K8" s="51" t="n">
        <x:v>9</x:v>
      </x:c>
      <x:c r="L8" s="51" t="n">
        <x:v>13</x:v>
      </x:c>
      <x:c r="M8" s="51" t="n">
        <x:v>13</x:v>
      </x:c>
      <x:c r="N8" s="51" t="n">
        <x:v>10</x:v>
      </x:c>
      <x:c r="O8" s="51" t="n">
        <x:v>10</x:v>
      </x:c>
      <x:c r="P8" s="51" t="n">
        <x:v>18</x:v>
      </x:c>
      <x:c r="Q8" s="51" t="n">
        <x:v>4</x:v>
      </x:c>
      <x:c r="R8" s="52" t="n">
        <x:f>SUM(J8:Q8)</x:f>
        <x:v>92</x:v>
      </x:c>
      <x:c r="S8" s="50" t="str">
        <x:f>IF(R8&gt;='Rubrik'!$B$17,"Öncelikli video",IF(R8&gt;='Rubrik'!$B$18,"Video kuyruğu",IF(R8&gt;='Rubrik'!$B$19,"Revize et",IF(R8&gt;='Rubrik'!$B$20,"Kartla test","Düşük öncelik"))))</x:f>
        <x:v>Öncelikli video</x:v>
      </x:c>
      <x:c r="T8" s="50" t="str">
        <x:f>IF(AND(R8&gt;=85,P8&gt;=16,M8&gt;=12,L8&gt;=12),"Reel + Carousel",IF(AND(R8&gt;=85,P8&gt;=16,N8&gt;=8),"Soru odaklı Reel",IF(AND(R8&gt;=85,P8&gt;=16),"Reel / Short",IF(M8&gt;=11,"Carousel","Kart testi"))))</x:f>
        <x:v>Reel + Carousel</x:v>
      </x:c>
      <x:c r="U8" s="46" t="str">
        <x:v>Değişim isteyen hastanın aslında çevresini değiştirmek istemesi güçlü, tanıdık ve konuşma açan bir ayna.</x:v>
      </x:c>
      <x:c r="V8" s="46" t="str">
        <x:f>IF(Q8&lt;=3,"Kaynak kontrolü şart",IF(Q8=4,"Kaynak kontrolü önerilir","Standart doğrulama"))</x:f>
        <x:v>Kaynak kontrolü önerilir</x:v>
      </x:c>
    </x:row>
    <x:row r="9" ht="24" customHeight="1">
      <x:c r="A9" s="48" t="n">
        <x:f>COUNTIF($R$2:$R$751,"&gt;"&amp;R9)+COUNTIF($R$2:R9,R9)</x:f>
        <x:v>8</x:v>
      </x:c>
      <x:c r="B9" s="48" t="n">
        <x:v>1504</x:v>
      </x:c>
      <x:c r="C9" s="46" t="str">
        <x:v>Mevzisel müzakere tuzağı</x:v>
      </x:c>
      <x:c r="D9" s="34" t="str">
        <x:v>İletişim</x:v>
      </x:c>
      <x:c r="E9" s="34" t="str">
        <x:v>Müzakere</x:v>
      </x:c>
      <x:c r="F9" s="34" t="str">
        <x:v>Müzakerede Evet Almak</x:v>
      </x:c>
      <x:c r="G9" s="34" t="str">
        <x:v>Roger Fisher</x:v>
      </x:c>
      <x:c r="H9" s="50" t="str">
        <x:v>1</x:v>
      </x:c>
      <x:c r="I9" s="50" t="str">
        <x:v>Temel</x:v>
      </x:c>
      <x:c r="J9" s="51" t="n">
        <x:v>14</x:v>
      </x:c>
      <x:c r="K9" s="51" t="n">
        <x:v>8</x:v>
      </x:c>
      <x:c r="L9" s="51" t="n">
        <x:v>14</x:v>
      </x:c>
      <x:c r="M9" s="51" t="n">
        <x:v>15</x:v>
      </x:c>
      <x:c r="N9" s="51" t="n">
        <x:v>9</x:v>
      </x:c>
      <x:c r="O9" s="51" t="n">
        <x:v>10</x:v>
      </x:c>
      <x:c r="P9" s="51" t="n">
        <x:v>17</x:v>
      </x:c>
      <x:c r="Q9" s="51" t="n">
        <x:v>5</x:v>
      </x:c>
      <x:c r="R9" s="52" t="n">
        <x:f>SUM(J9:Q9)</x:f>
        <x:v>92</x:v>
      </x:c>
      <x:c r="S9" s="50" t="str">
        <x:f>IF(R9&gt;='Rubrik'!$B$17,"Öncelikli video",IF(R9&gt;='Rubrik'!$B$18,"Video kuyruğu",IF(R9&gt;='Rubrik'!$B$19,"Revize et",IF(R9&gt;='Rubrik'!$B$20,"Kartla test","Düşük öncelik"))))</x:f>
        <x:v>Öncelikli video</x:v>
      </x:c>
      <x:c r="T9" s="50" t="str">
        <x:f>IF(AND(R9&gt;=85,P9&gt;=16,M9&gt;=12,L9&gt;=12),"Reel + Carousel",IF(AND(R9&gt;=85,P9&gt;=16,N9&gt;=8),"Soru odaklı Reel",IF(AND(R9&gt;=85,P9&gt;=16),"Reel / Short",IF(M9&gt;=11,"Carousel","Kart testi"))))</x:f>
        <x:v>Reel + Carousel</x:v>
      </x:c>
      <x:c r="U9" s="46" t="str">
        <x:v>İki kardeş ve tek portakal, pozisyon-çıkar ayrımını tek sahnede öğretir; son derece görsel ve kaydedilebilir.</x:v>
      </x:c>
      <x:c r="V9" s="46" t="str">
        <x:f>IF(Q9&lt;=3,"Kaynak kontrolü şart",IF(Q9=4,"Kaynak kontrolü önerilir","Standart doğrulama"))</x:f>
        <x:v>Standart doğrulama</x:v>
      </x:c>
    </x:row>
    <x:row r="10" ht="24" customHeight="1">
      <x:c r="A10" s="48" t="n">
        <x:f>COUNTIF($R$2:$R$751,"&gt;"&amp;R10)+COUNTIF($R$2:R10,R10)</x:f>
        <x:v>9</x:v>
      </x:c>
      <x:c r="B10" s="48" t="n">
        <x:v>1701</x:v>
      </x:c>
      <x:c r="C10" s="46" t="str">
        <x:v>Basit Bir Kontrol Listesi Kaç Hayat Kurtarabilir?</x:v>
      </x:c>
      <x:c r="D10" s="34" t="str">
        <x:v>Sağlık</x:v>
      </x:c>
      <x:c r="E10" s="34" t="str">
        <x:v>Sağlık</x:v>
      </x:c>
      <x:c r="F10" s="34" t="str">
        <x:v>The Checklist Manifesto</x:v>
      </x:c>
      <x:c r="G10" s="34" t="str">
        <x:v>Atul Gawande</x:v>
      </x:c>
      <x:c r="H10" s="50" t="str">
        <x:v>2</x:v>
      </x:c>
      <x:c r="I10" s="50" t="str">
        <x:v>Zengin</x:v>
      </x:c>
      <x:c r="J10" s="51" t="n">
        <x:v>14</x:v>
      </x:c>
      <x:c r="K10" s="51" t="n">
        <x:v>9</x:v>
      </x:c>
      <x:c r="L10" s="51" t="n">
        <x:v>13</x:v>
      </x:c>
      <x:c r="M10" s="51" t="n">
        <x:v>13</x:v>
      </x:c>
      <x:c r="N10" s="51" t="n">
        <x:v>9</x:v>
      </x:c>
      <x:c r="O10" s="51" t="n">
        <x:v>10</x:v>
      </x:c>
      <x:c r="P10" s="51" t="n">
        <x:v>18</x:v>
      </x:c>
      <x:c r="Q10" s="51" t="n">
        <x:v>5</x:v>
      </x:c>
      <x:c r="R10" s="52" t="n">
        <x:f>SUM(J10:Q10)</x:f>
        <x:v>91</x:v>
      </x:c>
      <x:c r="S10" s="50" t="str">
        <x:f>IF(R10&gt;='Rubrik'!$B$17,"Öncelikli video",IF(R10&gt;='Rubrik'!$B$18,"Video kuyruğu",IF(R10&gt;='Rubrik'!$B$19,"Revize et",IF(R10&gt;='Rubrik'!$B$20,"Kartla test","Düşük öncelik"))))</x:f>
        <x:v>Öncelikli video</x:v>
      </x:c>
      <x:c r="T10" s="50" t="str">
        <x:f>IF(AND(R10&gt;=85,P10&gt;=16,M10&gt;=12,L10&gt;=12),"Reel + Carousel",IF(AND(R10&gt;=85,P10&gt;=16,N10&gt;=8),"Soru odaklı Reel",IF(AND(R10&gt;=85,P10&gt;=16),"Reel / Short",IF(M10&gt;=11,"Carousel","Kart testi"))))</x:f>
        <x:v>Reel + Carousel</x:v>
      </x:c>
      <x:c r="U10" s="46" t="str">
        <x:v>Somut sahne ve sayısal ayrıntı güçlü bir video açılışı sağlıyor; paylaşılabilirlik yeterli.</x:v>
      </x:c>
      <x:c r="V10" s="46" t="str">
        <x:f>IF(Q10&lt;=3,"Kaynak kontrolü şart",IF(Q10=4,"Kaynak kontrolü önerilir","Standart doğrulama"))</x:f>
        <x:v>Standart doğrulama</x:v>
      </x:c>
    </x:row>
    <x:row r="11" ht="24" customHeight="1">
      <x:c r="A11" s="48" t="n">
        <x:f>COUNTIF($R$2:$R$751,"&gt;"&amp;R11)+COUNTIF($R$2:R11,R11)</x:f>
        <x:v>10</x:v>
      </x:c>
      <x:c r="B11" s="48" t="n">
        <x:v>1472</x:v>
      </x:c>
      <x:c r="C11" s="46" t="str">
        <x:v>Uyku ve yaratıcı problem çözme</x:v>
      </x:c>
      <x:c r="D11" s="34" t="str">
        <x:v>Verimlilik</x:v>
      </x:c>
      <x:c r="E11" s="34" t="str">
        <x:v>Verimlilik</x:v>
      </x:c>
      <x:c r="F11" s="34" t="str">
        <x:v>Dinlenmenin Gücü</x:v>
      </x:c>
      <x:c r="G11" s="34" t="str">
        <x:v>Alex Soojung-Kim Pang</x:v>
      </x:c>
      <x:c r="H11" s="50" t="str">
        <x:v>1</x:v>
      </x:c>
      <x:c r="I11" s="50" t="str">
        <x:v>Temel</x:v>
      </x:c>
      <x:c r="J11" s="51" t="n">
        <x:v>14</x:v>
      </x:c>
      <x:c r="K11" s="51" t="n">
        <x:v>9</x:v>
      </x:c>
      <x:c r="L11" s="51" t="n">
        <x:v>14</x:v>
      </x:c>
      <x:c r="M11" s="51" t="n">
        <x:v>13</x:v>
      </x:c>
      <x:c r="N11" s="51" t="n">
        <x:v>9</x:v>
      </x:c>
      <x:c r="O11" s="51" t="n">
        <x:v>10</x:v>
      </x:c>
      <x:c r="P11" s="51" t="n">
        <x:v>17</x:v>
      </x:c>
      <x:c r="Q11" s="51" t="n">
        <x:v>5</x:v>
      </x:c>
      <x:c r="R11" s="52" t="n">
        <x:f>SUM(J11:Q11)</x:f>
        <x:v>91</x:v>
      </x:c>
      <x:c r="S11" s="50" t="str">
        <x:f>IF(R11&gt;='Rubrik'!$B$17,"Öncelikli video",IF(R11&gt;='Rubrik'!$B$18,"Video kuyruğu",IF(R11&gt;='Rubrik'!$B$19,"Revize et",IF(R11&gt;='Rubrik'!$B$20,"Kartla test","Düşük öncelik"))))</x:f>
        <x:v>Öncelikli video</x:v>
      </x:c>
      <x:c r="T11" s="50" t="str">
        <x:f>IF(AND(R11&gt;=85,P11&gt;=16,M11&gt;=12,L11&gt;=12),"Reel + Carousel",IF(AND(R11&gt;=85,P11&gt;=16,N11&gt;=8),"Soru odaklı Reel",IF(AND(R11&gt;=85,P11&gt;=16),"Reel / Short",IF(M11&gt;=11,"Carousel","Kart testi"))))</x:f>
        <x:v>Reel + Carousel</x:v>
      </x:c>
      <x:c r="U11" s="46" t="str">
        <x:v>Loewi'nin rüyada bulduğu deney net gerilim, keşif ve kanıt içeriyor; kısa video anlatısı olağanüstü güçlü.</x:v>
      </x:c>
      <x:c r="V11" s="46" t="str">
        <x:f>IF(Q11&lt;=3,"Kaynak kontrolü şart",IF(Q11=4,"Kaynak kontrolü önerilir","Standart doğrulama"))</x:f>
        <x:v>Standart doğrulama</x:v>
      </x:c>
    </x:row>
    <x:row r="12" ht="24" customHeight="1">
      <x:c r="A12" s="48" t="n">
        <x:f>COUNTIF($R$2:$R$751,"&gt;"&amp;R12)+COUNTIF($R$2:R12,R12)</x:f>
        <x:v>11</x:v>
      </x:c>
      <x:c r="B12" s="48" t="n">
        <x:v>1547</x:v>
      </x:c>
      <x:c r="C12" s="46" t="str">
        <x:v>Moore Yasası ve bileşik büyümenin kavranmayan gücü</x:v>
      </x:c>
      <x:c r="D12" s="34" t="str">
        <x:v>Bilim</x:v>
      </x:c>
      <x:c r="E12" s="34" t="str">
        <x:v>Teknoloji</x:v>
      </x:c>
      <x:c r="F12" s="34" t="str">
        <x:v>İkinci Makine Çağı</x:v>
      </x:c>
      <x:c r="G12" s="34" t="str">
        <x:v>Erik Brynjolfsson</x:v>
      </x:c>
      <x:c r="H12" s="50" t="str">
        <x:v>1</x:v>
      </x:c>
      <x:c r="I12" s="50" t="str">
        <x:v>Temel</x:v>
      </x:c>
      <x:c r="J12" s="51" t="n">
        <x:v>14</x:v>
      </x:c>
      <x:c r="K12" s="51" t="n">
        <x:v>9</x:v>
      </x:c>
      <x:c r="L12" s="51" t="n">
        <x:v>14</x:v>
      </x:c>
      <x:c r="M12" s="51" t="n">
        <x:v>13</x:v>
      </x:c>
      <x:c r="N12" s="51" t="n">
        <x:v>9</x:v>
      </x:c>
      <x:c r="O12" s="51" t="n">
        <x:v>10</x:v>
      </x:c>
      <x:c r="P12" s="51" t="n">
        <x:v>17</x:v>
      </x:c>
      <x:c r="Q12" s="51" t="n">
        <x:v>5</x:v>
      </x:c>
      <x:c r="R12" s="52" t="n">
        <x:f>SUM(J12:Q12)</x:f>
        <x:v>91</x:v>
      </x:c>
      <x:c r="S12" s="50" t="str">
        <x:f>IF(R12&gt;='Rubrik'!$B$17,"Öncelikli video",IF(R12&gt;='Rubrik'!$B$18,"Video kuyruğu",IF(R12&gt;='Rubrik'!$B$19,"Revize et",IF(R12&gt;='Rubrik'!$B$20,"Kartla test","Düşük öncelik"))))</x:f>
        <x:v>Öncelikli video</x:v>
      </x:c>
      <x:c r="T12" s="50" t="str">
        <x:f>IF(AND(R12&gt;=85,P12&gt;=16,M12&gt;=12,L12&gt;=12),"Reel + Carousel",IF(AND(R12&gt;=85,P12&gt;=16,N12&gt;=8),"Soru odaklı Reel",IF(AND(R12&gt;=85,P12&gt;=16),"Reel / Short",IF(M12&gt;=11,"Carousel","Kart testi"))))</x:f>
        <x:v>Reel + Carousel</x:v>
      </x:c>
      <x:c r="U12" s="46" t="str">
        <x:v>Satranç tahtasındaki pirinç taneleri üstel büyümeyi gözle görünür kılıyor; finaldeki dev sayı paylaşımı tetikler.</x:v>
      </x:c>
      <x:c r="V12" s="46" t="str">
        <x:f>IF(Q12&lt;=3,"Kaynak kontrolü şart",IF(Q12=4,"Kaynak kontrolü önerilir","Standart doğrulama"))</x:f>
        <x:v>Standart doğrulama</x:v>
      </x:c>
    </x:row>
    <x:row r="13" ht="24" customHeight="1">
      <x:c r="A13" s="48" t="n">
        <x:f>COUNTIF($R$2:$R$751,"&gt;"&amp;R13)+COUNTIF($R$2:R13,R13)</x:f>
        <x:v>12</x:v>
      </x:c>
      <x:c r="B13" s="48" t="n">
        <x:v>1161</x:v>
      </x:c>
      <x:c r="C13" s="46" t="str">
        <x:v>İtfaiyecinin ölümcül sezgisi</x:v>
      </x:c>
      <x:c r="D13" s="34" t="str">
        <x:v>Psikoloji</x:v>
      </x:c>
      <x:c r="E13" s="34" t="str">
        <x:v>Psikoloji</x:v>
      </x:c>
      <x:c r="F13" s="34" t="str">
        <x:v>Sezgi Gücü</x:v>
      </x:c>
      <x:c r="G13" s="34" t="str">
        <x:v>Malcolm Gladwell</x:v>
      </x:c>
      <x:c r="H13" s="50" t="str">
        <x:v>1</x:v>
      </x:c>
      <x:c r="I13" s="50" t="str">
        <x:v>Temel</x:v>
      </x:c>
      <x:c r="J13" s="51" t="n">
        <x:v>15</x:v>
      </x:c>
      <x:c r="K13" s="51" t="n">
        <x:v>10</x:v>
      </x:c>
      <x:c r="L13" s="51" t="n">
        <x:v>13</x:v>
      </x:c>
      <x:c r="M13" s="51" t="n">
        <x:v>13</x:v>
      </x:c>
      <x:c r="N13" s="51" t="n">
        <x:v>10</x:v>
      </x:c>
      <x:c r="O13" s="51" t="n">
        <x:v>8</x:v>
      </x:c>
      <x:c r="P13" s="51" t="n">
        <x:v>17</x:v>
      </x:c>
      <x:c r="Q13" s="51" t="n">
        <x:v>5</x:v>
      </x:c>
      <x:c r="R13" s="52" t="n">
        <x:f>SUM(J13:Q13)</x:f>
        <x:v>91</x:v>
      </x:c>
      <x:c r="S13" s="50" t="str">
        <x:f>IF(R13&gt;='Rubrik'!$B$17,"Öncelikli video",IF(R13&gt;='Rubrik'!$B$18,"Video kuyruğu",IF(R13&gt;='Rubrik'!$B$19,"Revize et",IF(R13&gt;='Rubrik'!$B$20,"Kartla test","Düşük öncelik"))))</x:f>
        <x:v>Öncelikli video</x:v>
      </x:c>
      <x:c r="T13" s="50" t="str">
        <x:f>IF(AND(R13&gt;=85,P13&gt;=16,M13&gt;=12,L13&gt;=12),"Reel + Carousel",IF(AND(R13&gt;=85,P13&gt;=16,N13&gt;=8),"Soru odaklı Reel",IF(AND(R13&gt;=85,P13&gt;=16),"Reel / Short",IF(M13&gt;=11,"Carousel","Kart testi"))))</x:f>
        <x:v>Reel + Carousel</x:v>
      </x:c>
      <x:c r="U13" s="46" t="str">
        <x:v>Sessiz yangın, ani tahliye ve çöken zemin kusursuz gerilim; sezginin deneyim sınırını da doğru kuruyor.</x:v>
      </x:c>
      <x:c r="V13" s="46" t="str">
        <x:f>IF(Q13&lt;=3,"Kaynak kontrolü şart",IF(Q13=4,"Kaynak kontrolü önerilir","Standart doğrulama"))</x:f>
        <x:v>Standart doğrulama</x:v>
      </x:c>
    </x:row>
    <x:row r="14" ht="24" customHeight="1">
      <x:c r="A14" s="48" t="n">
        <x:f>COUNTIF($R$2:$R$751,"&gt;"&amp;R14)+COUNTIF($R$2:R14,R14)</x:f>
        <x:v>13</x:v>
      </x:c>
      <x:c r="B14" s="48" t="n">
        <x:v>1205</x:v>
      </x:c>
      <x:c r="C14" s="46" t="str">
        <x:v>Hazinenin geri dönüşü</x:v>
      </x:c>
      <x:c r="D14" s="34" t="str">
        <x:v>Büyüme</x:v>
      </x:c>
      <x:c r="E14" s="34" t="str">
        <x:v>İlham</x:v>
      </x:c>
      <x:c r="F14" s="34" t="str">
        <x:v>Kaybedilen Cennet</x:v>
      </x:c>
      <x:c r="G14" s="34" t="str">
        <x:v>Paulo Coelho</x:v>
      </x:c>
      <x:c r="H14" s="50" t="str">
        <x:v>1</x:v>
      </x:c>
      <x:c r="I14" s="50" t="str">
        <x:v>Temel</x:v>
      </x:c>
      <x:c r="J14" s="51" t="n">
        <x:v>15</x:v>
      </x:c>
      <x:c r="K14" s="51" t="n">
        <x:v>10</x:v>
      </x:c>
      <x:c r="L14" s="51" t="n">
        <x:v>13</x:v>
      </x:c>
      <x:c r="M14" s="51" t="n">
        <x:v>13</x:v>
      </x:c>
      <x:c r="N14" s="51" t="n">
        <x:v>10</x:v>
      </x:c>
      <x:c r="O14" s="51" t="n">
        <x:v>8</x:v>
      </x:c>
      <x:c r="P14" s="51" t="n">
        <x:v>17</x:v>
      </x:c>
      <x:c r="Q14" s="51" t="n">
        <x:v>5</x:v>
      </x:c>
      <x:c r="R14" s="52" t="n">
        <x:f>SUM(J14:Q14)</x:f>
        <x:v>91</x:v>
      </x:c>
      <x:c r="S14" s="50" t="str">
        <x:f>IF(R14&gt;='Rubrik'!$B$17,"Öncelikli video",IF(R14&gt;='Rubrik'!$B$18,"Video kuyruğu",IF(R14&gt;='Rubrik'!$B$19,"Revize et",IF(R14&gt;='Rubrik'!$B$20,"Kartla test","Düşük öncelik"))))</x:f>
        <x:v>Öncelikli video</x:v>
      </x:c>
      <x:c r="T14" s="50" t="str">
        <x:f>IF(AND(R14&gt;=85,P14&gt;=16,M14&gt;=12,L14&gt;=12),"Reel + Carousel",IF(AND(R14&gt;=85,P14&gt;=16,N14&gt;=8),"Soru odaklı Reel",IF(AND(R14&gt;=85,P14&gt;=16),"Reel / Short",IF(M14&gt;=11,"Carousel","Kart testi"))))</x:f>
        <x:v>Reel + Carousel</x:v>
      </x:c>
      <x:c r="U14" s="46" t="str">
        <x:v>Piramitlerde aranan hazinenin başlangıç noktasında çıkması eksiksiz, sinematik ve duygusal bir anlatı yayı.</x:v>
      </x:c>
      <x:c r="V14" s="46" t="str">
        <x:f>IF(Q14&lt;=3,"Kaynak kontrolü şart",IF(Q14=4,"Kaynak kontrolü önerilir","Standart doğrulama"))</x:f>
        <x:v>Standart doğrulama</x:v>
      </x:c>
    </x:row>
    <x:row r="15" ht="24" customHeight="1">
      <x:c r="A15" s="48" t="n">
        <x:f>COUNTIF($R$2:$R$751,"&gt;"&amp;R15)+COUNTIF($R$2:R15,R15)</x:f>
        <x:v>14</x:v>
      </x:c>
      <x:c r="B15" s="48" t="n">
        <x:v>1219</x:v>
      </x:c>
      <x:c r="C15" s="46" t="str">
        <x:v>Harvard'ın 85 yıllık mutluluk araştırması</x:v>
      </x:c>
      <x:c r="D15" s="34" t="str">
        <x:v>Psikoloji</x:v>
      </x:c>
      <x:c r="E15" s="34" t="str">
        <x:v>Mutluluk</x:v>
      </x:c>
      <x:c r="F15" s="34" t="str">
        <x:v>The Good Life</x:v>
      </x:c>
      <x:c r="G15" s="34" t="str">
        <x:v>Robert Waldinger</x:v>
      </x:c>
      <x:c r="H15" s="50" t="str">
        <x:v>1</x:v>
      </x:c>
      <x:c r="I15" s="50" t="str">
        <x:v>Temel</x:v>
      </x:c>
      <x:c r="J15" s="51" t="n">
        <x:v>15</x:v>
      </x:c>
      <x:c r="K15" s="51" t="n">
        <x:v>10</x:v>
      </x:c>
      <x:c r="L15" s="51" t="n">
        <x:v>13</x:v>
      </x:c>
      <x:c r="M15" s="51" t="n">
        <x:v>15</x:v>
      </x:c>
      <x:c r="N15" s="51" t="n">
        <x:v>10</x:v>
      </x:c>
      <x:c r="O15" s="51" t="n">
        <x:v>8</x:v>
      </x:c>
      <x:c r="P15" s="51" t="n">
        <x:v>17</x:v>
      </x:c>
      <x:c r="Q15" s="51" t="n">
        <x:v>3</x:v>
      </x:c>
      <x:c r="R15" s="52" t="n">
        <x:f>SUM(J15:Q15)</x:f>
        <x:v>91</x:v>
      </x:c>
      <x:c r="S15" s="50" t="str">
        <x:f>IF(R15&gt;='Rubrik'!$B$17,"Öncelikli video",IF(R15&gt;='Rubrik'!$B$18,"Video kuyruğu",IF(R15&gt;='Rubrik'!$B$19,"Revize et",IF(R15&gt;='Rubrik'!$B$20,"Kartla test","Düşük öncelik"))))</x:f>
        <x:v>Öncelikli video</x:v>
      </x:c>
      <x:c r="T15" s="50" t="str">
        <x:f>IF(AND(R15&gt;=85,P15&gt;=16,M15&gt;=12,L15&gt;=12),"Reel + Carousel",IF(AND(R15&gt;=85,P15&gt;=16,N15&gt;=8),"Soru odaklı Reel",IF(AND(R15&gt;=85,P15&gt;=16),"Reel / Short",IF(M15&gt;=11,"Carousel","Kart testi"))))</x:f>
        <x:v>Reel + Carousel</x:v>
      </x:c>
      <x:c r="U15" s="46" t="str">
        <x:v>85 yıllık araştırmanın ilişkiler sonucu evrensel ve güçlü; tek gerçek belirleyici ifadesi fazla mutlak.</x:v>
      </x:c>
      <x:c r="V15" s="46" t="str">
        <x:f>IF(Q15&lt;=3,"Kaynak kontrolü şart",IF(Q15=4,"Kaynak kontrolü önerilir","Standart doğrulama"))</x:f>
        <x:v>Kaynak kontrolü şart</x:v>
      </x:c>
    </x:row>
    <x:row r="16" ht="24" customHeight="1">
      <x:c r="A16" s="48" t="n">
        <x:f>COUNTIF($R$2:$R$751,"&gt;"&amp;R16)+COUNTIF($R$2:R16,R16)</x:f>
        <x:v>15</x:v>
      </x:c>
      <x:c r="B16" s="48" t="n">
        <x:v>1118</x:v>
      </x:c>
      <x:c r="C16" s="46" t="str">
        <x:v>H.M.'nin sonsuz şimdi'si</x:v>
      </x:c>
      <x:c r="D16" s="34" t="str">
        <x:v>Psikoloji</x:v>
      </x:c>
      <x:c r="E16" s="34" t="str">
        <x:v>Nörobilim</x:v>
      </x:c>
      <x:c r="F16" s="34" t="str">
        <x:v>Beyin Fırtınası</x:v>
      </x:c>
      <x:c r="G16" s="34" t="str">
        <x:v>David Eagleman</x:v>
      </x:c>
      <x:c r="H16" s="50" t="str">
        <x:v>1</x:v>
      </x:c>
      <x:c r="I16" s="50" t="str">
        <x:v>Temel</x:v>
      </x:c>
      <x:c r="J16" s="51" t="n">
        <x:v>15</x:v>
      </x:c>
      <x:c r="K16" s="51" t="n">
        <x:v>10</x:v>
      </x:c>
      <x:c r="L16" s="51" t="n">
        <x:v>13</x:v>
      </x:c>
      <x:c r="M16" s="51" t="n">
        <x:v>14</x:v>
      </x:c>
      <x:c r="N16" s="51" t="n">
        <x:v>10</x:v>
      </x:c>
      <x:c r="O16" s="51" t="n">
        <x:v>8</x:v>
      </x:c>
      <x:c r="P16" s="51" t="n">
        <x:v>16</x:v>
      </x:c>
      <x:c r="Q16" s="51" t="n">
        <x:v>5</x:v>
      </x:c>
      <x:c r="R16" s="52" t="n">
        <x:f>SUM(J16:Q16)</x:f>
        <x:v>91</x:v>
      </x:c>
      <x:c r="S16" s="50" t="str">
        <x:f>IF(R16&gt;='Rubrik'!$B$17,"Öncelikli video",IF(R16&gt;='Rubrik'!$B$18,"Video kuyruğu",IF(R16&gt;='Rubrik'!$B$19,"Revize et",IF(R16&gt;='Rubrik'!$B$20,"Kartla test","Düşük öncelik"))))</x:f>
        <x:v>Öncelikli video</x:v>
      </x:c>
      <x:c r="T16" s="50" t="str">
        <x:f>IF(AND(R16&gt;=85,P16&gt;=16,M16&gt;=12,L16&gt;=12),"Reel + Carousel",IF(AND(R16&gt;=85,P16&gt;=16,N16&gt;=8),"Soru odaklı Reel",IF(AND(R16&gt;=85,P16&gt;=16),"Reel / Short",IF(M16&gt;=11,"Carousel","Kart testi"))))</x:f>
        <x:v>Reel + Carousel</x:v>
      </x:c>
      <x:c r="U16" s="46" t="str">
        <x:v>Her gün yeniden tanışan H.M. sahnesi hem yürek burkucu hem bilimsel; gelecek-hafıza bağı unutulmuyor.</x:v>
      </x:c>
      <x:c r="V16" s="46" t="str">
        <x:f>IF(Q16&lt;=3,"Kaynak kontrolü şart",IF(Q16=4,"Kaynak kontrolü önerilir","Standart doğrulama"))</x:f>
        <x:v>Standart doğrulama</x:v>
      </x:c>
    </x:row>
    <x:row r="17" ht="24" customHeight="1">
      <x:c r="A17" s="48" t="n">
        <x:f>COUNTIF($R$2:$R$751,"&gt;"&amp;R17)+COUNTIF($R$2:R17,R17)</x:f>
        <x:v>16</x:v>
      </x:c>
      <x:c r="B17" s="48" t="n">
        <x:v>1720</x:v>
      </x:c>
      <x:c r="C17" s="46" t="str">
        <x:v>24 Reçel Neden 6 Reçelden Daha Az Sattı?</x:v>
      </x:c>
      <x:c r="D17" s="34" t="str">
        <x:v>Psikoloji</x:v>
      </x:c>
      <x:c r="E17" s="34" t="str">
        <x:v>Psikoloji</x:v>
      </x:c>
      <x:c r="F17" s="34" t="str">
        <x:v>The Paradox of Choice</x:v>
      </x:c>
      <x:c r="G17" s="34" t="str">
        <x:v>Barry Schwartz</x:v>
      </x:c>
      <x:c r="H17" s="50" t="str">
        <x:v>2</x:v>
      </x:c>
      <x:c r="I17" s="50" t="str">
        <x:v>Zengin</x:v>
      </x:c>
      <x:c r="J17" s="51" t="n">
        <x:v>15</x:v>
      </x:c>
      <x:c r="K17" s="51" t="n">
        <x:v>7</x:v>
      </x:c>
      <x:c r="L17" s="51" t="n">
        <x:v>14</x:v>
      </x:c>
      <x:c r="M17" s="51" t="n">
        <x:v>13</x:v>
      </x:c>
      <x:c r="N17" s="51" t="n">
        <x:v>9</x:v>
      </x:c>
      <x:c r="O17" s="51" t="n">
        <x:v>7</x:v>
      </x:c>
      <x:c r="P17" s="51" t="n">
        <x:v>20</x:v>
      </x:c>
      <x:c r="Q17" s="51" t="n">
        <x:v>5</x:v>
      </x:c>
      <x:c r="R17" s="52" t="n">
        <x:f>SUM(J17:Q17)</x:f>
        <x:v>90</x:v>
      </x:c>
      <x:c r="S17" s="50" t="str">
        <x:f>IF(R17&gt;='Rubrik'!$B$17,"Öncelikli video",IF(R17&gt;='Rubrik'!$B$18,"Video kuyruğu",IF(R17&gt;='Rubrik'!$B$19,"Revize et",IF(R17&gt;='Rubrik'!$B$20,"Kartla test","Düşük öncelik"))))</x:f>
        <x:v>Öncelikli video</x:v>
      </x:c>
      <x:c r="T17" s="50" t="str">
        <x:f>IF(AND(R17&gt;=85,P17&gt;=16,M17&gt;=12,L17&gt;=12),"Reel + Carousel",IF(AND(R17&gt;=85,P17&gt;=16,N17&gt;=8),"Soru odaklı Reel",IF(AND(R17&gt;=85,P17&gt;=16),"Reel / Short",IF(M17&gt;=11,"Carousel","Kart testi"))))</x:f>
        <x:v>Reel + Carousel</x:v>
      </x:c>
      <x:c r="U17" s="46" t="str">
        <x:v>Somut sahne ve sayısal ayrıntı güçlü bir video açılışı sağlıyor; olay örgüsü geliştirilmeli.</x:v>
      </x:c>
      <x:c r="V17" s="46" t="str">
        <x:f>IF(Q17&lt;=3,"Kaynak kontrolü şart",IF(Q17=4,"Kaynak kontrolü önerilir","Standart doğrulama"))</x:f>
        <x:v>Standart doğrulama</x:v>
      </x:c>
    </x:row>
    <x:row r="18" ht="24" customHeight="1">
      <x:c r="A18" s="48" t="n">
        <x:f>COUNTIF($R$2:$R$751,"&gt;"&amp;R18)+COUNTIF($R$2:R18,R18)</x:f>
        <x:v>17</x:v>
      </x:c>
      <x:c r="B18" s="48" t="n">
        <x:v>1788</x:v>
      </x:c>
      <x:c r="C18" s="46" t="str">
        <x:v>Aslandan Kaçan Zebra</x:v>
      </x:c>
      <x:c r="D18" s="34" t="str">
        <x:v>Sağlık</x:v>
      </x:c>
      <x:c r="E18" s="34" t="str">
        <x:v>Sağlık</x:v>
      </x:c>
      <x:c r="F18" s="34" t="str">
        <x:v>Why Zebras Don't Get Ulcers</x:v>
      </x:c>
      <x:c r="G18" s="34" t="str">
        <x:v>Robert M. Sapolsky</x:v>
      </x:c>
      <x:c r="H18" s="50" t="str">
        <x:v>F6</x:v>
      </x:c>
      <x:c r="I18" s="50" t="str">
        <x:v>Zengin</x:v>
      </x:c>
      <x:c r="J18" s="51" t="n">
        <x:v>14</x:v>
      </x:c>
      <x:c r="K18" s="51" t="n">
        <x:v>10</x:v>
      </x:c>
      <x:c r="L18" s="51" t="n">
        <x:v>15</x:v>
      </x:c>
      <x:c r="M18" s="51" t="n">
        <x:v>11</x:v>
      </x:c>
      <x:c r="N18" s="51" t="n">
        <x:v>10</x:v>
      </x:c>
      <x:c r="O18" s="51" t="n">
        <x:v>8</x:v>
      </x:c>
      <x:c r="P18" s="51" t="n">
        <x:v>19</x:v>
      </x:c>
      <x:c r="Q18" s="51" t="n">
        <x:v>3</x:v>
      </x:c>
      <x:c r="R18" s="52" t="n">
        <x:f>SUM(J18:Q18)</x:f>
        <x:v>90</x:v>
      </x:c>
      <x:c r="S18" s="50" t="str">
        <x:f>IF(R18&gt;='Rubrik'!$B$17,"Öncelikli video",IF(R18&gt;='Rubrik'!$B$18,"Video kuyruğu",IF(R18&gt;='Rubrik'!$B$19,"Revize et",IF(R18&gt;='Rubrik'!$B$20,"Kartla test","Düşük öncelik"))))</x:f>
        <x:v>Öncelikli video</x:v>
      </x:c>
      <x:c r="T18" s="50" t="str">
        <x:f>IF(AND(R18&gt;=85,P18&gt;=16,M18&gt;=12,L18&gt;=12),"Reel + Carousel",IF(AND(R18&gt;=85,P18&gt;=16,N18&gt;=8),"Soru odaklı Reel",IF(AND(R18&gt;=85,P18&gt;=16),"Reel / Short",IF(M18&gt;=11,"Carousel","Kart testi"))))</x:f>
        <x:v>Soru odaklı Reel</x:v>
      </x:c>
      <x:c r="U18" s="46" t="str">
        <x:v>Duygusal karşıtlık paylaşma ve kişisel anlatma isteğini yükseltiyor; olay örgüsü yeterli.</x:v>
      </x:c>
      <x:c r="V18" s="46" t="str">
        <x:f>IF(Q18&lt;=3,"Kaynak kontrolü şart",IF(Q18=4,"Kaynak kontrolü önerilir","Standart doğrulama"))</x:f>
        <x:v>Kaynak kontrolü şart</x:v>
      </x:c>
    </x:row>
    <x:row r="19" ht="24" customHeight="1">
      <x:c r="A19" s="48" t="n">
        <x:f>COUNTIF($R$2:$R$751,"&gt;"&amp;R19)+COUNTIF($R$2:R19,R19)</x:f>
        <x:v>18</x:v>
      </x:c>
      <x:c r="B19" s="48" t="n">
        <x:v>1694</x:v>
      </x:c>
      <x:c r="C19" s="46" t="str">
        <x:v>Seabiscuit Büyük Buhran'a Nasıl Umut Oldu?</x:v>
      </x:c>
      <x:c r="D19" s="34" t="str">
        <x:v>Tarih</x:v>
      </x:c>
      <x:c r="E19" s="34" t="str">
        <x:v>Tarih</x:v>
      </x:c>
      <x:c r="F19" s="34" t="str">
        <x:v>Seabiscuit</x:v>
      </x:c>
      <x:c r="G19" s="34" t="str">
        <x:v>Laura Hillenbrand</x:v>
      </x:c>
      <x:c r="H19" s="50" t="str">
        <x:v>2</x:v>
      </x:c>
      <x:c r="I19" s="50" t="str">
        <x:v>Zengin</x:v>
      </x:c>
      <x:c r="J19" s="51" t="n">
        <x:v>13</x:v>
      </x:c>
      <x:c r="K19" s="51" t="n">
        <x:v>10</x:v>
      </x:c>
      <x:c r="L19" s="51" t="n">
        <x:v>14</x:v>
      </x:c>
      <x:c r="M19" s="51" t="n">
        <x:v>11</x:v>
      </x:c>
      <x:c r="N19" s="51" t="n">
        <x:v>9</x:v>
      </x:c>
      <x:c r="O19" s="51" t="n">
        <x:v>9</x:v>
      </x:c>
      <x:c r="P19" s="51" t="n">
        <x:v>19</x:v>
      </x:c>
      <x:c r="Q19" s="51" t="n">
        <x:v>5</x:v>
      </x:c>
      <x:c r="R19" s="52" t="n">
        <x:f>SUM(J19:Q19)</x:f>
        <x:v>90</x:v>
      </x:c>
      <x:c r="S19" s="50" t="str">
        <x:f>IF(R19&gt;='Rubrik'!$B$17,"Öncelikli video",IF(R19&gt;='Rubrik'!$B$18,"Video kuyruğu",IF(R19&gt;='Rubrik'!$B$19,"Revize et",IF(R19&gt;='Rubrik'!$B$20,"Kartla test","Düşük öncelik"))))</x:f>
        <x:v>Öncelikli video</x:v>
      </x:c>
      <x:c r="T19" s="50" t="str">
        <x:f>IF(AND(R19&gt;=85,P19&gt;=16,M19&gt;=12,L19&gt;=12),"Reel + Carousel",IF(AND(R19&gt;=85,P19&gt;=16,N19&gt;=8),"Soru odaklı Reel",IF(AND(R19&gt;=85,P19&gt;=16),"Reel / Short",IF(M19&gt;=11,"Carousel","Kart testi"))))</x:f>
        <x:v>Soru odaklı Reel</x:v>
      </x:c>
      <x:c r="U19" s="46" t="str">
        <x:v>Somut sahne ve sayısal ayrıntı güçlü bir video açılışı sağlıyor; ilk saniye etkisi yeterli.</x:v>
      </x:c>
      <x:c r="V19" s="46" t="str">
        <x:f>IF(Q19&lt;=3,"Kaynak kontrolü şart",IF(Q19=4,"Kaynak kontrolü önerilir","Standart doğrulama"))</x:f>
        <x:v>Standart doğrulama</x:v>
      </x:c>
    </x:row>
    <x:row r="20" ht="24" customHeight="1">
      <x:c r="A20" s="48" t="n">
        <x:f>COUNTIF($R$2:$R$751,"&gt;"&amp;R20)+COUNTIF($R$2:R20,R20)</x:f>
        <x:v>19</x:v>
      </x:c>
      <x:c r="B20" s="48" t="n">
        <x:v>1284</x:v>
      </x:c>
      <x:c r="C20" s="46" t="str">
        <x:v>Hazine hep başladığın yerde</x:v>
      </x:c>
      <x:c r="D20" s="34" t="str">
        <x:v>Büyüme</x:v>
      </x:c>
      <x:c r="E20" s="34" t="str">
        <x:v>İlham</x:v>
      </x:c>
      <x:c r="F20" s="34" t="str">
        <x:v>Kaybedilen Cennet</x:v>
      </x:c>
      <x:c r="G20" s="34" t="str">
        <x:v>Paulo Coelho</x:v>
      </x:c>
      <x:c r="H20" s="50" t="str">
        <x:v>1</x:v>
      </x:c>
      <x:c r="I20" s="50" t="str">
        <x:v>Temel</x:v>
      </x:c>
      <x:c r="J20" s="51" t="n">
        <x:v>15</x:v>
      </x:c>
      <x:c r="K20" s="51" t="n">
        <x:v>9</x:v>
      </x:c>
      <x:c r="L20" s="51" t="n">
        <x:v>13</x:v>
      </x:c>
      <x:c r="M20" s="51" t="n">
        <x:v>11</x:v>
      </x:c>
      <x:c r="N20" s="51" t="n">
        <x:v>9</x:v>
      </x:c>
      <x:c r="O20" s="51" t="n">
        <x:v>9</x:v>
      </x:c>
      <x:c r="P20" s="51" t="n">
        <x:v>19</x:v>
      </x:c>
      <x:c r="Q20" s="51" t="n">
        <x:v>5</x:v>
      </x:c>
      <x:c r="R20" s="52" t="n">
        <x:f>SUM(J20:Q20)</x:f>
        <x:v>90</x:v>
      </x:c>
      <x:c r="S20" s="50" t="str">
        <x:f>IF(R20&gt;='Rubrik'!$B$17,"Öncelikli video",IF(R20&gt;='Rubrik'!$B$18,"Video kuyruğu",IF(R20&gt;='Rubrik'!$B$19,"Revize et",IF(R20&gt;='Rubrik'!$B$20,"Kartla test","Düşük öncelik"))))</x:f>
        <x:v>Öncelikli video</x:v>
      </x:c>
      <x:c r="T20" s="50" t="str">
        <x:f>IF(AND(R20&gt;=85,P20&gt;=16,M20&gt;=12,L20&gt;=12),"Reel + Carousel",IF(AND(R20&gt;=85,P20&gt;=16,N20&gt;=8),"Soru odaklı Reel",IF(AND(R20&gt;=85,P20&gt;=16),"Reel / Short",IF(M20&gt;=11,"Carousel","Kart testi"))))</x:f>
        <x:v>Soru odaklı Reel</x:v>
      </x:c>
      <x:c r="U20" s="46" t="str">
        <x:v>Hazinenin başlangıçta çıkması güçlü ters köşe, şiirsel sonuç ve kusursuz kısa video kurgusu sağlıyor.</x:v>
      </x:c>
      <x:c r="V20" s="46" t="str">
        <x:f>IF(Q20&lt;=3,"Kaynak kontrolü şart",IF(Q20=4,"Kaynak kontrolü önerilir","Standart doğrulama"))</x:f>
        <x:v>Standart doğrulama</x:v>
      </x:c>
    </x:row>
    <x:row r="21" ht="24" customHeight="1">
      <x:c r="A21" s="48" t="n">
        <x:f>COUNTIF($R$2:$R$751,"&gt;"&amp;R21)+COUNTIF($R$2:R21,R21)</x:f>
        <x:v>20</x:v>
      </x:c>
      <x:c r="B21" s="48" t="n">
        <x:v>1303</x:v>
      </x:c>
      <x:c r="C21" s="46" t="str">
        <x:v>Hindinin yanlış öğrenimi</x:v>
      </x:c>
      <x:c r="D21" s="34" t="str">
        <x:v>Felsefe</x:v>
      </x:c>
      <x:c r="E21" s="34" t="str">
        <x:v>Düşünme</x:v>
      </x:c>
      <x:c r="F21" s="34" t="str">
        <x:v>Siyah Kuğu</x:v>
      </x:c>
      <x:c r="G21" s="34" t="str">
        <x:v>Nassim Taleb</x:v>
      </x:c>
      <x:c r="H21" s="50" t="str">
        <x:v>1</x:v>
      </x:c>
      <x:c r="I21" s="50" t="str">
        <x:v>Temel</x:v>
      </x:c>
      <x:c r="J21" s="51" t="n">
        <x:v>15</x:v>
      </x:c>
      <x:c r="K21" s="51" t="n">
        <x:v>8</x:v>
      </x:c>
      <x:c r="L21" s="51" t="n">
        <x:v>13</x:v>
      </x:c>
      <x:c r="M21" s="51" t="n">
        <x:v>13</x:v>
      </x:c>
      <x:c r="N21" s="51" t="n">
        <x:v>9</x:v>
      </x:c>
      <x:c r="O21" s="51" t="n">
        <x:v>9</x:v>
      </x:c>
      <x:c r="P21" s="51" t="n">
        <x:v>19</x:v>
      </x:c>
      <x:c r="Q21" s="51" t="n">
        <x:v>4</x:v>
      </x:c>
      <x:c r="R21" s="52" t="n">
        <x:f>SUM(J21:Q21)</x:f>
        <x:v>90</x:v>
      </x:c>
      <x:c r="S21" s="50" t="str">
        <x:f>IF(R21&gt;='Rubrik'!$B$17,"Öncelikli video",IF(R21&gt;='Rubrik'!$B$18,"Video kuyruğu",IF(R21&gt;='Rubrik'!$B$19,"Revize et",IF(R21&gt;='Rubrik'!$B$20,"Kartla test","Düşük öncelik"))))</x:f>
        <x:v>Öncelikli video</x:v>
      </x:c>
      <x:c r="T21" s="50" t="str">
        <x:f>IF(AND(R21&gt;=85,P21&gt;=16,M21&gt;=12,L21&gt;=12),"Reel + Carousel",IF(AND(R21&gt;=85,P21&gt;=16,N21&gt;=8),"Soru odaklı Reel",IF(AND(R21&gt;=85,P21&gt;=16),"Reel / Short",IF(M21&gt;=11,"Carousel","Kart testi"))))</x:f>
        <x:v>Reel + Carousel</x:v>
      </x:c>
      <x:c r="U21" s="46" t="str">
        <x:v>Her gün beslenen hindinin Şükran Günü dönüşü kusursuz merak, ters köşe ve görsel anlatım sağlıyor.</x:v>
      </x:c>
      <x:c r="V21" s="46" t="str">
        <x:f>IF(Q21&lt;=3,"Kaynak kontrolü şart",IF(Q21=4,"Kaynak kontrolü önerilir","Standart doğrulama"))</x:f>
        <x:v>Kaynak kontrolü önerilir</x:v>
      </x:c>
    </x:row>
    <x:row r="22" ht="24" customHeight="1">
      <x:c r="A22" s="48" t="n">
        <x:f>COUNTIF($R$2:$R$751,"&gt;"&amp;R22)+COUNTIF($R$2:R22,R22)</x:f>
        <x:v>21</x:v>
      </x:c>
      <x:c r="B22" s="48" t="n">
        <x:v>1321</x:v>
      </x:c>
      <x:c r="C22" s="46" t="str">
        <x:v>Polaroid'in anlık cevabı</x:v>
      </x:c>
      <x:c r="D22" s="34" t="str">
        <x:v>Verimlilik</x:v>
      </x:c>
      <x:c r="E22" s="34" t="str">
        <x:v>Yaratıcılık</x:v>
      </x:c>
      <x:c r="F22" s="34" t="str">
        <x:v>Güçlü Sorular</x:v>
      </x:c>
      <x:c r="G22" s="34" t="str">
        <x:v>Warren Berger</x:v>
      </x:c>
      <x:c r="H22" s="50" t="str">
        <x:v>1</x:v>
      </x:c>
      <x:c r="I22" s="50" t="str">
        <x:v>Temel</x:v>
      </x:c>
      <x:c r="J22" s="51" t="n">
        <x:v>15</x:v>
      </x:c>
      <x:c r="K22" s="51" t="n">
        <x:v>8</x:v>
      </x:c>
      <x:c r="L22" s="51" t="n">
        <x:v>13</x:v>
      </x:c>
      <x:c r="M22" s="51" t="n">
        <x:v>13</x:v>
      </x:c>
      <x:c r="N22" s="51" t="n">
        <x:v>9</x:v>
      </x:c>
      <x:c r="O22" s="51" t="n">
        <x:v>9</x:v>
      </x:c>
      <x:c r="P22" s="51" t="n">
        <x:v>19</x:v>
      </x:c>
      <x:c r="Q22" s="51" t="n">
        <x:v>4</x:v>
      </x:c>
      <x:c r="R22" s="52" t="n">
        <x:f>SUM(J22:Q22)</x:f>
        <x:v>90</x:v>
      </x:c>
      <x:c r="S22" s="50" t="str">
        <x:f>IF(R22&gt;='Rubrik'!$B$17,"Öncelikli video",IF(R22&gt;='Rubrik'!$B$18,"Video kuyruğu",IF(R22&gt;='Rubrik'!$B$19,"Revize et",IF(R22&gt;='Rubrik'!$B$20,"Kartla test","Düşük öncelik"))))</x:f>
        <x:v>Öncelikli video</x:v>
      </x:c>
      <x:c r="T22" s="50" t="str">
        <x:f>IF(AND(R22&gt;=85,P22&gt;=16,M22&gt;=12,L22&gt;=12),"Reel + Carousel",IF(AND(R22&gt;=85,P22&gt;=16,N22&gt;=8),"Soru odaklı Reel",IF(AND(R22&gt;=85,P22&gt;=16),"Reel / Short",IF(M22&gt;=11,"Carousel","Kart testi"))))</x:f>
        <x:v>Reel + Carousel</x:v>
      </x:c>
      <x:c r="U22" s="46" t="str">
        <x:v>Çocuğun basit sorusundan Polaroid’e geçiş sıcak, şaşırtıcı ve kusursuz görselleştirilebilir bir inovasyon öyküsü.</x:v>
      </x:c>
      <x:c r="V22" s="46" t="str">
        <x:f>IF(Q22&lt;=3,"Kaynak kontrolü şart",IF(Q22=4,"Kaynak kontrolü önerilir","Standart doğrulama"))</x:f>
        <x:v>Kaynak kontrolü önerilir</x:v>
      </x:c>
    </x:row>
    <x:row r="23" ht="24" customHeight="1">
      <x:c r="A23" s="48" t="n">
        <x:f>COUNTIF($R$2:$R$751,"&gt;"&amp;R23)+COUNTIF($R$2:R23,R23)</x:f>
        <x:v>22</x:v>
      </x:c>
      <x:c r="B23" s="48" t="n">
        <x:v>1345</x:v>
      </x:c>
      <x:c r="C23" s="46" t="str">
        <x:v>Kot pantolon ve felç edici özgürlük</x:v>
      </x:c>
      <x:c r="D23" s="34" t="str">
        <x:v>Psikoloji</x:v>
      </x:c>
      <x:c r="E23" s="34" t="str">
        <x:v>Psikoloji</x:v>
      </x:c>
      <x:c r="F23" s="34" t="str">
        <x:v>The Paradox of Choice</x:v>
      </x:c>
      <x:c r="G23" s="34" t="str">
        <x:v>Barry Schwartz</x:v>
      </x:c>
      <x:c r="H23" s="50" t="str">
        <x:v>1</x:v>
      </x:c>
      <x:c r="I23" s="50" t="str">
        <x:v>Temel</x:v>
      </x:c>
      <x:c r="J23" s="51" t="n">
        <x:v>15</x:v>
      </x:c>
      <x:c r="K23" s="51" t="n">
        <x:v>8</x:v>
      </x:c>
      <x:c r="L23" s="51" t="n">
        <x:v>13</x:v>
      </x:c>
      <x:c r="M23" s="51" t="n">
        <x:v>13</x:v>
      </x:c>
      <x:c r="N23" s="51" t="n">
        <x:v>9</x:v>
      </x:c>
      <x:c r="O23" s="51" t="n">
        <x:v>9</x:v>
      </x:c>
      <x:c r="P23" s="51" t="n">
        <x:v>19</x:v>
      </x:c>
      <x:c r="Q23" s="51" t="n">
        <x:v>4</x:v>
      </x:c>
      <x:c r="R23" s="52" t="n">
        <x:f>SUM(J23:Q23)</x:f>
        <x:v>90</x:v>
      </x:c>
      <x:c r="S23" s="50" t="str">
        <x:f>IF(R23&gt;='Rubrik'!$B$17,"Öncelikli video",IF(R23&gt;='Rubrik'!$B$18,"Video kuyruğu",IF(R23&gt;='Rubrik'!$B$19,"Revize et",IF(R23&gt;='Rubrik'!$B$20,"Kartla test","Düşük öncelik"))))</x:f>
        <x:v>Öncelikli video</x:v>
      </x:c>
      <x:c r="T23" s="50" t="str">
        <x:f>IF(AND(R23&gt;=85,P23&gt;=16,M23&gt;=12,L23&gt;=12),"Reel + Carousel",IF(AND(R23&gt;=85,P23&gt;=16,N23&gt;=8),"Soru odaklı Reel",IF(AND(R23&gt;=85,P23&gt;=16),"Reel / Short",IF(M23&gt;=11,"Carousel","Kart testi"))))</x:f>
        <x:v>Reel + Carousel</x:v>
      </x:c>
      <x:c r="U23" s="46" t="str">
        <x:v>Kot mağazasında saatlerce kalıp mutsuz çıkmak seçim paradoksunu canlı, komik ve net biçimde gösteriyor.</x:v>
      </x:c>
      <x:c r="V23" s="46" t="str">
        <x:f>IF(Q23&lt;=3,"Kaynak kontrolü şart",IF(Q23=4,"Kaynak kontrolü önerilir","Standart doğrulama"))</x:f>
        <x:v>Kaynak kontrolü önerilir</x:v>
      </x:c>
    </x:row>
    <x:row r="24" ht="24" customHeight="1">
      <x:c r="A24" s="48" t="n">
        <x:f>COUNTIF($R$2:$R$751,"&gt;"&amp;R24)+COUNTIF($R$2:R24,R24)</x:f>
        <x:v>23</x:v>
      </x:c>
      <x:c r="B24" s="48" t="n">
        <x:v>1417</x:v>
      </x:c>
      <x:c r="C24" s="46" t="str">
        <x:v>Cirque du Soleil ve yeni pazar yaratma</x:v>
      </x:c>
      <x:c r="D24" s="34" t="str">
        <x:v>Liderlik</x:v>
      </x:c>
      <x:c r="E24" s="34" t="str">
        <x:v>Strateji</x:v>
      </x:c>
      <x:c r="F24" s="34" t="str">
        <x:v>Mavi Okyanus Stratejisi</x:v>
      </x:c>
      <x:c r="G24" s="34" t="str">
        <x:v>W. Chan Kim</x:v>
      </x:c>
      <x:c r="H24" s="50" t="str">
        <x:v>1</x:v>
      </x:c>
      <x:c r="I24" s="50" t="str">
        <x:v>Temel</x:v>
      </x:c>
      <x:c r="J24" s="51" t="n">
        <x:v>15</x:v>
      </x:c>
      <x:c r="K24" s="51" t="n">
        <x:v>9</x:v>
      </x:c>
      <x:c r="L24" s="51" t="n">
        <x:v>13</x:v>
      </x:c>
      <x:c r="M24" s="51" t="n">
        <x:v>13</x:v>
      </x:c>
      <x:c r="N24" s="51" t="n">
        <x:v>9</x:v>
      </x:c>
      <x:c r="O24" s="51" t="n">
        <x:v>9</x:v>
      </x:c>
      <x:c r="P24" s="51" t="n">
        <x:v>19</x:v>
      </x:c>
      <x:c r="Q24" s="51" t="n">
        <x:v>3</x:v>
      </x:c>
      <x:c r="R24" s="52" t="n">
        <x:f>SUM(J24:Q24)</x:f>
        <x:v>90</x:v>
      </x:c>
      <x:c r="S24" s="50" t="str">
        <x:f>IF(R24&gt;='Rubrik'!$B$17,"Öncelikli video",IF(R24&gt;='Rubrik'!$B$18,"Video kuyruğu",IF(R24&gt;='Rubrik'!$B$19,"Revize et",IF(R24&gt;='Rubrik'!$B$20,"Kartla test","Düşük öncelik"))))</x:f>
        <x:v>Öncelikli video</x:v>
      </x:c>
      <x:c r="T24" s="50" t="str">
        <x:f>IF(AND(R24&gt;=85,P24&gt;=16,M24&gt;=12,L24&gt;=12),"Reel + Carousel",IF(AND(R24&gt;=85,P24&gt;=16,N24&gt;=8),"Soru odaklı Reel",IF(AND(R24&gt;=85,P24&gt;=16),"Reel / Short",IF(M24&gt;=11,"Carousel","Kart testi"))))</x:f>
        <x:v>Reel + Carousel</x:v>
      </x:c>
      <x:c r="U24" s="46" t="str">
        <x:v>Ölen sirkten yetişkin tiyatrosuna geçiş son derece sinematik; palyaço ve sektör ayrıntıları düzeltilmeli.</x:v>
      </x:c>
      <x:c r="V24" s="46" t="str">
        <x:f>IF(Q24&lt;=3,"Kaynak kontrolü şart",IF(Q24=4,"Kaynak kontrolü önerilir","Standart doğrulama"))</x:f>
        <x:v>Kaynak kontrolü şart</x:v>
      </x:c>
    </x:row>
    <x:row r="25" ht="24" customHeight="1">
      <x:c r="A25" s="48" t="n">
        <x:f>COUNTIF($R$2:$R$751,"&gt;"&amp;R25)+COUNTIF($R$2:R25,R25)</x:f>
        <x:v>24</x:v>
      </x:c>
      <x:c r="B25" s="48" t="n">
        <x:v>1572</x:v>
      </x:c>
      <x:c r="C25" s="46" t="str">
        <x:v>Ortak amaç — 'neden' sorusu kültürü bir arada tutar</x:v>
      </x:c>
      <x:c r="D25" s="34" t="str">
        <x:v>Liderlik</x:v>
      </x:c>
      <x:c r="E25" s="34" t="str">
        <x:v>Liderlik</x:v>
      </x:c>
      <x:c r="F25" s="34" t="str">
        <x:v>Kültür Kodu</x:v>
      </x:c>
      <x:c r="G25" s="34" t="str">
        <x:v>Daniel Coyle</x:v>
      </x:c>
      <x:c r="H25" s="50" t="str">
        <x:v>1</x:v>
      </x:c>
      <x:c r="I25" s="50" t="str">
        <x:v>Temel</x:v>
      </x:c>
      <x:c r="J25" s="51" t="n">
        <x:v>14</x:v>
      </x:c>
      <x:c r="K25" s="51" t="n">
        <x:v>9</x:v>
      </x:c>
      <x:c r="L25" s="51" t="n">
        <x:v>14</x:v>
      </x:c>
      <x:c r="M25" s="51" t="n">
        <x:v>13</x:v>
      </x:c>
      <x:c r="N25" s="51" t="n">
        <x:v>9</x:v>
      </x:c>
      <x:c r="O25" s="51" t="n">
        <x:v>9</x:v>
      </x:c>
      <x:c r="P25" s="51" t="n">
        <x:v>17</x:v>
      </x:c>
      <x:c r="Q25" s="51" t="n">
        <x:v>5</x:v>
      </x:c>
      <x:c r="R25" s="52" t="n">
        <x:f>SUM(J25:Q25)</x:f>
        <x:v>90</x:v>
      </x:c>
      <x:c r="S25" s="50" t="str">
        <x:f>IF(R25&gt;='Rubrik'!$B$17,"Öncelikli video",IF(R25&gt;='Rubrik'!$B$18,"Video kuyruğu",IF(R25&gt;='Rubrik'!$B$19,"Revize et",IF(R25&gt;='Rubrik'!$B$20,"Kartla test","Düşük öncelik"))))</x:f>
        <x:v>Öncelikli video</x:v>
      </x:c>
      <x:c r="T25" s="50" t="str">
        <x:f>IF(AND(R25&gt;=85,P25&gt;=16,M25&gt;=12,L25&gt;=12),"Reel + Carousel",IF(AND(R25&gt;=85,P25&gt;=16,N25&gt;=8),"Soru odaklı Reel",IF(AND(R25&gt;=85,P25&gt;=16),"Reel / Short",IF(M25&gt;=11,"Carousel","Kart testi"))))</x:f>
        <x:v>Reel + Carousel</x:v>
      </x:c>
      <x:c r="U25" s="46" t="str">
        <x:v>Tylenol krizinde değerlerin milyon dolarlık kararı yönlendirmesi yüksek riskli, net ve güvenilir bir marka öyküsü.</x:v>
      </x:c>
      <x:c r="V25" s="46" t="str">
        <x:f>IF(Q25&lt;=3,"Kaynak kontrolü şart",IF(Q25=4,"Kaynak kontrolü önerilir","Standart doğrulama"))</x:f>
        <x:v>Standart doğrulama</x:v>
      </x:c>
    </x:row>
    <x:row r="26" ht="24" customHeight="1">
      <x:c r="A26" s="48" t="n">
        <x:f>COUNTIF($R$2:$R$751,"&gt;"&amp;R26)+COUNTIF($R$2:R26,R26)</x:f>
        <x:v>25</x:v>
      </x:c>
      <x:c r="B26" s="48" t="n">
        <x:v>1115</x:v>
      </x:c>
      <x:c r="C26" s="46" t="str">
        <x:v>Ronald Read'in görünmez serveti</x:v>
      </x:c>
      <x:c r="D26" s="34" t="str">
        <x:v>Finans</x:v>
      </x:c>
      <x:c r="E26" s="34" t="str">
        <x:v>Finans</x:v>
      </x:c>
      <x:c r="F26" s="34" t="str">
        <x:v>The Psychology of Money</x:v>
      </x:c>
      <x:c r="G26" s="34" t="str">
        <x:v>Morgan Housel</x:v>
      </x:c>
      <x:c r="H26" s="50" t="str">
        <x:v>1</x:v>
      </x:c>
      <x:c r="I26" s="50" t="str">
        <x:v>Temel</x:v>
      </x:c>
      <x:c r="J26" s="51" t="n">
        <x:v>15</x:v>
      </x:c>
      <x:c r="K26" s="51" t="n">
        <x:v>10</x:v>
      </x:c>
      <x:c r="L26" s="51" t="n">
        <x:v>13</x:v>
      </x:c>
      <x:c r="M26" s="51" t="n">
        <x:v>14</x:v>
      </x:c>
      <x:c r="N26" s="51" t="n">
        <x:v>9</x:v>
      </x:c>
      <x:c r="O26" s="51" t="n">
        <x:v>8</x:v>
      </x:c>
      <x:c r="P26" s="51" t="n">
        <x:v>17</x:v>
      </x:c>
      <x:c r="Q26" s="51" t="n">
        <x:v>4</x:v>
      </x:c>
      <x:c r="R26" s="52" t="n">
        <x:f>SUM(J26:Q26)</x:f>
        <x:v>90</x:v>
      </x:c>
      <x:c r="S26" s="50" t="str">
        <x:f>IF(R26&gt;='Rubrik'!$B$17,"Öncelikli video",IF(R26&gt;='Rubrik'!$B$18,"Video kuyruğu",IF(R26&gt;='Rubrik'!$B$19,"Revize et",IF(R26&gt;='Rubrik'!$B$20,"Kartla test","Düşük öncelik"))))</x:f>
        <x:v>Öncelikli video</x:v>
      </x:c>
      <x:c r="T26" s="50" t="str">
        <x:f>IF(AND(R26&gt;=85,P26&gt;=16,M26&gt;=12,L26&gt;=12),"Reel + Carousel",IF(AND(R26&gt;=85,P26&gt;=16,N26&gt;=8),"Soru odaklı Reel",IF(AND(R26&gt;=85,P26&gt;=16),"Reel / Short",IF(M26&gt;=11,"Carousel","Kart testi"))))</x:f>
        <x:v>Reel + Carousel</x:v>
      </x:c>
      <x:c r="U26" s="46" t="str">
        <x:v>Temizlikçiden gizli milyonere ve bağışa uzanan ters köşe güçlü duygu, güven ve paylaşım isteği yaratıyor.</x:v>
      </x:c>
      <x:c r="V26" s="46" t="str">
        <x:f>IF(Q26&lt;=3,"Kaynak kontrolü şart",IF(Q26=4,"Kaynak kontrolü önerilir","Standart doğrulama"))</x:f>
        <x:v>Kaynak kontrolü önerilir</x:v>
      </x:c>
    </x:row>
    <x:row r="27" ht="24" customHeight="1">
      <x:c r="A27" s="48" t="n">
        <x:f>COUNTIF($R$2:$R$751,"&gt;"&amp;R27)+COUNTIF($R$2:R27,R27)</x:f>
        <x:v>26</x:v>
      </x:c>
      <x:c r="B27" s="48" t="n">
        <x:v>1119</x:v>
      </x:c>
      <x:c r="C27" s="46" t="str">
        <x:v>Kör nokta ve beynin uydurma sanatı</x:v>
      </x:c>
      <x:c r="D27" s="34" t="str">
        <x:v>Psikoloji</x:v>
      </x:c>
      <x:c r="E27" s="34" t="str">
        <x:v>Nörobilim</x:v>
      </x:c>
      <x:c r="F27" s="34" t="str">
        <x:v>Beyin Fırtınası</x:v>
      </x:c>
      <x:c r="G27" s="34" t="str">
        <x:v>David Eagleman</x:v>
      </x:c>
      <x:c r="H27" s="50" t="str">
        <x:v>1</x:v>
      </x:c>
      <x:c r="I27" s="50" t="str">
        <x:v>Temel</x:v>
      </x:c>
      <x:c r="J27" s="51" t="n">
        <x:v>15</x:v>
      </x:c>
      <x:c r="K27" s="51" t="n">
        <x:v>8</x:v>
      </x:c>
      <x:c r="L27" s="51" t="n">
        <x:v>13</x:v>
      </x:c>
      <x:c r="M27" s="51" t="n">
        <x:v>14</x:v>
      </x:c>
      <x:c r="N27" s="51" t="n">
        <x:v>10</x:v>
      </x:c>
      <x:c r="O27" s="51" t="n">
        <x:v>8</x:v>
      </x:c>
      <x:c r="P27" s="51" t="n">
        <x:v>17</x:v>
      </x:c>
      <x:c r="Q27" s="51" t="n">
        <x:v>5</x:v>
      </x:c>
      <x:c r="R27" s="52" t="n">
        <x:f>SUM(J27:Q27)</x:f>
        <x:v>90</x:v>
      </x:c>
      <x:c r="S27" s="50" t="str">
        <x:f>IF(R27&gt;='Rubrik'!$B$17,"Öncelikli video",IF(R27&gt;='Rubrik'!$B$18,"Video kuyruğu",IF(R27&gt;='Rubrik'!$B$19,"Revize et",IF(R27&gt;='Rubrik'!$B$20,"Kartla test","Düşük öncelik"))))</x:f>
        <x:v>Öncelikli video</x:v>
      </x:c>
      <x:c r="T27" s="50" t="str">
        <x:f>IF(AND(R27&gt;=85,P27&gt;=16,M27&gt;=12,L27&gt;=12),"Reel + Carousel",IF(AND(R27&gt;=85,P27&gt;=16,N27&gt;=8),"Soru odaklı Reel",IF(AND(R27&gt;=85,P27&gt;=16),"Reel / Short",IF(M27&gt;=11,"Carousel","Kart testi"))))</x:f>
        <x:v>Reel + Carousel</x:v>
      </x:c>
      <x:c r="U27" s="46" t="str">
        <x:v>İzleyicinin uygulayacağı kör nokta deneyi güçlü sürpriz, görsel kanıt ve algı üzerine sohbet üretir.</x:v>
      </x:c>
      <x:c r="V27" s="46" t="str">
        <x:f>IF(Q27&lt;=3,"Kaynak kontrolü şart",IF(Q27=4,"Kaynak kontrolü önerilir","Standart doğrulama"))</x:f>
        <x:v>Standart doğrulama</x:v>
      </x:c>
    </x:row>
    <x:row r="28" ht="24" customHeight="1">
      <x:c r="A28" s="48" t="n">
        <x:f>COUNTIF($R$2:$R$751,"&gt;"&amp;R28)+COUNTIF($R$2:R28,R28)</x:f>
        <x:v>27</x:v>
      </x:c>
      <x:c r="B28" s="48" t="n">
        <x:v>1170</x:v>
      </x:c>
      <x:c r="C28" s="46" t="str">
        <x:v>Sistem 1 ve Sistem 2</x:v>
      </x:c>
      <x:c r="D28" s="34" t="str">
        <x:v>Psikoloji</x:v>
      </x:c>
      <x:c r="E28" s="34" t="str">
        <x:v>Psikoloji</x:v>
      </x:c>
      <x:c r="F28" s="34" t="str">
        <x:v>Karar Verme Sanatı</x:v>
      </x:c>
      <x:c r="G28" s="34" t="str">
        <x:v>Daniel Kahneman</x:v>
      </x:c>
      <x:c r="H28" s="50" t="str">
        <x:v>1</x:v>
      </x:c>
      <x:c r="I28" s="50" t="str">
        <x:v>Temel</x:v>
      </x:c>
      <x:c r="J28" s="51" t="n">
        <x:v>15</x:v>
      </x:c>
      <x:c r="K28" s="51" t="n">
        <x:v>8</x:v>
      </x:c>
      <x:c r="L28" s="51" t="n">
        <x:v>13</x:v>
      </x:c>
      <x:c r="M28" s="51" t="n">
        <x:v>14</x:v>
      </x:c>
      <x:c r="N28" s="51" t="n">
        <x:v>10</x:v>
      </x:c>
      <x:c r="O28" s="51" t="n">
        <x:v>8</x:v>
      </x:c>
      <x:c r="P28" s="51" t="n">
        <x:v>17</x:v>
      </x:c>
      <x:c r="Q28" s="51" t="n">
        <x:v>5</x:v>
      </x:c>
      <x:c r="R28" s="52" t="n">
        <x:f>SUM(J28:Q28)</x:f>
        <x:v>90</x:v>
      </x:c>
      <x:c r="S28" s="50" t="str">
        <x:f>IF(R28&gt;='Rubrik'!$B$17,"Öncelikli video",IF(R28&gt;='Rubrik'!$B$18,"Video kuyruğu",IF(R28&gt;='Rubrik'!$B$19,"Revize et",IF(R28&gt;='Rubrik'!$B$20,"Kartla test","Düşük öncelik"))))</x:f>
        <x:v>Öncelikli video</x:v>
      </x:c>
      <x:c r="T28" s="50" t="str">
        <x:f>IF(AND(R28&gt;=85,P28&gt;=16,M28&gt;=12,L28&gt;=12),"Reel + Carousel",IF(AND(R28&gt;=85,P28&gt;=16,N28&gt;=8),"Soru odaklı Reel",IF(AND(R28&gt;=85,P28&gt;=16),"Reel / Short",IF(M28&gt;=11,"Carousel","Kart testi"))))</x:f>
        <x:v>Reel + Carousel</x:v>
      </x:c>
      <x:c r="U28" s="46" t="str">
        <x:v>10 sent tuzağı izleyiciyi doğrudan oyuna alır; anında ters köşe ve güvenilir düşünme dersi üretir.</x:v>
      </x:c>
      <x:c r="V28" s="46" t="str">
        <x:f>IF(Q28&lt;=3,"Kaynak kontrolü şart",IF(Q28=4,"Kaynak kontrolü önerilir","Standart doğrulama"))</x:f>
        <x:v>Standart doğrulama</x:v>
      </x:c>
    </x:row>
    <x:row r="29" ht="24" customHeight="1">
      <x:c r="A29" s="48" t="n">
        <x:f>COUNTIF($R$2:$R$751,"&gt;"&amp;R29)+COUNTIF($R$2:R29,R29)</x:f>
        <x:v>28</x:v>
      </x:c>
      <x:c r="B29" s="48" t="n">
        <x:v>1693</x:v>
      </x:c>
      <x:c r="C29" s="46" t="str">
        <x:v>Shackleton'ın 800 Millik Kurtuluş Yolculuğu</x:v>
      </x:c>
      <x:c r="D29" s="34" t="str">
        <x:v>Tarih</x:v>
      </x:c>
      <x:c r="E29" s="34" t="str">
        <x:v>Tarih</x:v>
      </x:c>
      <x:c r="F29" s="34" t="str">
        <x:v>Endurance</x:v>
      </x:c>
      <x:c r="G29" s="34" t="str">
        <x:v>Alfred Lansing</x:v>
      </x:c>
      <x:c r="H29" s="50" t="str">
        <x:v>2</x:v>
      </x:c>
      <x:c r="I29" s="50" t="str">
        <x:v>Zengin</x:v>
      </x:c>
      <x:c r="J29" s="51" t="n">
        <x:v>14</x:v>
      </x:c>
      <x:c r="K29" s="51" t="n">
        <x:v>8</x:v>
      </x:c>
      <x:c r="L29" s="51" t="n">
        <x:v>14</x:v>
      </x:c>
      <x:c r="M29" s="51" t="n">
        <x:v>10</x:v>
      </x:c>
      <x:c r="N29" s="51" t="n">
        <x:v>9</x:v>
      </x:c>
      <x:c r="O29" s="51" t="n">
        <x:v>10</x:v>
      </x:c>
      <x:c r="P29" s="51" t="n">
        <x:v>19</x:v>
      </x:c>
      <x:c r="Q29" s="51" t="n">
        <x:v>5</x:v>
      </x:c>
      <x:c r="R29" s="52" t="n">
        <x:f>SUM(J29:Q29)</x:f>
        <x:v>89</x:v>
      </x:c>
      <x:c r="S29" s="50" t="str">
        <x:f>IF(R29&gt;='Rubrik'!$B$17,"Öncelikli video",IF(R29&gt;='Rubrik'!$B$18,"Video kuyruğu",IF(R29&gt;='Rubrik'!$B$19,"Revize et",IF(R29&gt;='Rubrik'!$B$20,"Kartla test","Düşük öncelik"))))</x:f>
        <x:v>Video kuyruğu</x:v>
      </x:c>
      <x:c r="T29" s="50" t="str">
        <x:f>IF(AND(R29&gt;=85,P29&gt;=16,M29&gt;=12,L29&gt;=12),"Reel + Carousel",IF(AND(R29&gt;=85,P29&gt;=16,N29&gt;=8),"Soru odaklı Reel",IF(AND(R29&gt;=85,P29&gt;=16),"Reel / Short",IF(M29&gt;=11,"Carousel","Kart testi"))))</x:f>
        <x:v>Soru odaklı Reel</x:v>
      </x:c>
      <x:c r="U29" s="46" t="str">
        <x:v>Somut sahne ve sayısal ayrıntı güçlü bir video açılışı sağlıyor; paylaşılabilirlik yeterli.</x:v>
      </x:c>
      <x:c r="V29" s="46" t="str">
        <x:f>IF(Q29&lt;=3,"Kaynak kontrolü şart",IF(Q29=4,"Kaynak kontrolü önerilir","Standart doğrulama"))</x:f>
        <x:v>Standart doğrulama</x:v>
      </x:c>
    </x:row>
    <x:row r="30" ht="24" customHeight="1">
      <x:c r="A30" s="48" t="n">
        <x:f>COUNTIF($R$2:$R$751,"&gt;"&amp;R30)+COUNTIF($R$2:R30,R30)</x:f>
        <x:v>29</x:v>
      </x:c>
      <x:c r="B30" s="48" t="n">
        <x:v>1707</x:v>
      </x:c>
      <x:c r="C30" s="46" t="str">
        <x:v>Metroda Bir Cümle Bütün Hikâyeyi Nasıl Değiştirdi?</x:v>
      </x:c>
      <x:c r="D30" s="34" t="str">
        <x:v>Büyüme</x:v>
      </x:c>
      <x:c r="E30" s="34" t="str">
        <x:v>Kişisel Gelişim</x:v>
      </x:c>
      <x:c r="F30" s="34" t="str">
        <x:v>The 7 Habits of Highly Effective People</x:v>
      </x:c>
      <x:c r="G30" s="34" t="str">
        <x:v>Stephen Covey</x:v>
      </x:c>
      <x:c r="H30" s="50" t="str">
        <x:v>2</x:v>
      </x:c>
      <x:c r="I30" s="50" t="str">
        <x:v>Zengin</x:v>
      </x:c>
      <x:c r="J30" s="51" t="n">
        <x:v>12</x:v>
      </x:c>
      <x:c r="K30" s="51" t="n">
        <x:v>10</x:v>
      </x:c>
      <x:c r="L30" s="51" t="n">
        <x:v>14</x:v>
      </x:c>
      <x:c r="M30" s="51" t="n">
        <x:v>11</x:v>
      </x:c>
      <x:c r="N30" s="51" t="n">
        <x:v>10</x:v>
      </x:c>
      <x:c r="O30" s="51" t="n">
        <x:v>9</x:v>
      </x:c>
      <x:c r="P30" s="51" t="n">
        <x:v>19</x:v>
      </x:c>
      <x:c r="Q30" s="51" t="n">
        <x:v>4</x:v>
      </x:c>
      <x:c r="R30" s="52" t="n">
        <x:f>SUM(J30:Q30)</x:f>
        <x:v>89</x:v>
      </x:c>
      <x:c r="S30" s="50" t="str">
        <x:f>IF(R30&gt;='Rubrik'!$B$17,"Öncelikli video",IF(R30&gt;='Rubrik'!$B$18,"Video kuyruğu",IF(R30&gt;='Rubrik'!$B$19,"Revize et",IF(R30&gt;='Rubrik'!$B$20,"Kartla test","Düşük öncelik"))))</x:f>
        <x:v>Video kuyruğu</x:v>
      </x:c>
      <x:c r="T30" s="50" t="str">
        <x:f>IF(AND(R30&gt;=85,P30&gt;=16,M30&gt;=12,L30&gt;=12),"Reel + Carousel",IF(AND(R30&gt;=85,P30&gt;=16,N30&gt;=8),"Soru odaklı Reel",IF(AND(R30&gt;=85,P30&gt;=16),"Reel / Short",IF(M30&gt;=11,"Carousel","Kart testi"))))</x:f>
        <x:v>Soru odaklı Reel</x:v>
      </x:c>
      <x:c r="U30" s="46" t="str">
        <x:v>Duygusal karşıtlık paylaşma ve kişisel anlatma isteğini yükseltiyor; ilk saniye etkisi yeterli.</x:v>
      </x:c>
      <x:c r="V30" s="46" t="str">
        <x:f>IF(Q30&lt;=3,"Kaynak kontrolü şart",IF(Q30=4,"Kaynak kontrolü önerilir","Standart doğrulama"))</x:f>
        <x:v>Kaynak kontrolü önerilir</x:v>
      </x:c>
    </x:row>
    <x:row r="31" ht="24" customHeight="1">
      <x:c r="A31" s="48" t="n">
        <x:f>COUNTIF($R$2:$R$751,"&gt;"&amp;R31)+COUNTIF($R$2:R31,R31)</x:f>
        <x:v>30</x:v>
      </x:c>
      <x:c r="B31" s="48" t="n">
        <x:v>1494</x:v>
      </x:c>
      <x:c r="C31" s="46" t="str">
        <x:v>Sosyal bağlantı ve iyileşme</x:v>
      </x:c>
      <x:c r="D31" s="34" t="str">
        <x:v>Psikoloji</x:v>
      </x:c>
      <x:c r="E31" s="34" t="str">
        <x:v>Psikoloji</x:v>
      </x:c>
      <x:c r="F31" s="34" t="str">
        <x:v>Kayıp Bağlantılar</x:v>
      </x:c>
      <x:c r="G31" s="34" t="str">
        <x:v>Johann Hari</x:v>
      </x:c>
      <x:c r="H31" s="50" t="str">
        <x:v>1</x:v>
      </x:c>
      <x:c r="I31" s="50" t="str">
        <x:v>Temel</x:v>
      </x:c>
      <x:c r="J31" s="51" t="n">
        <x:v>15</x:v>
      </x:c>
      <x:c r="K31" s="51" t="n">
        <x:v>10</x:v>
      </x:c>
      <x:c r="L31" s="51" t="n">
        <x:v>15</x:v>
      </x:c>
      <x:c r="M31" s="51" t="n">
        <x:v>13</x:v>
      </x:c>
      <x:c r="N31" s="51" t="n">
        <x:v>9</x:v>
      </x:c>
      <x:c r="O31" s="51" t="n">
        <x:v>8</x:v>
      </x:c>
      <x:c r="P31" s="51" t="n">
        <x:v>17</x:v>
      </x:c>
      <x:c r="Q31" s="51" t="n">
        <x:v>2</x:v>
      </x:c>
      <x:c r="R31" s="52" t="n">
        <x:f>SUM(J31:Q31)</x:f>
        <x:v>89</x:v>
      </x:c>
      <x:c r="S31" s="50" t="str">
        <x:f>IF(R31&gt;='Rubrik'!$B$17,"Öncelikli video",IF(R31&gt;='Rubrik'!$B$18,"Video kuyruğu",IF(R31&gt;='Rubrik'!$B$19,"Revize et",IF(R31&gt;='Rubrik'!$B$20,"Kartla test","Düşük öncelik"))))</x:f>
        <x:v>Video kuyruğu</x:v>
      </x:c>
      <x:c r="T31" s="50" t="str">
        <x:f>IF(AND(R31&gt;=85,P31&gt;=16,M31&gt;=12,L31&gt;=12),"Reel + Carousel",IF(AND(R31&gt;=85,P31&gt;=16,N31&gt;=8),"Soru odaklı Reel",IF(AND(R31&gt;=85,P31&gt;=16),"Reel / Short",IF(M31&gt;=11,"Carousel","Kart testi"))))</x:f>
        <x:v>Reel + Carousel</x:v>
      </x:c>
      <x:c r="U31" s="46" t="str">
        <x:v>Kamboçyalı çiftçi ve inek hikâyesi çok insani, görsel ve umutlu; tedavi sonucu tek örneğe indirgenmemeli.</x:v>
      </x:c>
      <x:c r="V31" s="46" t="str">
        <x:f>IF(Q31&lt;=3,"Kaynak kontrolü şart",IF(Q31=4,"Kaynak kontrolü önerilir","Standart doğrulama"))</x:f>
        <x:v>Kaynak kontrolü şart</x:v>
      </x:c>
    </x:row>
    <x:row r="32" ht="24" customHeight="1">
      <x:c r="A32" s="48" t="n">
        <x:f>COUNTIF($R$2:$R$751,"&gt;"&amp;R32)+COUNTIF($R$2:R32,R32)</x:f>
        <x:v>31</x:v>
      </x:c>
      <x:c r="B32" s="48" t="n">
        <x:v>1501</x:v>
      </x:c>
      <x:c r="C32" s="46" t="str">
        <x:v>Sezginin gerçek değeri</x:v>
      </x:c>
      <x:c r="D32" s="34" t="str">
        <x:v>Tarih</x:v>
      </x:c>
      <x:c r="E32" s="34" t="str">
        <x:v>Güvenlik</x:v>
      </x:c>
      <x:c r="F32" s="34" t="str">
        <x:v>Korkudan Öğrenmek</x:v>
      </x:c>
      <x:c r="G32" s="34" t="str">
        <x:v>Gavin de Becker</x:v>
      </x:c>
      <x:c r="H32" s="50" t="str">
        <x:v>1</x:v>
      </x:c>
      <x:c r="I32" s="50" t="str">
        <x:v>Temel</x:v>
      </x:c>
      <x:c r="J32" s="51" t="n">
        <x:v>14</x:v>
      </x:c>
      <x:c r="K32" s="51" t="n">
        <x:v>10</x:v>
      </x:c>
      <x:c r="L32" s="51" t="n">
        <x:v>15</x:v>
      </x:c>
      <x:c r="M32" s="51" t="n">
        <x:v>12</x:v>
      </x:c>
      <x:c r="N32" s="51" t="n">
        <x:v>9</x:v>
      </x:c>
      <x:c r="O32" s="51" t="n">
        <x:v>8</x:v>
      </x:c>
      <x:c r="P32" s="51" t="n">
        <x:v>17</x:v>
      </x:c>
      <x:c r="Q32" s="51" t="n">
        <x:v>4</x:v>
      </x:c>
      <x:c r="R32" s="52" t="n">
        <x:f>SUM(J32:Q32)</x:f>
        <x:v>89</x:v>
      </x:c>
      <x:c r="S32" s="50" t="str">
        <x:f>IF(R32&gt;='Rubrik'!$B$17,"Öncelikli video",IF(R32&gt;='Rubrik'!$B$18,"Video kuyruğu",IF(R32&gt;='Rubrik'!$B$19,"Revize et",IF(R32&gt;='Rubrik'!$B$20,"Kartla test","Düşük öncelik"))))</x:f>
        <x:v>Video kuyruğu</x:v>
      </x:c>
      <x:c r="T32" s="50" t="str">
        <x:f>IF(AND(R32&gt;=85,P32&gt;=16,M32&gt;=12,L32&gt;=12),"Reel + Carousel",IF(AND(R32&gt;=85,P32&gt;=16,N32&gt;=8),"Soru odaklı Reel",IF(AND(R32&gt;=85,P32&gt;=16),"Reel / Short",IF(M32&gt;=11,"Carousel","Kart testi"))))</x:f>
        <x:v>Reel + Carousel</x:v>
      </x:c>
      <x:c r="U32" s="46" t="str">
        <x:v>Asansördeki saldırı sezginin hayat kurtardığı yoğun bir sahne; gerilim ve çıkarım videoya kusursuz taşınır.</x:v>
      </x:c>
      <x:c r="V32" s="46" t="str">
        <x:f>IF(Q32&lt;=3,"Kaynak kontrolü şart",IF(Q32=4,"Kaynak kontrolü önerilir","Standart doğrulama"))</x:f>
        <x:v>Kaynak kontrolü önerilir</x:v>
      </x:c>
    </x:row>
    <x:row r="33" ht="24" customHeight="1">
      <x:c r="A33" s="48" t="n">
        <x:f>COUNTIF($R$2:$R$751,"&gt;"&amp;R33)+COUNTIF($R$2:R33,R33)</x:f>
        <x:v>32</x:v>
      </x:c>
      <x:c r="B33" s="48" t="n">
        <x:v>1546</x:v>
      </x:c>
      <x:c r="C33" s="46" t="str">
        <x:v>Satranç makinesi ve insan-makine işbirliği</x:v>
      </x:c>
      <x:c r="D33" s="34" t="str">
        <x:v>Bilim</x:v>
      </x:c>
      <x:c r="E33" s="34" t="str">
        <x:v>Teknoloji</x:v>
      </x:c>
      <x:c r="F33" s="34" t="str">
        <x:v>İkinci Makine Çağı</x:v>
      </x:c>
      <x:c r="G33" s="34" t="str">
        <x:v>Erik Brynjolfsson</x:v>
      </x:c>
      <x:c r="H33" s="50" t="str">
        <x:v>1</x:v>
      </x:c>
      <x:c r="I33" s="50" t="str">
        <x:v>Temel</x:v>
      </x:c>
      <x:c r="J33" s="51" t="n">
        <x:v>15</x:v>
      </x:c>
      <x:c r="K33" s="51" t="n">
        <x:v>9</x:v>
      </x:c>
      <x:c r="L33" s="51" t="n">
        <x:v>15</x:v>
      </x:c>
      <x:c r="M33" s="51" t="n">
        <x:v>12</x:v>
      </x:c>
      <x:c r="N33" s="51" t="n">
        <x:v>9</x:v>
      </x:c>
      <x:c r="O33" s="51" t="n">
        <x:v>8</x:v>
      </x:c>
      <x:c r="P33" s="51" t="n">
        <x:v>17</x:v>
      </x:c>
      <x:c r="Q33" s="51" t="n">
        <x:v>4</x:v>
      </x:c>
      <x:c r="R33" s="52" t="n">
        <x:f>SUM(J33:Q33)</x:f>
        <x:v>89</x:v>
      </x:c>
      <x:c r="S33" s="50" t="str">
        <x:f>IF(R33&gt;='Rubrik'!$B$17,"Öncelikli video",IF(R33&gt;='Rubrik'!$B$18,"Video kuyruğu",IF(R33&gt;='Rubrik'!$B$19,"Revize et",IF(R33&gt;='Rubrik'!$B$20,"Kartla test","Düşük öncelik"))))</x:f>
        <x:v>Video kuyruğu</x:v>
      </x:c>
      <x:c r="T33" s="50" t="str">
        <x:f>IF(AND(R33&gt;=85,P33&gt;=16,M33&gt;=12,L33&gt;=12),"Reel + Carousel",IF(AND(R33&gt;=85,P33&gt;=16,N33&gt;=8),"Soru odaklı Reel",IF(AND(R33&gt;=85,P33&gt;=16),"Reel / Short",IF(M33&gt;=11,"Carousel","Kart testi"))))</x:f>
        <x:v>Reel + Carousel</x:v>
      </x:c>
      <x:c r="U33" s="46" t="str">
        <x:v>Kasparov'u yenen insan-makine takımı beklenmedik galip ve güçlü gelecek mesajıyla çok dikkat çekici.</x:v>
      </x:c>
      <x:c r="V33" s="46" t="str">
        <x:f>IF(Q33&lt;=3,"Kaynak kontrolü şart",IF(Q33=4,"Kaynak kontrolü önerilir","Standart doğrulama"))</x:f>
        <x:v>Kaynak kontrolü önerilir</x:v>
      </x:c>
    </x:row>
    <x:row r="34" ht="24" customHeight="1">
      <x:c r="A34" s="48" t="n">
        <x:f>COUNTIF($R$2:$R$751,"&gt;"&amp;R34)+COUNTIF($R$2:R34,R34)</x:f>
        <x:v>33</x:v>
      </x:c>
      <x:c r="B34" s="48" t="n">
        <x:v>1441</x:v>
      </x:c>
      <x:c r="C34" s="46" t="str">
        <x:v>Kapı tasarımı ve hata yerine kullanıcıyı suçlamak</x:v>
      </x:c>
      <x:c r="D34" s="34" t="str">
        <x:v>Verimlilik</x:v>
      </x:c>
      <x:c r="E34" s="34" t="str">
        <x:v>Tasarım</x:v>
      </x:c>
      <x:c r="F34" s="34" t="str">
        <x:v>Gündelik Nesneler Tasarımı</x:v>
      </x:c>
      <x:c r="G34" s="34" t="str">
        <x:v>Don Norman</x:v>
      </x:c>
      <x:c r="H34" s="50" t="str">
        <x:v>1</x:v>
      </x:c>
      <x:c r="I34" s="50" t="str">
        <x:v>Temel</x:v>
      </x:c>
      <x:c r="J34" s="51" t="n">
        <x:v>14</x:v>
      </x:c>
      <x:c r="K34" s="51" t="n">
        <x:v>8</x:v>
      </x:c>
      <x:c r="L34" s="51" t="n">
        <x:v>14</x:v>
      </x:c>
      <x:c r="M34" s="51" t="n">
        <x:v>13</x:v>
      </x:c>
      <x:c r="N34" s="51" t="n">
        <x:v>9</x:v>
      </x:c>
      <x:c r="O34" s="51" t="n">
        <x:v>9</x:v>
      </x:c>
      <x:c r="P34" s="51" t="n">
        <x:v>17</x:v>
      </x:c>
      <x:c r="Q34" s="51" t="n">
        <x:v>5</x:v>
      </x:c>
      <x:c r="R34" s="52" t="n">
        <x:f>SUM(J34:Q34)</x:f>
        <x:v>89</x:v>
      </x:c>
      <x:c r="S34" s="50" t="str">
        <x:f>IF(R34&gt;='Rubrik'!$B$17,"Öncelikli video",IF(R34&gt;='Rubrik'!$B$18,"Video kuyruğu",IF(R34&gt;='Rubrik'!$B$19,"Revize et",IF(R34&gt;='Rubrik'!$B$20,"Kartla test","Düşük öncelik"))))</x:f>
        <x:v>Video kuyruğu</x:v>
      </x:c>
      <x:c r="T34" s="50" t="str">
        <x:f>IF(AND(R34&gt;=85,P34&gt;=16,M34&gt;=12,L34&gt;=12),"Reel + Carousel",IF(AND(R34&gt;=85,P34&gt;=16,N34&gt;=8),"Soru odaklı Reel",IF(AND(R34&gt;=85,P34&gt;=16),"Reel / Short",IF(M34&gt;=11,"Carousel","Kart testi"))))</x:f>
        <x:v>Reel + Carousel</x:v>
      </x:c>
      <x:c r="U34" s="46" t="str">
        <x:v>Norman kapısı herkesin yaşadığı bir hayal kırıklığını tek görüntüyle anlatıyor; video için çok güçlü.</x:v>
      </x:c>
      <x:c r="V34" s="46" t="str">
        <x:f>IF(Q34&lt;=3,"Kaynak kontrolü şart",IF(Q34=4,"Kaynak kontrolü önerilir","Standart doğrulama"))</x:f>
        <x:v>Standart doğrulama</x:v>
      </x:c>
    </x:row>
    <x:row r="35" ht="24" customHeight="1">
      <x:c r="A35" s="48" t="n">
        <x:f>COUNTIF($R$2:$R$751,"&gt;"&amp;R35)+COUNTIF($R$2:R35,R35)</x:f>
        <x:v>34</x:v>
      </x:c>
      <x:c r="B35" s="48" t="n">
        <x:v>1535</x:v>
      </x:c>
      <x:c r="C35" s="46" t="str">
        <x:v>Bilişsel uyumsuzluk — hatayı kabul edememenin psikolojisi</x:v>
      </x:c>
      <x:c r="D35" s="34" t="str">
        <x:v>Felsefe</x:v>
      </x:c>
      <x:c r="E35" s="34" t="str">
        <x:v>Öğrenme</x:v>
      </x:c>
      <x:c r="F35" s="34" t="str">
        <x:v>Black Box Thinking</x:v>
      </x:c>
      <x:c r="G35" s="34" t="str">
        <x:v>Matthew Syed</x:v>
      </x:c>
      <x:c r="H35" s="50" t="str">
        <x:v>1</x:v>
      </x:c>
      <x:c r="I35" s="50" t="str">
        <x:v>Temel</x:v>
      </x:c>
      <x:c r="J35" s="51" t="n">
        <x:v>14</x:v>
      </x:c>
      <x:c r="K35" s="51" t="n">
        <x:v>9</x:v>
      </x:c>
      <x:c r="L35" s="51" t="n">
        <x:v>14</x:v>
      </x:c>
      <x:c r="M35" s="51" t="n">
        <x:v>13</x:v>
      </x:c>
      <x:c r="N35" s="51" t="n">
        <x:v>9</x:v>
      </x:c>
      <x:c r="O35" s="51" t="n">
        <x:v>8</x:v>
      </x:c>
      <x:c r="P35" s="51" t="n">
        <x:v>17</x:v>
      </x:c>
      <x:c r="Q35" s="51" t="n">
        <x:v>5</x:v>
      </x:c>
      <x:c r="R35" s="52" t="n">
        <x:f>SUM(J35:Q35)</x:f>
        <x:v>89</x:v>
      </x:c>
      <x:c r="S35" s="50" t="str">
        <x:f>IF(R35&gt;='Rubrik'!$B$17,"Öncelikli video",IF(R35&gt;='Rubrik'!$B$18,"Video kuyruğu",IF(R35&gt;='Rubrik'!$B$19,"Revize et",IF(R35&gt;='Rubrik'!$B$20,"Kartla test","Düşük öncelik"))))</x:f>
        <x:v>Video kuyruğu</x:v>
      </x:c>
      <x:c r="T35" s="50" t="str">
        <x:f>IF(AND(R35&gt;=85,P35&gt;=16,M35&gt;=12,L35&gt;=12),"Reel + Carousel",IF(AND(R35&gt;=85,P35&gt;=16,N35&gt;=8),"Soru odaklı Reel",IF(AND(R35&gt;=85,P35&gt;=16),"Reel / Short",IF(M35&gt;=11,"Carousel","Kart testi"))))</x:f>
        <x:v>Reel + Carousel</x:v>
      </x:c>
      <x:c r="U35" s="46" t="str">
        <x:v>Kıyamet tarikatının başarısız kehanet sonrası daha çok inanması şaşırtıcı; bilişsel çelişkiyi unutulmaz kılıyor.</x:v>
      </x:c>
      <x:c r="V35" s="46" t="str">
        <x:f>IF(Q35&lt;=3,"Kaynak kontrolü şart",IF(Q35=4,"Kaynak kontrolü önerilir","Standart doğrulama"))</x:f>
        <x:v>Standart doğrulama</x:v>
      </x:c>
    </x:row>
    <x:row r="36" ht="24" customHeight="1">
      <x:c r="A36" s="48" t="n">
        <x:f>COUNTIF($R$2:$R$751,"&gt;"&amp;R36)+COUNTIF($R$2:R36,R36)</x:f>
        <x:v>35</x:v>
      </x:c>
      <x:c r="B36" s="48" t="n">
        <x:v>1584</x:v>
      </x:c>
      <x:c r="C36" s="46" t="str">
        <x:v>Anlam — para ve statünün ötesindeki arayış</x:v>
      </x:c>
      <x:c r="D36" s="34" t="str">
        <x:v>Verimlilik</x:v>
      </x:c>
      <x:c r="E36" s="34" t="str">
        <x:v>Yaratıcılık</x:v>
      </x:c>
      <x:c r="F36" s="34" t="str">
        <x:v>Bütün Beyin</x:v>
      </x:c>
      <x:c r="G36" s="34" t="str">
        <x:v>Daniel Pink</x:v>
      </x:c>
      <x:c r="H36" s="50" t="str">
        <x:v>1</x:v>
      </x:c>
      <x:c r="I36" s="50" t="str">
        <x:v>Temel</x:v>
      </x:c>
      <x:c r="J36" s="51" t="n">
        <x:v>14</x:v>
      </x:c>
      <x:c r="K36" s="51" t="n">
        <x:v>9</x:v>
      </x:c>
      <x:c r="L36" s="51" t="n">
        <x:v>14</x:v>
      </x:c>
      <x:c r="M36" s="51" t="n">
        <x:v>13</x:v>
      </x:c>
      <x:c r="N36" s="51" t="n">
        <x:v>9</x:v>
      </x:c>
      <x:c r="O36" s="51" t="n">
        <x:v>8</x:v>
      </x:c>
      <x:c r="P36" s="51" t="n">
        <x:v>17</x:v>
      </x:c>
      <x:c r="Q36" s="51" t="n">
        <x:v>5</x:v>
      </x:c>
      <x:c r="R36" s="52" t="n">
        <x:f>SUM(J36:Q36)</x:f>
        <x:v>89</x:v>
      </x:c>
      <x:c r="S36" s="50" t="str">
        <x:f>IF(R36&gt;='Rubrik'!$B$17,"Öncelikli video",IF(R36&gt;='Rubrik'!$B$18,"Video kuyruğu",IF(R36&gt;='Rubrik'!$B$19,"Revize et",IF(R36&gt;='Rubrik'!$B$20,"Kartla test","Düşük öncelik"))))</x:f>
        <x:v>Video kuyruğu</x:v>
      </x:c>
      <x:c r="T36" s="50" t="str">
        <x:f>IF(AND(R36&gt;=85,P36&gt;=16,M36&gt;=12,L36&gt;=12),"Reel + Carousel",IF(AND(R36&gt;=85,P36&gt;=16,N36&gt;=8),"Soru odaklı Reel",IF(AND(R36&gt;=85,P36&gt;=16),"Reel / Short",IF(M36&gt;=11,"Carousel","Kart testi"))))</x:f>
        <x:v>Reel + Carousel</x:v>
      </x:c>
      <x:c r="U36" s="46" t="str">
        <x:v>Frankl'ın kampta anlamla hayatta kalma anlatısı derin duygu ve dönüşüm taşır; saygılı işlendiğinde çok güçlü.</x:v>
      </x:c>
      <x:c r="V36" s="46" t="str">
        <x:f>IF(Q36&lt;=3,"Kaynak kontrolü şart",IF(Q36=4,"Kaynak kontrolü önerilir","Standart doğrulama"))</x:f>
        <x:v>Standart doğrulama</x:v>
      </x:c>
    </x:row>
    <x:row r="37" ht="24" customHeight="1">
      <x:c r="A37" s="48" t="n">
        <x:f>COUNTIF($R$2:$R$751,"&gt;"&amp;R37)+COUNTIF($R$2:R37,R37)</x:f>
        <x:v>36</x:v>
      </x:c>
      <x:c r="B37" s="48" t="n">
        <x:v>1086</x:v>
      </x:c>
      <x:c r="C37" s="46" t="str">
        <x:v>Martin Luther King'in hayali</x:v>
      </x:c>
      <x:c r="D37" s="34" t="str">
        <x:v>Liderlik</x:v>
      </x:c>
      <x:c r="E37" s="34" t="str">
        <x:v>Liderlik</x:v>
      </x:c>
      <x:c r="F37" s="34" t="str">
        <x:v>Başlangıç Noktası</x:v>
      </x:c>
      <x:c r="G37" s="34" t="str">
        <x:v>Simon Sinek</x:v>
      </x:c>
      <x:c r="H37" s="50" t="str">
        <x:v>1</x:v>
      </x:c>
      <x:c r="I37" s="50" t="str">
        <x:v>Temel</x:v>
      </x:c>
      <x:c r="J37" s="51" t="n">
        <x:v>15</x:v>
      </x:c>
      <x:c r="K37" s="51" t="n">
        <x:v>10</x:v>
      </x:c>
      <x:c r="L37" s="51" t="n">
        <x:v>13</x:v>
      </x:c>
      <x:c r="M37" s="51" t="n">
        <x:v>12</x:v>
      </x:c>
      <x:c r="N37" s="51" t="n">
        <x:v>10</x:v>
      </x:c>
      <x:c r="O37" s="51" t="n">
        <x:v>8</x:v>
      </x:c>
      <x:c r="P37" s="51" t="n">
        <x:v>17</x:v>
      </x:c>
      <x:c r="Q37" s="51" t="n">
        <x:v>4</x:v>
      </x:c>
      <x:c r="R37" s="52" t="n">
        <x:f>SUM(J37:Q37)</x:f>
        <x:v>89</x:v>
      </x:c>
      <x:c r="S37" s="50" t="str">
        <x:f>IF(R37&gt;='Rubrik'!$B$17,"Öncelikli video",IF(R37&gt;='Rubrik'!$B$18,"Video kuyruğu",IF(R37&gt;='Rubrik'!$B$19,"Revize et",IF(R37&gt;='Rubrik'!$B$20,"Kartla test","Düşük öncelik"))))</x:f>
        <x:v>Video kuyruğu</x:v>
      </x:c>
      <x:c r="T37" s="50" t="str">
        <x:f>IF(AND(R37&gt;=85,P37&gt;=16,M37&gt;=12,L37&gt;=12),"Reel + Carousel",IF(AND(R37&gt;=85,P37&gt;=16,N37&gt;=8),"Soru odaklı Reel",IF(AND(R37&gt;=85,P37&gt;=16),"Reel / Short",IF(M37&gt;=11,"Carousel","Kart testi"))))</x:f>
        <x:v>Reel + Carousel</x:v>
      </x:c>
      <x:c r="U37" s="46" t="str">
        <x:v>Hazır metinden hayal konuşmasına geçiş ikonik, duygusal ve kusursuz bir kısa video dönüm noktası sunuyor.</x:v>
      </x:c>
      <x:c r="V37" s="46" t="str">
        <x:f>IF(Q37&lt;=3,"Kaynak kontrolü şart",IF(Q37=4,"Kaynak kontrolü önerilir","Standart doğrulama"))</x:f>
        <x:v>Kaynak kontrolü önerilir</x:v>
      </x:c>
    </x:row>
    <x:row r="38" ht="24" customHeight="1">
      <x:c r="A38" s="48" t="n">
        <x:f>COUNTIF($R$2:$R$751,"&gt;"&amp;R38)+COUNTIF($R$2:R38,R38)</x:f>
        <x:v>37</x:v>
      </x:c>
      <x:c r="B38" s="48" t="n">
        <x:v>1462</x:v>
      </x:c>
      <x:c r="C38" s="46" t="str">
        <x:v>Hafıza şampiyonlarıyla yarışmak</x:v>
      </x:c>
      <x:c r="D38" s="34" t="str">
        <x:v>Felsefe</x:v>
      </x:c>
      <x:c r="E38" s="34" t="str">
        <x:v>Öğrenme</x:v>
      </x:c>
      <x:c r="F38" s="34" t="str">
        <x:v>Kalıcı Hafıza</x:v>
      </x:c>
      <x:c r="G38" s="34" t="str">
        <x:v>Joshua Foer</x:v>
      </x:c>
      <x:c r="H38" s="50" t="str">
        <x:v>1</x:v>
      </x:c>
      <x:c r="I38" s="50" t="str">
        <x:v>Temel</x:v>
      </x:c>
      <x:c r="J38" s="51" t="n">
        <x:v>14</x:v>
      </x:c>
      <x:c r="K38" s="51" t="n">
        <x:v>9</x:v>
      </x:c>
      <x:c r="L38" s="51" t="n">
        <x:v>14</x:v>
      </x:c>
      <x:c r="M38" s="51" t="n">
        <x:v>14</x:v>
      </x:c>
      <x:c r="N38" s="51" t="n">
        <x:v>9</x:v>
      </x:c>
      <x:c r="O38" s="51" t="n">
        <x:v>8</x:v>
      </x:c>
      <x:c r="P38" s="51" t="n">
        <x:v>16</x:v>
      </x:c>
      <x:c r="Q38" s="51" t="n">
        <x:v>5</x:v>
      </x:c>
      <x:c r="R38" s="52" t="n">
        <x:f>SUM(J38:Q38)</x:f>
        <x:v>89</x:v>
      </x:c>
      <x:c r="S38" s="50" t="str">
        <x:f>IF(R38&gt;='Rubrik'!$B$17,"Öncelikli video",IF(R38&gt;='Rubrik'!$B$18,"Video kuyruğu",IF(R38&gt;='Rubrik'!$B$19,"Revize et",IF(R38&gt;='Rubrik'!$B$20,"Kartla test","Düşük öncelik"))))</x:f>
        <x:v>Video kuyruğu</x:v>
      </x:c>
      <x:c r="T38" s="50" t="str">
        <x:f>IF(AND(R38&gt;=85,P38&gt;=16,M38&gt;=12,L38&gt;=12),"Reel + Carousel",IF(AND(R38&gt;=85,P38&gt;=16,N38&gt;=8),"Soru odaklı Reel",IF(AND(R38&gt;=85,P38&gt;=16),"Reel / Short",IF(M38&gt;=11,"Carousel","Kart testi"))))</x:f>
        <x:v>Reel + Carousel</x:v>
      </x:c>
      <x:c r="U38" s="46" t="str">
        <x:v>Sıradan gazeteciden hafıza şampiyonuna dönüşüm net bir kahraman yolculuğu ve güçlü umut duygusu taşıyor.</x:v>
      </x:c>
      <x:c r="V38" s="46" t="str">
        <x:f>IF(Q38&lt;=3,"Kaynak kontrolü şart",IF(Q38=4,"Kaynak kontrolü önerilir","Standart doğrulama"))</x:f>
        <x:v>Standart doğrulama</x:v>
      </x:c>
    </x:row>
    <x:row r="39" ht="24" customHeight="1">
      <x:c r="A39" s="48" t="n">
        <x:f>COUNTIF($R$2:$R$751,"&gt;"&amp;R39)+COUNTIF($R$2:R39,R39)</x:f>
        <x:v>38</x:v>
      </x:c>
      <x:c r="B39" s="48" t="n">
        <x:v>1096</x:v>
      </x:c>
      <x:c r="C39" s="46" t="str">
        <x:v>Tepki verme özgürlüğü — Viktor Frankl'dan öğrenilen ders</x:v>
      </x:c>
      <x:c r="D39" s="34" t="str">
        <x:v>Büyüme</x:v>
      </x:c>
      <x:c r="E39" s="34" t="str">
        <x:v>Kişisel Gelişim</x:v>
      </x:c>
      <x:c r="F39" s="34" t="str">
        <x:v>The 7 Habits of Highly Effective People</x:v>
      </x:c>
      <x:c r="G39" s="34" t="str">
        <x:v>Stephen Covey</x:v>
      </x:c>
      <x:c r="H39" s="50" t="str">
        <x:v>1</x:v>
      </x:c>
      <x:c r="I39" s="50" t="str">
        <x:v>Temel</x:v>
      </x:c>
      <x:c r="J39" s="51" t="n">
        <x:v>15</x:v>
      </x:c>
      <x:c r="K39" s="51" t="n">
        <x:v>10</x:v>
      </x:c>
      <x:c r="L39" s="51" t="n">
        <x:v>13</x:v>
      </x:c>
      <x:c r="M39" s="51" t="n">
        <x:v>14</x:v>
      </x:c>
      <x:c r="N39" s="51" t="n">
        <x:v>10</x:v>
      </x:c>
      <x:c r="O39" s="51" t="n">
        <x:v>8</x:v>
      </x:c>
      <x:c r="P39" s="51" t="n">
        <x:v>16</x:v>
      </x:c>
      <x:c r="Q39" s="51" t="n">
        <x:v>3</x:v>
      </x:c>
      <x:c r="R39" s="52" t="n">
        <x:f>SUM(J39:Q39)</x:f>
        <x:v>89</x:v>
      </x:c>
      <x:c r="S39" s="50" t="str">
        <x:f>IF(R39&gt;='Rubrik'!$B$17,"Öncelikli video",IF(R39&gt;='Rubrik'!$B$18,"Video kuyruğu",IF(R39&gt;='Rubrik'!$B$19,"Revize et",IF(R39&gt;='Rubrik'!$B$20,"Kartla test","Düşük öncelik"))))</x:f>
        <x:v>Video kuyruğu</x:v>
      </x:c>
      <x:c r="T39" s="50" t="str">
        <x:f>IF(AND(R39&gt;=85,P39&gt;=16,M39&gt;=12,L39&gt;=12),"Reel + Carousel",IF(AND(R39&gt;=85,P39&gt;=16,N39&gt;=8),"Soru odaklı Reel",IF(AND(R39&gt;=85,P39&gt;=16),"Reel / Short",IF(M39&gt;=11,"Carousel","Kart testi"))))</x:f>
        <x:v>Reel + Carousel</x:v>
      </x:c>
      <x:c r="U39" s="46" t="str">
        <x:v>Auschwitz'de son özgürlük fikri çok güçlü; sözün tam kaynağı ve hassas tarihsel çerçeve korunmalı.</x:v>
      </x:c>
      <x:c r="V39" s="46" t="str">
        <x:f>IF(Q39&lt;=3,"Kaynak kontrolü şart",IF(Q39=4,"Kaynak kontrolü önerilir","Standart doğrulama"))</x:f>
        <x:v>Kaynak kontrolü şart</x:v>
      </x:c>
    </x:row>
    <x:row r="40" ht="24" customHeight="1">
      <x:c r="A40" s="48" t="n">
        <x:f>COUNTIF($R$2:$R$751,"&gt;"&amp;R40)+COUNTIF($R$2:R40,R40)</x:f>
        <x:v>39</x:v>
      </x:c>
      <x:c r="B40" s="48" t="n">
        <x:v>1792</x:v>
      </x:c>
      <x:c r="C40" s="46" t="str">
        <x:v>Barışı Öğrenen Sürü</x:v>
      </x:c>
      <x:c r="D40" s="34" t="str">
        <x:v>Sağlık</x:v>
      </x:c>
      <x:c r="E40" s="34" t="str">
        <x:v>Sağlık</x:v>
      </x:c>
      <x:c r="F40" s="34" t="str">
        <x:v>Why Zebras Don't Get Ulcers</x:v>
      </x:c>
      <x:c r="G40" s="34" t="str">
        <x:v>Robert M. Sapolsky</x:v>
      </x:c>
      <x:c r="H40" s="50" t="str">
        <x:v>F6</x:v>
      </x:c>
      <x:c r="I40" s="50" t="str">
        <x:v>Zengin</x:v>
      </x:c>
      <x:c r="J40" s="51" t="n">
        <x:v>13</x:v>
      </x:c>
      <x:c r="K40" s="51" t="n">
        <x:v>10</x:v>
      </x:c>
      <x:c r="L40" s="51" t="n">
        <x:v>15</x:v>
      </x:c>
      <x:c r="M40" s="51" t="n">
        <x:v>8</x:v>
      </x:c>
      <x:c r="N40" s="51" t="n">
        <x:v>10</x:v>
      </x:c>
      <x:c r="O40" s="51" t="n">
        <x:v>9</x:v>
      </x:c>
      <x:c r="P40" s="51" t="n">
        <x:v>20</x:v>
      </x:c>
      <x:c r="Q40" s="51" t="n">
        <x:v>3</x:v>
      </x:c>
      <x:c r="R40" s="52" t="n">
        <x:f>SUM(J40:Q40)</x:f>
        <x:v>88</x:v>
      </x:c>
      <x:c r="S40" s="50" t="str">
        <x:f>IF(R40&gt;='Rubrik'!$B$17,"Öncelikli video",IF(R40&gt;='Rubrik'!$B$18,"Video kuyruğu",IF(R40&gt;='Rubrik'!$B$19,"Revize et",IF(R40&gt;='Rubrik'!$B$20,"Kartla test","Düşük öncelik"))))</x:f>
        <x:v>Video kuyruğu</x:v>
      </x:c>
      <x:c r="T40" s="50" t="str">
        <x:f>IF(AND(R40&gt;=85,P40&gt;=16,M40&gt;=12,L40&gt;=12),"Reel + Carousel",IF(AND(R40&gt;=85,P40&gt;=16,N40&gt;=8),"Soru odaklı Reel",IF(AND(R40&gt;=85,P40&gt;=16),"Reel / Short",IF(M40&gt;=11,"Carousel","Kart testi"))))</x:f>
        <x:v>Soru odaklı Reel</x:v>
      </x:c>
      <x:c r="U40" s="46" t="str">
        <x:v>Duygusal karşıtlık paylaşma ve kişisel anlatma isteğini yükseltiyor; ilk saniye etkisi yeterli.</x:v>
      </x:c>
      <x:c r="V40" s="46" t="str">
        <x:f>IF(Q40&lt;=3,"Kaynak kontrolü şart",IF(Q40=4,"Kaynak kontrolü önerilir","Standart doğrulama"))</x:f>
        <x:v>Kaynak kontrolü şart</x:v>
      </x:c>
    </x:row>
    <x:row r="41" ht="24" customHeight="1">
      <x:c r="A41" s="48" t="n">
        <x:f>COUNTIF($R$2:$R$751,"&gt;"&amp;R41)+COUNTIF($R$2:R41,R41)</x:f>
        <x:v>40</x:v>
      </x:c>
      <x:c r="B41" s="48" t="n">
        <x:v>1749</x:v>
      </x:c>
      <x:c r="C41" s="46" t="str">
        <x:v>Okyanusta 47 Gün: Louis Zamperini</x:v>
      </x:c>
      <x:c r="D41" s="34" t="str">
        <x:v>Tarih</x:v>
      </x:c>
      <x:c r="E41" s="34" t="str">
        <x:v>Tarih</x:v>
      </x:c>
      <x:c r="F41" s="34" t="str">
        <x:v>Unbroken</x:v>
      </x:c>
      <x:c r="G41" s="34" t="str">
        <x:v>Laura Hillenbrand</x:v>
      </x:c>
      <x:c r="H41" s="50" t="str">
        <x:v>2</x:v>
      </x:c>
      <x:c r="I41" s="50" t="str">
        <x:v>Zengin</x:v>
      </x:c>
      <x:c r="J41" s="51" t="n">
        <x:v>13</x:v>
      </x:c>
      <x:c r="K41" s="51" t="n">
        <x:v>10</x:v>
      </x:c>
      <x:c r="L41" s="51" t="n">
        <x:v>14</x:v>
      </x:c>
      <x:c r="M41" s="51" t="n">
        <x:v>9</x:v>
      </x:c>
      <x:c r="N41" s="51" t="n">
        <x:v>9</x:v>
      </x:c>
      <x:c r="O41" s="51" t="n">
        <x:v>9</x:v>
      </x:c>
      <x:c r="P41" s="51" t="n">
        <x:v>19</x:v>
      </x:c>
      <x:c r="Q41" s="51" t="n">
        <x:v>5</x:v>
      </x:c>
      <x:c r="R41" s="52" t="n">
        <x:f>SUM(J41:Q41)</x:f>
        <x:v>88</x:v>
      </x:c>
      <x:c r="S41" s="50" t="str">
        <x:f>IF(R41&gt;='Rubrik'!$B$17,"Öncelikli video",IF(R41&gt;='Rubrik'!$B$18,"Video kuyruğu",IF(R41&gt;='Rubrik'!$B$19,"Revize et",IF(R41&gt;='Rubrik'!$B$20,"Kartla test","Düşük öncelik"))))</x:f>
        <x:v>Video kuyruğu</x:v>
      </x:c>
      <x:c r="T41" s="50" t="str">
        <x:f>IF(AND(R41&gt;=85,P41&gt;=16,M41&gt;=12,L41&gt;=12),"Reel + Carousel",IF(AND(R41&gt;=85,P41&gt;=16,N41&gt;=8),"Soru odaklı Reel",IF(AND(R41&gt;=85,P41&gt;=16),"Reel / Short",IF(M41&gt;=11,"Carousel","Kart testi"))))</x:f>
        <x:v>Soru odaklı Reel</x:v>
      </x:c>
      <x:c r="U41" s="46" t="str">
        <x:v>Somut sahne ve sayısal ayrıntı güçlü bir video açılışı sağlıyor; ilk saniye etkisi yeterli.</x:v>
      </x:c>
      <x:c r="V41" s="46" t="str">
        <x:f>IF(Q41&lt;=3,"Kaynak kontrolü şart",IF(Q41=4,"Kaynak kontrolü önerilir","Standart doğrulama"))</x:f>
        <x:v>Standart doğrulama</x:v>
      </x:c>
    </x:row>
    <x:row r="42" ht="24" customHeight="1">
      <x:c r="A42" s="48" t="n">
        <x:f>COUNTIF($R$2:$R$751,"&gt;"&amp;R42)+COUNTIF($R$2:R42,R42)</x:f>
        <x:v>41</x:v>
      </x:c>
      <x:c r="B42" s="48" t="n">
        <x:v>1695</x:v>
      </x:c>
      <x:c r="C42" s="46" t="str">
        <x:v>Çernobil Gecesi Kontrol Odasında Ne Oldu?</x:v>
      </x:c>
      <x:c r="D42" s="34" t="str">
        <x:v>Tarih</x:v>
      </x:c>
      <x:c r="E42" s="34" t="str">
        <x:v>Tarih</x:v>
      </x:c>
      <x:c r="F42" s="34" t="str">
        <x:v>Midnight in Chernobyl</x:v>
      </x:c>
      <x:c r="G42" s="34" t="str">
        <x:v>Adam Higginbotham</x:v>
      </x:c>
      <x:c r="H42" s="50" t="str">
        <x:v>2</x:v>
      </x:c>
      <x:c r="I42" s="50" t="str">
        <x:v>Zengin</x:v>
      </x:c>
      <x:c r="J42" s="51" t="n">
        <x:v>14</x:v>
      </x:c>
      <x:c r="K42" s="51" t="n">
        <x:v>7</x:v>
      </x:c>
      <x:c r="L42" s="51" t="n">
        <x:v>13</x:v>
      </x:c>
      <x:c r="M42" s="51" t="n">
        <x:v>12</x:v>
      </x:c>
      <x:c r="N42" s="51" t="n">
        <x:v>8</x:v>
      </x:c>
      <x:c r="O42" s="51" t="n">
        <x:v>10</x:v>
      </x:c>
      <x:c r="P42" s="51" t="n">
        <x:v>19</x:v>
      </x:c>
      <x:c r="Q42" s="51" t="n">
        <x:v>5</x:v>
      </x:c>
      <x:c r="R42" s="52" t="n">
        <x:f>SUM(J42:Q42)</x:f>
        <x:v>88</x:v>
      </x:c>
      <x:c r="S42" s="50" t="str">
        <x:f>IF(R42&gt;='Rubrik'!$B$17,"Öncelikli video",IF(R42&gt;='Rubrik'!$B$18,"Video kuyruğu",IF(R42&gt;='Rubrik'!$B$19,"Revize et",IF(R42&gt;='Rubrik'!$B$20,"Kartla test","Düşük öncelik"))))</x:f>
        <x:v>Video kuyruğu</x:v>
      </x:c>
      <x:c r="T42" s="50" t="str">
        <x:f>IF(AND(R42&gt;=85,P42&gt;=16,M42&gt;=12,L42&gt;=12),"Reel + Carousel",IF(AND(R42&gt;=85,P42&gt;=16,N42&gt;=8),"Soru odaklı Reel",IF(AND(R42&gt;=85,P42&gt;=16),"Reel / Short",IF(M42&gt;=11,"Carousel","Kart testi"))))</x:f>
        <x:v>Reel + Carousel</x:v>
      </x:c>
      <x:c r="U42" s="46" t="str">
        <x:v>Somut sahne ve sayısal ayrıntı güçlü bir video açılışı sağlıyor; paylaşılabilirlik yeterli.</x:v>
      </x:c>
      <x:c r="V42" s="46" t="str">
        <x:f>IF(Q42&lt;=3,"Kaynak kontrolü şart",IF(Q42=4,"Kaynak kontrolü önerilir","Standart doğrulama"))</x:f>
        <x:v>Standart doğrulama</x:v>
      </x:c>
    </x:row>
    <x:row r="43" ht="24" customHeight="1">
      <x:c r="A43" s="48" t="n">
        <x:f>COUNTIF($R$2:$R$751,"&gt;"&amp;R43)+COUNTIF($R$2:R43,R43)</x:f>
        <x:v>42</x:v>
      </x:c>
      <x:c r="B43" s="48" t="n">
        <x:v>1748</x:v>
      </x:c>
      <x:c r="C43" s="46" t="str">
        <x:v>Everest'te Saat İkiyi Geçince</x:v>
      </x:c>
      <x:c r="D43" s="34" t="str">
        <x:v>Tarih</x:v>
      </x:c>
      <x:c r="E43" s="34" t="str">
        <x:v>Tarih</x:v>
      </x:c>
      <x:c r="F43" s="34" t="str">
        <x:v>Into Thin Air</x:v>
      </x:c>
      <x:c r="G43" s="34" t="str">
        <x:v>Jon Krakauer</x:v>
      </x:c>
      <x:c r="H43" s="50" t="str">
        <x:v>2</x:v>
      </x:c>
      <x:c r="I43" s="50" t="str">
        <x:v>Zengin</x:v>
      </x:c>
      <x:c r="J43" s="51" t="n">
        <x:v>14</x:v>
      </x:c>
      <x:c r="K43" s="51" t="n">
        <x:v>9</x:v>
      </x:c>
      <x:c r="L43" s="51" t="n">
        <x:v>13</x:v>
      </x:c>
      <x:c r="M43" s="51" t="n">
        <x:v>10</x:v>
      </x:c>
      <x:c r="N43" s="51" t="n">
        <x:v>9</x:v>
      </x:c>
      <x:c r="O43" s="51" t="n">
        <x:v>9</x:v>
      </x:c>
      <x:c r="P43" s="51" t="n">
        <x:v>19</x:v>
      </x:c>
      <x:c r="Q43" s="51" t="n">
        <x:v>5</x:v>
      </x:c>
      <x:c r="R43" s="52" t="n">
        <x:f>SUM(J43:Q43)</x:f>
        <x:v>88</x:v>
      </x:c>
      <x:c r="S43" s="50" t="str">
        <x:f>IF(R43&gt;='Rubrik'!$B$17,"Öncelikli video",IF(R43&gt;='Rubrik'!$B$18,"Video kuyruğu",IF(R43&gt;='Rubrik'!$B$19,"Revize et",IF(R43&gt;='Rubrik'!$B$20,"Kartla test","Düşük öncelik"))))</x:f>
        <x:v>Video kuyruğu</x:v>
      </x:c>
      <x:c r="T43" s="50" t="str">
        <x:f>IF(AND(R43&gt;=85,P43&gt;=16,M43&gt;=12,L43&gt;=12),"Reel + Carousel",IF(AND(R43&gt;=85,P43&gt;=16,N43&gt;=8),"Soru odaklı Reel",IF(AND(R43&gt;=85,P43&gt;=16),"Reel / Short",IF(M43&gt;=11,"Carousel","Kart testi"))))</x:f>
        <x:v>Soru odaklı Reel</x:v>
      </x:c>
      <x:c r="U43" s="46" t="str">
        <x:v>Somut sahne ve sayısal ayrıntı güçlü bir video açılışı sağlıyor; paylaşılabilirlik yeterli.</x:v>
      </x:c>
      <x:c r="V43" s="46" t="str">
        <x:f>IF(Q43&lt;=3,"Kaynak kontrolü şart",IF(Q43=4,"Kaynak kontrolü önerilir","Standart doğrulama"))</x:f>
        <x:v>Standart doğrulama</x:v>
      </x:c>
    </x:row>
    <x:row r="44" ht="24" customHeight="1">
      <x:c r="A44" s="48" t="n">
        <x:f>COUNTIF($R$2:$R$751,"&gt;"&amp;R44)+COUNTIF($R$2:R44,R44)</x:f>
        <x:v>43</x:v>
      </x:c>
      <x:c r="B44" s="48" t="n">
        <x:v>1489</x:v>
      </x:c>
      <x:c r="C44" s="46" t="str">
        <x:v>Rat Park deneyi — bağımlılığın gerçek nedeni</x:v>
      </x:c>
      <x:c r="D44" s="34" t="str">
        <x:v>Felsefe</x:v>
      </x:c>
      <x:c r="E44" s="34" t="str">
        <x:v>Toplum</x:v>
      </x:c>
      <x:c r="F44" s="34" t="str">
        <x:v>Bağımlılık Çağı</x:v>
      </x:c>
      <x:c r="G44" s="34" t="str">
        <x:v>Johann Hari</x:v>
      </x:c>
      <x:c r="H44" s="50" t="str">
        <x:v>1</x:v>
      </x:c>
      <x:c r="I44" s="50" t="str">
        <x:v>Temel</x:v>
      </x:c>
      <x:c r="J44" s="51" t="n">
        <x:v>14</x:v>
      </x:c>
      <x:c r="K44" s="51" t="n">
        <x:v>10</x:v>
      </x:c>
      <x:c r="L44" s="51" t="n">
        <x:v>15</x:v>
      </x:c>
      <x:c r="M44" s="51" t="n">
        <x:v>13</x:v>
      </x:c>
      <x:c r="N44" s="51" t="n">
        <x:v>9</x:v>
      </x:c>
      <x:c r="O44" s="51" t="n">
        <x:v>8</x:v>
      </x:c>
      <x:c r="P44" s="51" t="n">
        <x:v>17</x:v>
      </x:c>
      <x:c r="Q44" s="51" t="n">
        <x:v>2</x:v>
      </x:c>
      <x:c r="R44" s="52" t="n">
        <x:f>SUM(J44:Q44)</x:f>
        <x:v>88</x:v>
      </x:c>
      <x:c r="S44" s="50" t="str">
        <x:f>IF(R44&gt;='Rubrik'!$B$17,"Öncelikli video",IF(R44&gt;='Rubrik'!$B$18,"Video kuyruğu",IF(R44&gt;='Rubrik'!$B$19,"Revize et",IF(R44&gt;='Rubrik'!$B$20,"Kartla test","Düşük öncelik"))))</x:f>
        <x:v>Video kuyruğu</x:v>
      </x:c>
      <x:c r="T44" s="50" t="str">
        <x:f>IF(AND(R44&gt;=85,P44&gt;=16,M44&gt;=12,L44&gt;=12),"Reel + Carousel",IF(AND(R44&gt;=85,P44&gt;=16,N44&gt;=8),"Soru odaklı Reel",IF(AND(R44&gt;=85,P44&gt;=16),"Reel / Short",IF(M44&gt;=11,"Carousel","Kart testi"))))</x:f>
        <x:v>Reel + Carousel</x:v>
      </x:c>
      <x:c r="U44" s="46" t="str">
        <x:v>Rat Park deneyinin kafes karşıtlığı unutulmaz görsel ve duygu taşır; geniş bağımlılık sonucu temkinli sunulmalı.</x:v>
      </x:c>
      <x:c r="V44" s="46" t="str">
        <x:f>IF(Q44&lt;=3,"Kaynak kontrolü şart",IF(Q44=4,"Kaynak kontrolü önerilir","Standart doğrulama"))</x:f>
        <x:v>Kaynak kontrolü şart</x:v>
      </x:c>
    </x:row>
    <x:row r="45" ht="24" customHeight="1">
      <x:c r="A45" s="48" t="n">
        <x:f>COUNTIF($R$2:$R$751,"&gt;"&amp;R45)+COUNTIF($R$2:R45,R45)</x:f>
        <x:v>44</x:v>
      </x:c>
      <x:c r="B45" s="48" t="n">
        <x:v>1536</x:v>
      </x:c>
      <x:c r="C45" s="46" t="str">
        <x:v>Marginal kazanımlar — Tour de France'ta bisiklet ekibi devrimi</x:v>
      </x:c>
      <x:c r="D45" s="34" t="str">
        <x:v>Felsefe</x:v>
      </x:c>
      <x:c r="E45" s="34" t="str">
        <x:v>Öğrenme</x:v>
      </x:c>
      <x:c r="F45" s="34" t="str">
        <x:v>Black Box Thinking</x:v>
      </x:c>
      <x:c r="G45" s="34" t="str">
        <x:v>Matthew Syed</x:v>
      </x:c>
      <x:c r="H45" s="50" t="str">
        <x:v>1</x:v>
      </x:c>
      <x:c r="I45" s="50" t="str">
        <x:v>Temel</x:v>
      </x:c>
      <x:c r="J45" s="51" t="n">
        <x:v>13</x:v>
      </x:c>
      <x:c r="K45" s="51" t="n">
        <x:v>8</x:v>
      </x:c>
      <x:c r="L45" s="51" t="n">
        <x:v>14</x:v>
      </x:c>
      <x:c r="M45" s="51" t="n">
        <x:v>15</x:v>
      </x:c>
      <x:c r="N45" s="51" t="n">
        <x:v>9</x:v>
      </x:c>
      <x:c r="O45" s="51" t="n">
        <x:v>7</x:v>
      </x:c>
      <x:c r="P45" s="51" t="n">
        <x:v>17</x:v>
      </x:c>
      <x:c r="Q45" s="51" t="n">
        <x:v>5</x:v>
      </x:c>
      <x:c r="R45" s="52" t="n">
        <x:f>SUM(J45:Q45)</x:f>
        <x:v>88</x:v>
      </x:c>
      <x:c r="S45" s="50" t="str">
        <x:f>IF(R45&gt;='Rubrik'!$B$17,"Öncelikli video",IF(R45&gt;='Rubrik'!$B$18,"Video kuyruğu",IF(R45&gt;='Rubrik'!$B$19,"Revize et",IF(R45&gt;='Rubrik'!$B$20,"Kartla test","Düşük öncelik"))))</x:f>
        <x:v>Video kuyruğu</x:v>
      </x:c>
      <x:c r="T45" s="50" t="str">
        <x:f>IF(AND(R45&gt;=85,P45&gt;=16,M45&gt;=12,L45&gt;=12),"Reel + Carousel",IF(AND(R45&gt;=85,P45&gt;=16,N45&gt;=8),"Soru odaklı Reel",IF(AND(R45&gt;=85,P45&gt;=16),"Reel / Short",IF(M45&gt;=11,"Carousel","Kart testi"))))</x:f>
        <x:v>Reel + Carousel</x:v>
      </x:c>
      <x:c r="U45" s="46" t="str">
        <x:v>Britanya bisiklet takımının yüzde birlik kazanımları net önce-sonra dönüşümü ve bol görsel ayrıntı taşıyor.</x:v>
      </x:c>
      <x:c r="V45" s="46" t="str">
        <x:f>IF(Q45&lt;=3,"Kaynak kontrolü şart",IF(Q45=4,"Kaynak kontrolü önerilir","Standart doğrulama"))</x:f>
        <x:v>Standart doğrulama</x:v>
      </x:c>
    </x:row>
    <x:row r="46" ht="24" customHeight="1">
      <x:c r="A46" s="48" t="n">
        <x:f>COUNTIF($R$2:$R$751,"&gt;"&amp;R46)+COUNTIF($R$2:R46,R46)</x:f>
        <x:v>45</x:v>
      </x:c>
      <x:c r="B46" s="48" t="n">
        <x:v>1162</x:v>
      </x:c>
      <x:c r="C46" s="46" t="str">
        <x:v>Sahte antika ve uzman gözü</x:v>
      </x:c>
      <x:c r="D46" s="34" t="str">
        <x:v>Psikoloji</x:v>
      </x:c>
      <x:c r="E46" s="34" t="str">
        <x:v>Psikoloji</x:v>
      </x:c>
      <x:c r="F46" s="34" t="str">
        <x:v>Sezgi Gücü</x:v>
      </x:c>
      <x:c r="G46" s="34" t="str">
        <x:v>Malcolm Gladwell</x:v>
      </x:c>
      <x:c r="H46" s="50" t="str">
        <x:v>1</x:v>
      </x:c>
      <x:c r="I46" s="50" t="str">
        <x:v>Temel</x:v>
      </x:c>
      <x:c r="J46" s="51" t="n">
        <x:v>15</x:v>
      </x:c>
      <x:c r="K46" s="51" t="n">
        <x:v>9</x:v>
      </x:c>
      <x:c r="L46" s="51" t="n">
        <x:v>13</x:v>
      </x:c>
      <x:c r="M46" s="51" t="n">
        <x:v>13</x:v>
      </x:c>
      <x:c r="N46" s="51" t="n">
        <x:v>9</x:v>
      </x:c>
      <x:c r="O46" s="51" t="n">
        <x:v>8</x:v>
      </x:c>
      <x:c r="P46" s="51" t="n">
        <x:v>17</x:v>
      </x:c>
      <x:c r="Q46" s="51" t="n">
        <x:v>4</x:v>
      </x:c>
      <x:c r="R46" s="52" t="n">
        <x:f>SUM(J46:Q46)</x:f>
        <x:v>88</x:v>
      </x:c>
      <x:c r="S46" s="50" t="str">
        <x:f>IF(R46&gt;='Rubrik'!$B$17,"Öncelikli video",IF(R46&gt;='Rubrik'!$B$18,"Video kuyruğu",IF(R46&gt;='Rubrik'!$B$19,"Revize et",IF(R46&gt;='Rubrik'!$B$20,"Kartla test","Düşük öncelik"))))</x:f>
        <x:v>Video kuyruğu</x:v>
      </x:c>
      <x:c r="T46" s="50" t="str">
        <x:f>IF(AND(R46&gt;=85,P46&gt;=16,M46&gt;=12,L46&gt;=12),"Reel + Carousel",IF(AND(R46&gt;=85,P46&gt;=16,N46&gt;=8),"Soru odaklı Reel",IF(AND(R46&gt;=85,P46&gt;=16),"Reel / Short",IF(M46&gt;=11,"Carousel","Kart testi"))))</x:f>
        <x:v>Reel + Carousel</x:v>
      </x:c>
      <x:c r="U46" s="46" t="str">
        <x:v>On dört aylık testleri tek bakışla bozan sahte heykel mükemmel ters köşe; ayrıntılar kaynakla desteklenmeli.</x:v>
      </x:c>
      <x:c r="V46" s="46" t="str">
        <x:f>IF(Q46&lt;=3,"Kaynak kontrolü şart",IF(Q46=4,"Kaynak kontrolü önerilir","Standart doğrulama"))</x:f>
        <x:v>Kaynak kontrolü önerilir</x:v>
      </x:c>
    </x:row>
    <x:row r="47" ht="24" customHeight="1">
      <x:c r="A47" s="48" t="n">
        <x:f>COUNTIF($R$2:$R$751,"&gt;"&amp;R47)+COUNTIF($R$2:R47,R47)</x:f>
        <x:v>46</x:v>
      </x:c>
      <x:c r="B47" s="48" t="n">
        <x:v>1123</x:v>
      </x:c>
      <x:c r="C47" s="46" t="str">
        <x:v>Michael Phelps'in görselleştirme rutini</x:v>
      </x:c>
      <x:c r="D47" s="34" t="str">
        <x:v>Sağlık</x:v>
      </x:c>
      <x:c r="E47" s="34" t="str">
        <x:v>Alışkanlıklar</x:v>
      </x:c>
      <x:c r="F47" s="34" t="str">
        <x:v>Alışkanlıkların Gücü</x:v>
      </x:c>
      <x:c r="G47" s="34" t="str">
        <x:v>Charles Duhigg</x:v>
      </x:c>
      <x:c r="H47" s="50" t="str">
        <x:v>1</x:v>
      </x:c>
      <x:c r="I47" s="50" t="str">
        <x:v>Temel</x:v>
      </x:c>
      <x:c r="J47" s="51" t="n">
        <x:v>15</x:v>
      </x:c>
      <x:c r="K47" s="51" t="n">
        <x:v>9</x:v>
      </x:c>
      <x:c r="L47" s="51" t="n">
        <x:v>12</x:v>
      </x:c>
      <x:c r="M47" s="51" t="n">
        <x:v>14</x:v>
      </x:c>
      <x:c r="N47" s="51" t="n">
        <x:v>9</x:v>
      </x:c>
      <x:c r="O47" s="51" t="n">
        <x:v>8</x:v>
      </x:c>
      <x:c r="P47" s="51" t="n">
        <x:v>17</x:v>
      </x:c>
      <x:c r="Q47" s="51" t="n">
        <x:v>4</x:v>
      </x:c>
      <x:c r="R47" s="52" t="n">
        <x:f>SUM(J47:Q47)</x:f>
        <x:v>88</x:v>
      </x:c>
      <x:c r="S47" s="50" t="str">
        <x:f>IF(R47&gt;='Rubrik'!$B$17,"Öncelikli video",IF(R47&gt;='Rubrik'!$B$18,"Video kuyruğu",IF(R47&gt;='Rubrik'!$B$19,"Revize et",IF(R47&gt;='Rubrik'!$B$20,"Kartla test","Düşük öncelik"))))</x:f>
        <x:v>Video kuyruğu</x:v>
      </x:c>
      <x:c r="T47" s="50" t="str">
        <x:f>IF(AND(R47&gt;=85,P47&gt;=16,M47&gt;=12,L47&gt;=12),"Reel + Carousel",IF(AND(R47&gt;=85,P47&gt;=16,N47&gt;=8),"Soru odaklı Reel",IF(AND(R47&gt;=85,P47&gt;=16),"Reel / Short",IF(M47&gt;=11,"Carousel","Kart testi"))))</x:f>
        <x:v>Reel + Carousel</x:v>
      </x:c>
      <x:c r="U47" s="46" t="str">
        <x:v>Suyla dolan gözlükle kör yüzüp rekor kırmak olağanüstü görsel dönüm noktası ve uygulanabilir prova dersi.</x:v>
      </x:c>
      <x:c r="V47" s="46" t="str">
        <x:f>IF(Q47&lt;=3,"Kaynak kontrolü şart",IF(Q47=4,"Kaynak kontrolü önerilir","Standart doğrulama"))</x:f>
        <x:v>Kaynak kontrolü önerilir</x:v>
      </x:c>
    </x:row>
    <x:row r="48" ht="24" customHeight="1">
      <x:c r="A48" s="48" t="n">
        <x:f>COUNTIF($R$2:$R$751,"&gt;"&amp;R48)+COUNTIF($R$2:R48,R48)</x:f>
        <x:v>47</x:v>
      </x:c>
      <x:c r="B48" s="48" t="n">
        <x:v>1447</x:v>
      </x:c>
      <x:c r="C48" s="46" t="str">
        <x:v>Hayat kısa değil, biz onu israf ediyoruz</x:v>
      </x:c>
      <x:c r="D48" s="34" t="str">
        <x:v>Felsefe</x:v>
      </x:c>
      <x:c r="E48" s="34" t="str">
        <x:v>Felsefe</x:v>
      </x:c>
      <x:c r="F48" s="34" t="str">
        <x:v>Hayatın Kısalığı Üzerine</x:v>
      </x:c>
      <x:c r="G48" s="34" t="str">
        <x:v>Seneca</x:v>
      </x:c>
      <x:c r="H48" s="50" t="str">
        <x:v>1</x:v>
      </x:c>
      <x:c r="I48" s="50" t="str">
        <x:v>Temel</x:v>
      </x:c>
      <x:c r="J48" s="51" t="n">
        <x:v>14</x:v>
      </x:c>
      <x:c r="K48" s="51" t="n">
        <x:v>9</x:v>
      </x:c>
      <x:c r="L48" s="51" t="n">
        <x:v>14</x:v>
      </x:c>
      <x:c r="M48" s="51" t="n">
        <x:v>14</x:v>
      </x:c>
      <x:c r="N48" s="51" t="n">
        <x:v>9</x:v>
      </x:c>
      <x:c r="O48" s="51" t="n">
        <x:v>7</x:v>
      </x:c>
      <x:c r="P48" s="51" t="n">
        <x:v>16</x:v>
      </x:c>
      <x:c r="Q48" s="51" t="n">
        <x:v>5</x:v>
      </x:c>
      <x:c r="R48" s="52" t="n">
        <x:f>SUM(J48:Q48)</x:f>
        <x:v>88</x:v>
      </x:c>
      <x:c r="S48" s="50" t="str">
        <x:f>IF(R48&gt;='Rubrik'!$B$17,"Öncelikli video",IF(R48&gt;='Rubrik'!$B$18,"Video kuyruğu",IF(R48&gt;='Rubrik'!$B$19,"Revize et",IF(R48&gt;='Rubrik'!$B$20,"Kartla test","Düşük öncelik"))))</x:f>
        <x:v>Video kuyruğu</x:v>
      </x:c>
      <x:c r="T48" s="50" t="str">
        <x:f>IF(AND(R48&gt;=85,P48&gt;=16,M48&gt;=12,L48&gt;=12),"Reel + Carousel",IF(AND(R48&gt;=85,P48&gt;=16,N48&gt;=8),"Soru odaklı Reel",IF(AND(R48&gt;=85,P48&gt;=16),"Reel / Short",IF(M48&gt;=11,"Carousel","Kart testi"))))</x:f>
        <x:v>Reel + Carousel</x:v>
      </x:c>
      <x:c r="U48" s="46" t="str">
        <x:v>Seneca'nın hayat kısa değil sözü evrensel pişmanlığa dokunuyor; alıntı ve seslendirme için çok güçlü.</x:v>
      </x:c>
      <x:c r="V48" s="46" t="str">
        <x:f>IF(Q48&lt;=3,"Kaynak kontrolü şart",IF(Q48=4,"Kaynak kontrolü önerilir","Standart doğrulama"))</x:f>
        <x:v>Standart doğrulama</x:v>
      </x:c>
    </x:row>
    <x:row r="49" ht="24" customHeight="1">
      <x:c r="A49" s="48" t="n">
        <x:f>COUNTIF($R$2:$R$751,"&gt;"&amp;R49)+COUNTIF($R$2:R49,R49)</x:f>
        <x:v>48</x:v>
      </x:c>
      <x:c r="B49" s="48" t="n">
        <x:v>1463</x:v>
      </x:c>
      <x:c r="C49" s="46" t="str">
        <x:v>Hafıza sarayı ve uzamsal kodlama</x:v>
      </x:c>
      <x:c r="D49" s="34" t="str">
        <x:v>Felsefe</x:v>
      </x:c>
      <x:c r="E49" s="34" t="str">
        <x:v>Öğrenme</x:v>
      </x:c>
      <x:c r="F49" s="34" t="str">
        <x:v>Kalıcı Hafıza</x:v>
      </x:c>
      <x:c r="G49" s="34" t="str">
        <x:v>Joshua Foer</x:v>
      </x:c>
      <x:c r="H49" s="50" t="str">
        <x:v>1</x:v>
      </x:c>
      <x:c r="I49" s="50" t="str">
        <x:v>Temel</x:v>
      </x:c>
      <x:c r="J49" s="51" t="n">
        <x:v>13</x:v>
      </x:c>
      <x:c r="K49" s="51" t="n">
        <x:v>8</x:v>
      </x:c>
      <x:c r="L49" s="51" t="n">
        <x:v>14</x:v>
      </x:c>
      <x:c r="M49" s="51" t="n">
        <x:v>15</x:v>
      </x:c>
      <x:c r="N49" s="51" t="n">
        <x:v>9</x:v>
      </x:c>
      <x:c r="O49" s="51" t="n">
        <x:v>8</x:v>
      </x:c>
      <x:c r="P49" s="51" t="n">
        <x:v>16</x:v>
      </x:c>
      <x:c r="Q49" s="51" t="n">
        <x:v>5</x:v>
      </x:c>
      <x:c r="R49" s="52" t="n">
        <x:f>SUM(J49:Q49)</x:f>
        <x:v>88</x:v>
      </x:c>
      <x:c r="S49" s="50" t="str">
        <x:f>IF(R49&gt;='Rubrik'!$B$17,"Öncelikli video",IF(R49&gt;='Rubrik'!$B$18,"Video kuyruğu",IF(R49&gt;='Rubrik'!$B$19,"Revize et",IF(R49&gt;='Rubrik'!$B$20,"Kartla test","Düşük öncelik"))))</x:f>
        <x:v>Video kuyruğu</x:v>
      </x:c>
      <x:c r="T49" s="50" t="str">
        <x:f>IF(AND(R49&gt;=85,P49&gt;=16,M49&gt;=12,L49&gt;=12),"Reel + Carousel",IF(AND(R49&gt;=85,P49&gt;=16,N49&gt;=8),"Soru odaklı Reel",IF(AND(R49&gt;=85,P49&gt;=16),"Reel / Short",IF(M49&gt;=11,"Carousel","Kart testi"))))</x:f>
        <x:v>Reel + Carousel</x:v>
      </x:c>
      <x:c r="U49" s="46" t="str">
        <x:v>Simonides'in çöken salonu hafıza sarayını dramatik köken öyküsüyle anlatıyor; hem görsel hem uygulanabilir.</x:v>
      </x:c>
      <x:c r="V49" s="46" t="str">
        <x:f>IF(Q49&lt;=3,"Kaynak kontrolü şart",IF(Q49=4,"Kaynak kontrolü önerilir","Standart doğrulama"))</x:f>
        <x:v>Standart doğrulama</x:v>
      </x:c>
    </x:row>
    <x:row r="50" ht="24" customHeight="1">
      <x:c r="A50" s="48" t="n">
        <x:f>COUNTIF($R$2:$R$751,"&gt;"&amp;R50)+COUNTIF($R$2:R50,R50)</x:f>
        <x:v>49</x:v>
      </x:c>
      <x:c r="B50" s="48" t="n">
        <x:v>1516</x:v>
      </x:c>
      <x:c r="C50" s="46" t="str">
        <x:v>Anne testi nedir</x:v>
      </x:c>
      <x:c r="D50" s="34" t="str">
        <x:v>Verimlilik</x:v>
      </x:c>
      <x:c r="E50" s="34" t="str">
        <x:v>Girişimcilik</x:v>
      </x:c>
      <x:c r="F50" s="34" t="str">
        <x:v>Müşteri Geliştirme</x:v>
      </x:c>
      <x:c r="G50" s="34" t="str">
        <x:v>Rob Fitzpatrick</x:v>
      </x:c>
      <x:c r="H50" s="50" t="str">
        <x:v>1</x:v>
      </x:c>
      <x:c r="I50" s="50" t="str">
        <x:v>Temel</x:v>
      </x:c>
      <x:c r="J50" s="51" t="n">
        <x:v>14</x:v>
      </x:c>
      <x:c r="K50" s="51" t="n">
        <x:v>8</x:v>
      </x:c>
      <x:c r="L50" s="51" t="n">
        <x:v>14</x:v>
      </x:c>
      <x:c r="M50" s="51" t="n">
        <x:v>15</x:v>
      </x:c>
      <x:c r="N50" s="51" t="n">
        <x:v>9</x:v>
      </x:c>
      <x:c r="O50" s="51" t="n">
        <x:v>7</x:v>
      </x:c>
      <x:c r="P50" s="51" t="n">
        <x:v>16</x:v>
      </x:c>
      <x:c r="Q50" s="51" t="n">
        <x:v>5</x:v>
      </x:c>
      <x:c r="R50" s="52" t="n">
        <x:f>SUM(J50:Q50)</x:f>
        <x:v>88</x:v>
      </x:c>
      <x:c r="S50" s="50" t="str">
        <x:f>IF(R50&gt;='Rubrik'!$B$17,"Öncelikli video",IF(R50&gt;='Rubrik'!$B$18,"Video kuyruğu",IF(R50&gt;='Rubrik'!$B$19,"Revize et",IF(R50&gt;='Rubrik'!$B$20,"Kartla test","Düşük öncelik"))))</x:f>
        <x:v>Video kuyruğu</x:v>
      </x:c>
      <x:c r="T50" s="50" t="str">
        <x:f>IF(AND(R50&gt;=85,P50&gt;=16,M50&gt;=12,L50&gt;=12),"Reel + Carousel",IF(AND(R50&gt;=85,P50&gt;=16,N50&gt;=8),"Soru odaklı Reel",IF(AND(R50&gt;=85,P50&gt;=16),"Reel / Short",IF(M50&gt;=11,"Carousel","Kart testi"))))</x:f>
        <x:v>Reel + Carousel</x:v>
      </x:c>
      <x:c r="U50" s="46" t="str">
        <x:v>Anne Testi girişimcinin en yaygın yanılgısını komik ve uygulanabilir biçimde çözüyor; paylaşım gücü çok yüksek.</x:v>
      </x:c>
      <x:c r="V50" s="46" t="str">
        <x:f>IF(Q50&lt;=3,"Kaynak kontrolü şart",IF(Q50=4,"Kaynak kontrolü önerilir","Standart doğrulama"))</x:f>
        <x:v>Standart doğrulama</x:v>
      </x:c>
    </x:row>
    <x:row r="51" ht="24" customHeight="1">
      <x:c r="A51" s="48" t="n">
        <x:f>COUNTIF($R$2:$R$751,"&gt;"&amp;R51)+COUNTIF($R$2:R51,R51)</x:f>
        <x:v>50</x:v>
      </x:c>
      <x:c r="B51" s="48" t="n">
        <x:v>1619</x:v>
      </x:c>
      <x:c r="C51" s="46" t="str">
        <x:v>Şeytan döngüsü — saldır ve çekil sarmalı</x:v>
      </x:c>
      <x:c r="D51" s="34" t="str">
        <x:v>İletişim</x:v>
      </x:c>
      <x:c r="E51" s="34" t="str">
        <x:v>İlişkiler</x:v>
      </x:c>
      <x:c r="F51" s="34" t="str">
        <x:v>İlişki Psikolojisi</x:v>
      </x:c>
      <x:c r="G51" s="34" t="str">
        <x:v>Sue Johnson</x:v>
      </x:c>
      <x:c r="H51" s="50" t="str">
        <x:v>1</x:v>
      </x:c>
      <x:c r="I51" s="50" t="str">
        <x:v>Temel</x:v>
      </x:c>
      <x:c r="J51" s="51" t="n">
        <x:v>13</x:v>
      </x:c>
      <x:c r="K51" s="51" t="n">
        <x:v>9</x:v>
      </x:c>
      <x:c r="L51" s="51" t="n">
        <x:v>14</x:v>
      </x:c>
      <x:c r="M51" s="51" t="n">
        <x:v>14</x:v>
      </x:c>
      <x:c r="N51" s="51" t="n">
        <x:v>9</x:v>
      </x:c>
      <x:c r="O51" s="51" t="n">
        <x:v>8</x:v>
      </x:c>
      <x:c r="P51" s="51" t="n">
        <x:v>16</x:v>
      </x:c>
      <x:c r="Q51" s="51" t="n">
        <x:v>5</x:v>
      </x:c>
      <x:c r="R51" s="52" t="n">
        <x:f>SUM(J51:Q51)</x:f>
        <x:v>88</x:v>
      </x:c>
      <x:c r="S51" s="50" t="str">
        <x:f>IF(R51&gt;='Rubrik'!$B$17,"Öncelikli video",IF(R51&gt;='Rubrik'!$B$18,"Video kuyruğu",IF(R51&gt;='Rubrik'!$B$19,"Revize et",IF(R51&gt;='Rubrik'!$B$20,"Kartla test","Düşük öncelik"))))</x:f>
        <x:v>Video kuyruğu</x:v>
      </x:c>
      <x:c r="T51" s="50" t="str">
        <x:f>IF(AND(R51&gt;=85,P51&gt;=16,M51&gt;=12,L51&gt;=12),"Reel + Carousel",IF(AND(R51&gt;=85,P51&gt;=16,N51&gt;=8),"Soru odaklı Reel",IF(AND(R51&gt;=85,P51&gt;=16),"Reel / Short",IF(M51&gt;=11,"Carousel","Kart testi"))))</x:f>
        <x:v>Reel + Carousel</x:v>
      </x:c>
      <x:c r="U51" s="46" t="str">
        <x:v>Kovalayan-kaçan döngü çiftlerin kendini hemen gördüğü duygusal bir sahne; çözüm adımları videoyu tamamlıyor.</x:v>
      </x:c>
      <x:c r="V51" s="46" t="str">
        <x:f>IF(Q51&lt;=3,"Kaynak kontrolü şart",IF(Q51=4,"Kaynak kontrolü önerilir","Standart doğrulama"))</x:f>
        <x:v>Standart doğrulama</x:v>
      </x:c>
    </x:row>
    <x:row r="52" ht="24" customHeight="1">
      <x:c r="A52" s="48" t="n">
        <x:f>COUNTIF($R$2:$R$751,"&gt;"&amp;R52)+COUNTIF($R$2:R52,R52)</x:f>
        <x:v>51</x:v>
      </x:c>
      <x:c r="B52" s="48" t="n">
        <x:v>1152</x:v>
      </x:c>
      <x:c r="C52" s="46" t="str">
        <x:v>Toplama kampında anlam arayışı</x:v>
      </x:c>
      <x:c r="D52" s="34" t="str">
        <x:v>Felsefe</x:v>
      </x:c>
      <x:c r="E52" s="34" t="str">
        <x:v>Felsefe</x:v>
      </x:c>
      <x:c r="F52" s="34" t="str">
        <x:v>Büyük Soru</x:v>
      </x:c>
      <x:c r="G52" s="34" t="str">
        <x:v>Viktor Frankl</x:v>
      </x:c>
      <x:c r="H52" s="50" t="str">
        <x:v>1</x:v>
      </x:c>
      <x:c r="I52" s="50" t="str">
        <x:v>Temel</x:v>
      </x:c>
      <x:c r="J52" s="51" t="n">
        <x:v>15</x:v>
      </x:c>
      <x:c r="K52" s="51" t="n">
        <x:v>10</x:v>
      </x:c>
      <x:c r="L52" s="51" t="n">
        <x:v>13</x:v>
      </x:c>
      <x:c r="M52" s="51" t="n">
        <x:v>14</x:v>
      </x:c>
      <x:c r="N52" s="51" t="n">
        <x:v>10</x:v>
      </x:c>
      <x:c r="O52" s="51" t="n">
        <x:v>8</x:v>
      </x:c>
      <x:c r="P52" s="51" t="n">
        <x:v>16</x:v>
      </x:c>
      <x:c r="Q52" s="51" t="n">
        <x:v>2</x:v>
      </x:c>
      <x:c r="R52" s="52" t="n">
        <x:f>SUM(J52:Q52)</x:f>
        <x:v>88</x:v>
      </x:c>
      <x:c r="S52" s="50" t="str">
        <x:f>IF(R52&gt;='Rubrik'!$B$17,"Öncelikli video",IF(R52&gt;='Rubrik'!$B$18,"Video kuyruğu",IF(R52&gt;='Rubrik'!$B$19,"Revize et",IF(R52&gt;='Rubrik'!$B$20,"Kartla test","Düşük öncelik"))))</x:f>
        <x:v>Video kuyruğu</x:v>
      </x:c>
      <x:c r="T52" s="50" t="str">
        <x:f>IF(AND(R52&gt;=85,P52&gt;=16,M52&gt;=12,L52&gt;=12),"Reel + Carousel",IF(AND(R52&gt;=85,P52&gt;=16,N52&gt;=8),"Soru odaklı Reel",IF(AND(R52&gt;=85,P52&gt;=16),"Reel / Short",IF(M52&gt;=11,"Carousel","Kart testi"))))</x:f>
        <x:v>Reel + Carousel</x:v>
      </x:c>
      <x:c r="U52" s="46" t="str">
        <x:v>Auschwitz'de anlamla tutunma son derece güçlü; hayatta kalma nedeni ve alıntılar hassas biçimde doğrulanmalı.</x:v>
      </x:c>
      <x:c r="V52" s="46" t="str">
        <x:f>IF(Q52&lt;=3,"Kaynak kontrolü şart",IF(Q52=4,"Kaynak kontrolü önerilir","Standart doğrulama"))</x:f>
        <x:v>Kaynak kontrolü şart</x:v>
      </x:c>
    </x:row>
    <x:row r="53" ht="24" customHeight="1">
      <x:c r="A53" s="48" t="n">
        <x:f>COUNTIF($R$2:$R$751,"&gt;"&amp;R53)+COUNTIF($R$2:R53,R53)</x:f>
        <x:v>52</x:v>
      </x:c>
      <x:c r="B53" s="48" t="n">
        <x:v>1729</x:v>
      </x:c>
      <x:c r="C53" s="46" t="str">
        <x:v>Filler Ayaklarıyla Kilometrelerce Öteyi Nasıl Dinliyor?</x:v>
      </x:c>
      <x:c r="D53" s="34" t="str">
        <x:v>Psikoloji</x:v>
      </x:c>
      <x:c r="E53" s="34" t="str">
        <x:v>Psikoloji</x:v>
      </x:c>
      <x:c r="F53" s="34" t="str">
        <x:v>An Immense World</x:v>
      </x:c>
      <x:c r="G53" s="34" t="str">
        <x:v>Ed Yong</x:v>
      </x:c>
      <x:c r="H53" s="50" t="str">
        <x:v>2</x:v>
      </x:c>
      <x:c r="I53" s="50" t="str">
        <x:v>Zengin</x:v>
      </x:c>
      <x:c r="J53" s="51" t="n">
        <x:v>13</x:v>
      </x:c>
      <x:c r="K53" s="51" t="n">
        <x:v>9</x:v>
      </x:c>
      <x:c r="L53" s="51" t="n">
        <x:v>14</x:v>
      </x:c>
      <x:c r="M53" s="51" t="n">
        <x:v>11</x:v>
      </x:c>
      <x:c r="N53" s="51" t="n">
        <x:v>9</x:v>
      </x:c>
      <x:c r="O53" s="51" t="n">
        <x:v>8</x:v>
      </x:c>
      <x:c r="P53" s="51" t="n">
        <x:v>19</x:v>
      </x:c>
      <x:c r="Q53" s="51" t="n">
        <x:v>4</x:v>
      </x:c>
      <x:c r="R53" s="52" t="n">
        <x:f>SUM(J53:Q53)</x:f>
        <x:v>87</x:v>
      </x:c>
      <x:c r="S53" s="50" t="str">
        <x:f>IF(R53&gt;='Rubrik'!$B$17,"Öncelikli video",IF(R53&gt;='Rubrik'!$B$18,"Video kuyruğu",IF(R53&gt;='Rubrik'!$B$19,"Revize et",IF(R53&gt;='Rubrik'!$B$20,"Kartla test","Düşük öncelik"))))</x:f>
        <x:v>Video kuyruğu</x:v>
      </x:c>
      <x:c r="T53" s="50" t="str">
        <x:f>IF(AND(R53&gt;=85,P53&gt;=16,M53&gt;=12,L53&gt;=12),"Reel + Carousel",IF(AND(R53&gt;=85,P53&gt;=16,N53&gt;=8),"Soru odaklı Reel",IF(AND(R53&gt;=85,P53&gt;=16),"Reel / Short",IF(M53&gt;=11,"Carousel","Kart testi"))))</x:f>
        <x:v>Soru odaklı Reel</x:v>
      </x:c>
      <x:c r="U53" s="46" t="str">
        <x:v>Duygusal karşıtlık paylaşma ve kişisel anlatma isteğini yükseltiyor; olay örgüsü yeterli.</x:v>
      </x:c>
      <x:c r="V53" s="46" t="str">
        <x:f>IF(Q53&lt;=3,"Kaynak kontrolü şart",IF(Q53=4,"Kaynak kontrolü önerilir","Standart doğrulama"))</x:f>
        <x:v>Kaynak kontrolü önerilir</x:v>
      </x:c>
    </x:row>
    <x:row r="54" ht="24" customHeight="1">
      <x:c r="A54" s="48" t="n">
        <x:f>COUNTIF($R$2:$R$751,"&gt;"&amp;R54)+COUNTIF($R$2:R54,R54)</x:f>
        <x:v>53</x:v>
      </x:c>
      <x:c r="B54" s="48" t="n">
        <x:v>1697</x:v>
      </x:c>
      <x:c r="C54" s="46" t="str">
        <x:v>Bronz Madalya Kazananlar Neden Daha Mutlu?</x:v>
      </x:c>
      <x:c r="D54" s="34" t="str">
        <x:v>Psikoloji</x:v>
      </x:c>
      <x:c r="E54" s="34" t="str">
        <x:v>Psikoloji</x:v>
      </x:c>
      <x:c r="F54" s="34" t="str">
        <x:v>The Power of Regret</x:v>
      </x:c>
      <x:c r="G54" s="34" t="str">
        <x:v>Daniel H. Pink</x:v>
      </x:c>
      <x:c r="H54" s="50" t="str">
        <x:v>2</x:v>
      </x:c>
      <x:c r="I54" s="50" t="str">
        <x:v>Zengin</x:v>
      </x:c>
      <x:c r="J54" s="51" t="n">
        <x:v>15</x:v>
      </x:c>
      <x:c r="K54" s="51" t="n">
        <x:v>9</x:v>
      </x:c>
      <x:c r="L54" s="51" t="n">
        <x:v>14</x:v>
      </x:c>
      <x:c r="M54" s="51" t="n">
        <x:v>10</x:v>
      </x:c>
      <x:c r="N54" s="51" t="n">
        <x:v>9</x:v>
      </x:c>
      <x:c r="O54" s="51" t="n">
        <x:v>7</x:v>
      </x:c>
      <x:c r="P54" s="51" t="n">
        <x:v>18</x:v>
      </x:c>
      <x:c r="Q54" s="51" t="n">
        <x:v>5</x:v>
      </x:c>
      <x:c r="R54" s="52" t="n">
        <x:f>SUM(J54:Q54)</x:f>
        <x:v>87</x:v>
      </x:c>
      <x:c r="S54" s="50" t="str">
        <x:f>IF(R54&gt;='Rubrik'!$B$17,"Öncelikli video",IF(R54&gt;='Rubrik'!$B$18,"Video kuyruğu",IF(R54&gt;='Rubrik'!$B$19,"Revize et",IF(R54&gt;='Rubrik'!$B$20,"Kartla test","Düşük öncelik"))))</x:f>
        <x:v>Video kuyruğu</x:v>
      </x:c>
      <x:c r="T54" s="50" t="str">
        <x:f>IF(AND(R54&gt;=85,P54&gt;=16,M54&gt;=12,L54&gt;=12),"Reel + Carousel",IF(AND(R54&gt;=85,P54&gt;=16,N54&gt;=8),"Soru odaklı Reel",IF(AND(R54&gt;=85,P54&gt;=16),"Reel / Short",IF(M54&gt;=11,"Carousel","Kart testi"))))</x:f>
        <x:v>Soru odaklı Reel</x:v>
      </x:c>
      <x:c r="U54" s="46" t="str">
        <x:v>Somut sahne ve sayısal ayrıntı güçlü bir video açılışı sağlıyor; olay örgüsü geliştirilmeli.</x:v>
      </x:c>
      <x:c r="V54" s="46" t="str">
        <x:f>IF(Q54&lt;=3,"Kaynak kontrolü şart",IF(Q54=4,"Kaynak kontrolü önerilir","Standart doğrulama"))</x:f>
        <x:v>Standart doğrulama</x:v>
      </x:c>
    </x:row>
    <x:row r="55" ht="24" customHeight="1">
      <x:c r="A55" s="48" t="n">
        <x:f>COUNTIF($R$2:$R$751,"&gt;"&amp;R55)+COUNTIF($R$2:R55,R55)</x:f>
        <x:v>54</x:v>
      </x:c>
      <x:c r="B55" s="48" t="n">
        <x:v>1542</x:v>
      </x:c>
      <x:c r="C55" s="46" t="str">
        <x:v>Napkin'de doğan fikirler — büyük kararların basit başlangıçları</x:v>
      </x:c>
      <x:c r="D55" s="34" t="str">
        <x:v>Verimlilik</x:v>
      </x:c>
      <x:c r="E55" s="34" t="str">
        <x:v>Yaratıcılık</x:v>
      </x:c>
      <x:c r="F55" s="34" t="str">
        <x:v>Peçete Arkası</x:v>
      </x:c>
      <x:c r="G55" s="34" t="str">
        <x:v>Dan Roam</x:v>
      </x:c>
      <x:c r="H55" s="50" t="str">
        <x:v>1</x:v>
      </x:c>
      <x:c r="I55" s="50" t="str">
        <x:v>Temel</x:v>
      </x:c>
      <x:c r="J55" s="51" t="n">
        <x:v>14</x:v>
      </x:c>
      <x:c r="K55" s="51" t="n">
        <x:v>8</x:v>
      </x:c>
      <x:c r="L55" s="51" t="n">
        <x:v>14</x:v>
      </x:c>
      <x:c r="M55" s="51" t="n">
        <x:v>13</x:v>
      </x:c>
      <x:c r="N55" s="51" t="n">
        <x:v>9</x:v>
      </x:c>
      <x:c r="O55" s="51" t="n">
        <x:v>7</x:v>
      </x:c>
      <x:c r="P55" s="51" t="n">
        <x:v>17</x:v>
      </x:c>
      <x:c r="Q55" s="51" t="n">
        <x:v>5</x:v>
      </x:c>
      <x:c r="R55" s="52" t="n">
        <x:f>SUM(J55:Q55)</x:f>
        <x:v>87</x:v>
      </x:c>
      <x:c r="S55" s="50" t="str">
        <x:f>IF(R55&gt;='Rubrik'!$B$17,"Öncelikli video",IF(R55&gt;='Rubrik'!$B$18,"Video kuyruğu",IF(R55&gt;='Rubrik'!$B$19,"Revize et",IF(R55&gt;='Rubrik'!$B$20,"Kartla test","Düşük öncelik"))))</x:f>
        <x:v>Video kuyruğu</x:v>
      </x:c>
      <x:c r="T55" s="50" t="str">
        <x:f>IF(AND(R55&gt;=85,P55&gt;=16,M55&gt;=12,L55&gt;=12),"Reel + Carousel",IF(AND(R55&gt;=85,P55&gt;=16,N55&gt;=8),"Soru odaklı Reel",IF(AND(R55&gt;=85,P55&gt;=16),"Reel / Short",IF(M55&gt;=11,"Carousel","Kart testi"))))</x:f>
        <x:v>Reel + Carousel</x:v>
      </x:c>
      <x:c r="U55" s="46" t="str">
        <x:v>Southwest'ın peçetedeki üçgeni stratejiyi tek çizime indiriyor; basit, görsel ve güçlü bir dönüşüm anlatısı.</x:v>
      </x:c>
      <x:c r="V55" s="46" t="str">
        <x:f>IF(Q55&lt;=3,"Kaynak kontrolü şart",IF(Q55=4,"Kaynak kontrolü önerilir","Standart doğrulama"))</x:f>
        <x:v>Standart doğrulama</x:v>
      </x:c>
    </x:row>
    <x:row r="56" ht="24" customHeight="1">
      <x:c r="A56" s="48" t="n">
        <x:f>COUNTIF($R$2:$R$751,"&gt;"&amp;R56)+COUNTIF($R$2:R56,R56)</x:f>
        <x:v>55</x:v>
      </x:c>
      <x:c r="B56" s="48" t="n">
        <x:v>1734</x:v>
      </x:c>
      <x:c r="C56" s="46" t="str">
        <x:v>Uçağı Beş Dakika Kaçırmak Neden Otuz Dakikadan Daha Çok Acıtır?</x:v>
      </x:c>
      <x:c r="D56" s="34" t="str">
        <x:v>Finans</x:v>
      </x:c>
      <x:c r="E56" s="34" t="str">
        <x:v>İş &amp; Girişim</x:v>
      </x:c>
      <x:c r="F56" s="34" t="str">
        <x:v>The Undoing Project</x:v>
      </x:c>
      <x:c r="G56" s="34" t="str">
        <x:v>Michael Lewis</x:v>
      </x:c>
      <x:c r="H56" s="50" t="str">
        <x:v>2</x:v>
      </x:c>
      <x:c r="I56" s="50" t="str">
        <x:v>Zengin</x:v>
      </x:c>
      <x:c r="J56" s="51" t="n">
        <x:v>14</x:v>
      </x:c>
      <x:c r="K56" s="51" t="n">
        <x:v>10</x:v>
      </x:c>
      <x:c r="L56" s="51" t="n">
        <x:v>14</x:v>
      </x:c>
      <x:c r="M56" s="51" t="n">
        <x:v>11</x:v>
      </x:c>
      <x:c r="N56" s="51" t="n">
        <x:v>10</x:v>
      </x:c>
      <x:c r="O56" s="51" t="n">
        <x:v>8</x:v>
      </x:c>
      <x:c r="P56" s="51" t="n">
        <x:v>17</x:v>
      </x:c>
      <x:c r="Q56" s="51" t="n">
        <x:v>3</x:v>
      </x:c>
      <x:c r="R56" s="52" t="n">
        <x:f>SUM(J56:Q56)</x:f>
        <x:v>87</x:v>
      </x:c>
      <x:c r="S56" s="50" t="str">
        <x:f>IF(R56&gt;='Rubrik'!$B$17,"Öncelikli video",IF(R56&gt;='Rubrik'!$B$18,"Video kuyruğu",IF(R56&gt;='Rubrik'!$B$19,"Revize et",IF(R56&gt;='Rubrik'!$B$20,"Kartla test","Düşük öncelik"))))</x:f>
        <x:v>Video kuyruğu</x:v>
      </x:c>
      <x:c r="T56" s="50" t="str">
        <x:f>IF(AND(R56&gt;=85,P56&gt;=16,M56&gt;=12,L56&gt;=12),"Reel + Carousel",IF(AND(R56&gt;=85,P56&gt;=16,N56&gt;=8),"Soru odaklı Reel",IF(AND(R56&gt;=85,P56&gt;=16),"Reel / Short",IF(M56&gt;=11,"Carousel","Kart testi"))))</x:f>
        <x:v>Soru odaklı Reel</x:v>
      </x:c>
      <x:c r="U56" s="46" t="str">
        <x:v>Duygusal karşıtlık paylaşma ve kişisel anlatma isteğini yükseltiyor; olay örgüsü yeterli.</x:v>
      </x:c>
      <x:c r="V56" s="46" t="str">
        <x:f>IF(Q56&lt;=3,"Kaynak kontrolü şart",IF(Q56=4,"Kaynak kontrolü önerilir","Standart doğrulama"))</x:f>
        <x:v>Kaynak kontrolü şart</x:v>
      </x:c>
    </x:row>
    <x:row r="57" ht="24" customHeight="1">
      <x:c r="A57" s="48" t="n">
        <x:f>COUNTIF($R$2:$R$751,"&gt;"&amp;R57)+COUNTIF($R$2:R57,R57)</x:f>
        <x:v>56</x:v>
      </x:c>
      <x:c r="B57" s="48" t="n">
        <x:v>1718</x:v>
      </x:c>
      <x:c r="C57" s="46" t="str">
        <x:v>Sezar Rubicon’u Geçtiğinde Neden Geri Dönüş Yoktu?</x:v>
      </x:c>
      <x:c r="D57" s="34" t="str">
        <x:v>Psikoloji</x:v>
      </x:c>
      <x:c r="E57" s="34" t="str">
        <x:v>Mutluluk</x:v>
      </x:c>
      <x:c r="F57" s="34" t="str">
        <x:v>Rubicon</x:v>
      </x:c>
      <x:c r="G57" s="34" t="str">
        <x:v>Tom Holland</x:v>
      </x:c>
      <x:c r="H57" s="50" t="str">
        <x:v>2</x:v>
      </x:c>
      <x:c r="I57" s="50" t="str">
        <x:v>Zengin</x:v>
      </x:c>
      <x:c r="J57" s="51" t="n">
        <x:v>13</x:v>
      </x:c>
      <x:c r="K57" s="51" t="n">
        <x:v>9</x:v>
      </x:c>
      <x:c r="L57" s="51" t="n">
        <x:v>13</x:v>
      </x:c>
      <x:c r="M57" s="51" t="n">
        <x:v>12</x:v>
      </x:c>
      <x:c r="N57" s="51" t="n">
        <x:v>9</x:v>
      </x:c>
      <x:c r="O57" s="51" t="n">
        <x:v>9</x:v>
      </x:c>
      <x:c r="P57" s="51" t="n">
        <x:v>17</x:v>
      </x:c>
      <x:c r="Q57" s="51" t="n">
        <x:v>5</x:v>
      </x:c>
      <x:c r="R57" s="52" t="n">
        <x:f>SUM(J57:Q57)</x:f>
        <x:v>87</x:v>
      </x:c>
      <x:c r="S57" s="50" t="str">
        <x:f>IF(R57&gt;='Rubrik'!$B$17,"Öncelikli video",IF(R57&gt;='Rubrik'!$B$18,"Video kuyruğu",IF(R57&gt;='Rubrik'!$B$19,"Revize et",IF(R57&gt;='Rubrik'!$B$20,"Kartla test","Düşük öncelik"))))</x:f>
        <x:v>Video kuyruğu</x:v>
      </x:c>
      <x:c r="T57" s="50" t="str">
        <x:f>IF(AND(R57&gt;=85,P57&gt;=16,M57&gt;=12,L57&gt;=12),"Reel + Carousel",IF(AND(R57&gt;=85,P57&gt;=16,N57&gt;=8),"Soru odaklı Reel",IF(AND(R57&gt;=85,P57&gt;=16),"Reel / Short",IF(M57&gt;=11,"Carousel","Kart testi"))))</x:f>
        <x:v>Reel + Carousel</x:v>
      </x:c>
      <x:c r="U57" s="46" t="str">
        <x:v>Somut sahne ve sayısal ayrıntı güçlü bir video açılışı sağlıyor; görselleştirme yeterli.</x:v>
      </x:c>
      <x:c r="V57" s="46" t="str">
        <x:f>IF(Q57&lt;=3,"Kaynak kontrolü şart",IF(Q57=4,"Kaynak kontrolü önerilir","Standart doğrulama"))</x:f>
        <x:v>Standart doğrulama</x:v>
      </x:c>
    </x:row>
    <x:row r="58" ht="24" customHeight="1">
      <x:c r="A58" s="48" t="n">
        <x:f>COUNTIF($R$2:$R$751,"&gt;"&amp;R58)+COUNTIF($R$2:R58,R58)</x:f>
        <x:v>57</x:v>
      </x:c>
      <x:c r="B58" s="48" t="n">
        <x:v>1732</x:v>
      </x:c>
      <x:c r="C58" s="46" t="str">
        <x:v>Kokpitte Kaptana İtiraz Etmek Neden Bir Güvenlik Kuralına Dönüştü?</x:v>
      </x:c>
      <x:c r="D58" s="34" t="str">
        <x:v>Felsefe</x:v>
      </x:c>
      <x:c r="E58" s="34" t="str">
        <x:v>Öğrenme</x:v>
      </x:c>
      <x:c r="F58" s="34" t="str">
        <x:v>Black Box Thinking</x:v>
      </x:c>
      <x:c r="G58" s="34" t="str">
        <x:v>Matthew Syed</x:v>
      </x:c>
      <x:c r="H58" s="50" t="str">
        <x:v>2</x:v>
      </x:c>
      <x:c r="I58" s="50" t="str">
        <x:v>Zengin</x:v>
      </x:c>
      <x:c r="J58" s="51" t="n">
        <x:v>13</x:v>
      </x:c>
      <x:c r="K58" s="51" t="n">
        <x:v>9</x:v>
      </x:c>
      <x:c r="L58" s="51" t="n">
        <x:v>13</x:v>
      </x:c>
      <x:c r="M58" s="51" t="n">
        <x:v>12</x:v>
      </x:c>
      <x:c r="N58" s="51" t="n">
        <x:v>9</x:v>
      </x:c>
      <x:c r="O58" s="51" t="n">
        <x:v>9</x:v>
      </x:c>
      <x:c r="P58" s="51" t="n">
        <x:v>17</x:v>
      </x:c>
      <x:c r="Q58" s="51" t="n">
        <x:v>5</x:v>
      </x:c>
      <x:c r="R58" s="52" t="n">
        <x:f>SUM(J58:Q58)</x:f>
        <x:v>87</x:v>
      </x:c>
      <x:c r="S58" s="50" t="str">
        <x:f>IF(R58&gt;='Rubrik'!$B$17,"Öncelikli video",IF(R58&gt;='Rubrik'!$B$18,"Video kuyruğu",IF(R58&gt;='Rubrik'!$B$19,"Revize et",IF(R58&gt;='Rubrik'!$B$20,"Kartla test","Düşük öncelik"))))</x:f>
        <x:v>Video kuyruğu</x:v>
      </x:c>
      <x:c r="T58" s="50" t="str">
        <x:f>IF(AND(R58&gt;=85,P58&gt;=16,M58&gt;=12,L58&gt;=12),"Reel + Carousel",IF(AND(R58&gt;=85,P58&gt;=16,N58&gt;=8),"Soru odaklı Reel",IF(AND(R58&gt;=85,P58&gt;=16),"Reel / Short",IF(M58&gt;=11,"Carousel","Kart testi"))))</x:f>
        <x:v>Reel + Carousel</x:v>
      </x:c>
      <x:c r="U58" s="46" t="str">
        <x:v>Somut sahne ve sayısal ayrıntı güçlü bir video açılışı sağlıyor; görselleştirme yeterli.</x:v>
      </x:c>
      <x:c r="V58" s="46" t="str">
        <x:f>IF(Q58&lt;=3,"Kaynak kontrolü şart",IF(Q58=4,"Kaynak kontrolü önerilir","Standart doğrulama"))</x:f>
        <x:v>Standart doğrulama</x:v>
      </x:c>
    </x:row>
    <x:row r="59" ht="24" customHeight="1">
      <x:c r="A59" s="48" t="n">
        <x:f>COUNTIF($R$2:$R$751,"&gt;"&amp;R59)+COUNTIF($R$2:R59,R59)</x:f>
        <x:v>58</x:v>
      </x:c>
      <x:c r="B59" s="48" t="n">
        <x:v>1088</x:v>
      </x:c>
      <x:c r="C59" s="46" t="str">
        <x:v>Zappos'un sıfır stoklu ilk satışı</x:v>
      </x:c>
      <x:c r="D59" s="34" t="str">
        <x:v>Verimlilik</x:v>
      </x:c>
      <x:c r="E59" s="34" t="str">
        <x:v>Girişimcilik</x:v>
      </x:c>
      <x:c r="F59" s="34" t="str">
        <x:v>Büyük Sıçrayış</x:v>
      </x:c>
      <x:c r="G59" s="34" t="str">
        <x:v>Eric Ries</x:v>
      </x:c>
      <x:c r="H59" s="50" t="str">
        <x:v>1</x:v>
      </x:c>
      <x:c r="I59" s="50" t="str">
        <x:v>Temel</x:v>
      </x:c>
      <x:c r="J59" s="51" t="n">
        <x:v>15</x:v>
      </x:c>
      <x:c r="K59" s="51" t="n">
        <x:v>8</x:v>
      </x:c>
      <x:c r="L59" s="51" t="n">
        <x:v>12</x:v>
      </x:c>
      <x:c r="M59" s="51" t="n">
        <x:v>14</x:v>
      </x:c>
      <x:c r="N59" s="51" t="n">
        <x:v>9</x:v>
      </x:c>
      <x:c r="O59" s="51" t="n">
        <x:v>8</x:v>
      </x:c>
      <x:c r="P59" s="51" t="n">
        <x:v>17</x:v>
      </x:c>
      <x:c r="Q59" s="51" t="n">
        <x:v>4</x:v>
      </x:c>
      <x:c r="R59" s="52" t="n">
        <x:f>SUM(J59:Q59)</x:f>
        <x:v>87</x:v>
      </x:c>
      <x:c r="S59" s="50" t="str">
        <x:f>IF(R59&gt;='Rubrik'!$B$17,"Öncelikli video",IF(R59&gt;='Rubrik'!$B$18,"Video kuyruğu",IF(R59&gt;='Rubrik'!$B$19,"Revize et",IF(R59&gt;='Rubrik'!$B$20,"Kartla test","Düşük öncelik"))))</x:f>
        <x:v>Video kuyruğu</x:v>
      </x:c>
      <x:c r="T59" s="50" t="str">
        <x:f>IF(AND(R59&gt;=85,P59&gt;=16,M59&gt;=12,L59&gt;=12),"Reel + Carousel",IF(AND(R59&gt;=85,P59&gt;=16,N59&gt;=8),"Soru odaklı Reel",IF(AND(R59&gt;=85,P59&gt;=16),"Reel / Short",IF(M59&gt;=11,"Carousel","Kart testi"))))</x:f>
        <x:v>Reel + Carousel</x:v>
      </x:c>
      <x:c r="U59" s="46" t="str">
        <x:v>Stoksuz ilk satış, para kaybı ve milyarlık çıkış net bir deney ve güçlü görsel dönüşüm oluşturuyor.</x:v>
      </x:c>
      <x:c r="V59" s="46" t="str">
        <x:f>IF(Q59&lt;=3,"Kaynak kontrolü şart",IF(Q59=4,"Kaynak kontrolü önerilir","Standart doğrulama"))</x:f>
        <x:v>Kaynak kontrolü önerilir</x:v>
      </x:c>
    </x:row>
    <x:row r="60" ht="24" customHeight="1">
      <x:c r="A60" s="48" t="n">
        <x:f>COUNTIF($R$2:$R$751,"&gt;"&amp;R60)+COUNTIF($R$2:R60,R60)</x:f>
        <x:v>59</x:v>
      </x:c>
      <x:c r="B60" s="48" t="n">
        <x:v>1112</x:v>
      </x:c>
      <x:c r="C60" s="46" t="str">
        <x:v>Michelin rehberinin doğuşu</x:v>
      </x:c>
      <x:c r="D60" s="34" t="str">
        <x:v>Finans</x:v>
      </x:c>
      <x:c r="E60" s="34" t="str">
        <x:v>Pazarlama</x:v>
      </x:c>
      <x:c r="F60" s="34" t="str">
        <x:v>Purple Cow</x:v>
      </x:c>
      <x:c r="G60" s="34" t="str">
        <x:v>Seth Godin</x:v>
      </x:c>
      <x:c r="H60" s="50" t="str">
        <x:v>1</x:v>
      </x:c>
      <x:c r="I60" s="50" t="str">
        <x:v>Temel</x:v>
      </x:c>
      <x:c r="J60" s="51" t="n">
        <x:v>15</x:v>
      </x:c>
      <x:c r="K60" s="51" t="n">
        <x:v>8</x:v>
      </x:c>
      <x:c r="L60" s="51" t="n">
        <x:v>12</x:v>
      </x:c>
      <x:c r="M60" s="51" t="n">
        <x:v>13</x:v>
      </x:c>
      <x:c r="N60" s="51" t="n">
        <x:v>9</x:v>
      </x:c>
      <x:c r="O60" s="51" t="n">
        <x:v>8</x:v>
      </x:c>
      <x:c r="P60" s="51" t="n">
        <x:v>17</x:v>
      </x:c>
      <x:c r="Q60" s="51" t="n">
        <x:v>5</x:v>
      </x:c>
      <x:c r="R60" s="52" t="n">
        <x:f>SUM(J60:Q60)</x:f>
        <x:v>87</x:v>
      </x:c>
      <x:c r="S60" s="50" t="str">
        <x:f>IF(R60&gt;='Rubrik'!$B$17,"Öncelikli video",IF(R60&gt;='Rubrik'!$B$18,"Video kuyruğu",IF(R60&gt;='Rubrik'!$B$19,"Revize et",IF(R60&gt;='Rubrik'!$B$20,"Kartla test","Düşük öncelik"))))</x:f>
        <x:v>Video kuyruğu</x:v>
      </x:c>
      <x:c r="T60" s="50" t="str">
        <x:f>IF(AND(R60&gt;=85,P60&gt;=16,M60&gt;=12,L60&gt;=12),"Reel + Carousel",IF(AND(R60&gt;=85,P60&gt;=16,N60&gt;=8),"Soru odaklı Reel",IF(AND(R60&gt;=85,P60&gt;=16),"Reel / Short",IF(M60&gt;=11,"Carousel","Kart testi"))))</x:f>
        <x:v>Reel + Carousel</x:v>
      </x:c>
      <x:c r="U60" s="46" t="str">
        <x:v>Lastik satmak için restoran rehberi üretmek şaşırtıcı, gerçek ve kusursuz biçimde görselleştirilebilir.</x:v>
      </x:c>
      <x:c r="V60" s="46" t="str">
        <x:f>IF(Q60&lt;=3,"Kaynak kontrolü şart",IF(Q60=4,"Kaynak kontrolü önerilir","Standart doğrulama"))</x:f>
        <x:v>Standart doğrulama</x:v>
      </x:c>
    </x:row>
    <x:row r="61" ht="24" customHeight="1">
      <x:c r="A61" s="48" t="n">
        <x:f>COUNTIF($R$2:$R$751,"&gt;"&amp;R61)+COUNTIF($R$2:R61,R61)</x:f>
        <x:v>60</x:v>
      </x:c>
      <x:c r="B61" s="48" t="n">
        <x:v>1121</x:v>
      </x:c>
      <x:c r="C61" s="46" t="str">
        <x:v>Alcoa'nın beklenmedik dönüşümü</x:v>
      </x:c>
      <x:c r="D61" s="34" t="str">
        <x:v>Sağlık</x:v>
      </x:c>
      <x:c r="E61" s="34" t="str">
        <x:v>Alışkanlıklar</x:v>
      </x:c>
      <x:c r="F61" s="34" t="str">
        <x:v>Alışkanlıkların Gücü</x:v>
      </x:c>
      <x:c r="G61" s="34" t="str">
        <x:v>Charles Duhigg</x:v>
      </x:c>
      <x:c r="H61" s="50" t="str">
        <x:v>1</x:v>
      </x:c>
      <x:c r="I61" s="50" t="str">
        <x:v>Temel</x:v>
      </x:c>
      <x:c r="J61" s="51" t="n">
        <x:v>15</x:v>
      </x:c>
      <x:c r="K61" s="51" t="n">
        <x:v>8</x:v>
      </x:c>
      <x:c r="L61" s="51" t="n">
        <x:v>12</x:v>
      </x:c>
      <x:c r="M61" s="51" t="n">
        <x:v>14</x:v>
      </x:c>
      <x:c r="N61" s="51" t="n">
        <x:v>9</x:v>
      </x:c>
      <x:c r="O61" s="51" t="n">
        <x:v>8</x:v>
      </x:c>
      <x:c r="P61" s="51" t="n">
        <x:v>17</x:v>
      </x:c>
      <x:c r="Q61" s="51" t="n">
        <x:v>4</x:v>
      </x:c>
      <x:c r="R61" s="52" t="n">
        <x:f>SUM(J61:Q61)</x:f>
        <x:v>87</x:v>
      </x:c>
      <x:c r="S61" s="50" t="str">
        <x:f>IF(R61&gt;='Rubrik'!$B$17,"Öncelikli video",IF(R61&gt;='Rubrik'!$B$18,"Video kuyruğu",IF(R61&gt;='Rubrik'!$B$19,"Revize et",IF(R61&gt;='Rubrik'!$B$20,"Kartla test","Düşük öncelik"))))</x:f>
        <x:v>Video kuyruğu</x:v>
      </x:c>
      <x:c r="T61" s="50" t="str">
        <x:f>IF(AND(R61&gt;=85,P61&gt;=16,M61&gt;=12,L61&gt;=12),"Reel + Carousel",IF(AND(R61&gt;=85,P61&gt;=16,N61&gt;=8),"Soru odaklı Reel",IF(AND(R61&gt;=85,P61&gt;=16),"Reel / Short",IF(M61&gt;=11,"Carousel","Kart testi"))))</x:f>
        <x:v>Reel + Carousel</x:v>
      </x:c>
      <x:c r="U61" s="46" t="str">
        <x:v>Wall Street'in deli dediği güvenlik hedefinin beş kat değere dönüşmesi kusursuz iş hikâyesi akışı sunuyor.</x:v>
      </x:c>
      <x:c r="V61" s="46" t="str">
        <x:f>IF(Q61&lt;=3,"Kaynak kontrolü şart",IF(Q61=4,"Kaynak kontrolü önerilir","Standart doğrulama"))</x:f>
        <x:v>Kaynak kontrolü önerilir</x:v>
      </x:c>
    </x:row>
    <x:row r="62" ht="24" customHeight="1">
      <x:c r="A62" s="48" t="n">
        <x:f>COUNTIF($R$2:$R$751,"&gt;"&amp;R62)+COUNTIF($R$2:R62,R62)</x:f>
        <x:v>61</x:v>
      </x:c>
      <x:c r="B62" s="48" t="n">
        <x:v>1448</x:v>
      </x:c>
      <x:c r="C62" s="46" t="str">
        <x:v>Ertelemenin ölümcül yanılgısı</x:v>
      </x:c>
      <x:c r="D62" s="34" t="str">
        <x:v>Felsefe</x:v>
      </x:c>
      <x:c r="E62" s="34" t="str">
        <x:v>Felsefe</x:v>
      </x:c>
      <x:c r="F62" s="34" t="str">
        <x:v>Hayatın Kısalığı Üzerine</x:v>
      </x:c>
      <x:c r="G62" s="34" t="str">
        <x:v>Seneca</x:v>
      </x:c>
      <x:c r="H62" s="50" t="str">
        <x:v>1</x:v>
      </x:c>
      <x:c r="I62" s="50" t="str">
        <x:v>Temel</x:v>
      </x:c>
      <x:c r="J62" s="51" t="n">
        <x:v>15</x:v>
      </x:c>
      <x:c r="K62" s="51" t="n">
        <x:v>9</x:v>
      </x:c>
      <x:c r="L62" s="51" t="n">
        <x:v>14</x:v>
      </x:c>
      <x:c r="M62" s="51" t="n">
        <x:v>13</x:v>
      </x:c>
      <x:c r="N62" s="51" t="n">
        <x:v>9</x:v>
      </x:c>
      <x:c r="O62" s="51" t="n">
        <x:v>7</x:v>
      </x:c>
      <x:c r="P62" s="51" t="n">
        <x:v>16</x:v>
      </x:c>
      <x:c r="Q62" s="51" t="n">
        <x:v>4</x:v>
      </x:c>
      <x:c r="R62" s="52" t="n">
        <x:f>SUM(J62:Q62)</x:f>
        <x:v>87</x:v>
      </x:c>
      <x:c r="S62" s="50" t="str">
        <x:f>IF(R62&gt;='Rubrik'!$B$17,"Öncelikli video",IF(R62&gt;='Rubrik'!$B$18,"Video kuyruğu",IF(R62&gt;='Rubrik'!$B$19,"Revize et",IF(R62&gt;='Rubrik'!$B$20,"Kartla test","Düşük öncelik"))))</x:f>
        <x:v>Video kuyruğu</x:v>
      </x:c>
      <x:c r="T62" s="50" t="str">
        <x:f>IF(AND(R62&gt;=85,P62&gt;=16,M62&gt;=12,L62&gt;=12),"Reel + Carousel",IF(AND(R62&gt;=85,P62&gt;=16,N62&gt;=8),"Soru odaklı Reel",IF(AND(R62&gt;=85,P62&gt;=16),"Reel / Short",IF(M62&gt;=11,"Carousel","Kart testi"))))</x:f>
        <x:v>Reel + Carousel</x:v>
      </x:c>
      <x:c r="U62" s="46" t="str">
        <x:v>Ölüm döşeğinden gelen erteleme uyarısı ilk saniyede çarpar; izleyiciyi paylaşmaya ve harekete iter.</x:v>
      </x:c>
      <x:c r="V62" s="46" t="str">
        <x:f>IF(Q62&lt;=3,"Kaynak kontrolü şart",IF(Q62=4,"Kaynak kontrolü önerilir","Standart doğrulama"))</x:f>
        <x:v>Kaynak kontrolü önerilir</x:v>
      </x:c>
    </x:row>
    <x:row r="63" ht="24" customHeight="1">
      <x:c r="A63" s="48" t="n">
        <x:f>COUNTIF($R$2:$R$751,"&gt;"&amp;R63)+COUNTIF($R$2:R63,R63)</x:f>
        <x:v>62</x:v>
      </x:c>
      <x:c r="B63" s="48" t="n">
        <x:v>1486</x:v>
      </x:c>
      <x:c r="C63" s="46" t="str">
        <x:v>Johann Hari'nin telefon deneyi</x:v>
      </x:c>
      <x:c r="D63" s="34" t="str">
        <x:v>Verimlilik</x:v>
      </x:c>
      <x:c r="E63" s="34" t="str">
        <x:v>Verimlilik</x:v>
      </x:c>
      <x:c r="F63" s="34" t="str">
        <x:v>Çalınan Dikkat</x:v>
      </x:c>
      <x:c r="G63" s="34" t="str">
        <x:v>Johann Hari</x:v>
      </x:c>
      <x:c r="H63" s="50" t="str">
        <x:v>1</x:v>
      </x:c>
      <x:c r="I63" s="50" t="str">
        <x:v>Temel</x:v>
      </x:c>
      <x:c r="J63" s="51" t="n">
        <x:v>14</x:v>
      </x:c>
      <x:c r="K63" s="51" t="n">
        <x:v>9</x:v>
      </x:c>
      <x:c r="L63" s="51" t="n">
        <x:v>14</x:v>
      </x:c>
      <x:c r="M63" s="51" t="n">
        <x:v>14</x:v>
      </x:c>
      <x:c r="N63" s="51" t="n">
        <x:v>9</x:v>
      </x:c>
      <x:c r="O63" s="51" t="n">
        <x:v>7</x:v>
      </x:c>
      <x:c r="P63" s="51" t="n">
        <x:v>16</x:v>
      </x:c>
      <x:c r="Q63" s="51" t="n">
        <x:v>4</x:v>
      </x:c>
      <x:c r="R63" s="52" t="n">
        <x:f>SUM(J63:Q63)</x:f>
        <x:v>87</x:v>
      </x:c>
      <x:c r="S63" s="50" t="str">
        <x:f>IF(R63&gt;='Rubrik'!$B$17,"Öncelikli video",IF(R63&gt;='Rubrik'!$B$18,"Video kuyruğu",IF(R63&gt;='Rubrik'!$B$19,"Revize et",IF(R63&gt;='Rubrik'!$B$20,"Kartla test","Düşük öncelik"))))</x:f>
        <x:v>Video kuyruğu</x:v>
      </x:c>
      <x:c r="T63" s="50" t="str">
        <x:f>IF(AND(R63&gt;=85,P63&gt;=16,M63&gt;=12,L63&gt;=12),"Reel + Carousel",IF(AND(R63&gt;=85,P63&gt;=16,N63&gt;=8),"Soru odaklı Reel",IF(AND(R63&gt;=85,P63&gt;=16),"Reel / Short",IF(M63&gt;=11,"Carousel","Kart testi"))))</x:f>
        <x:v>Reel + Carousel</x:v>
      </x:c>
      <x:c r="U63" s="46" t="str">
        <x:v>Üç aylık telefonsuz deney net önce-sonra dönüşümü sunuyor; herkesin cebindeki soruna dokunduğu için çok güçlü.</x:v>
      </x:c>
      <x:c r="V63" s="46" t="str">
        <x:f>IF(Q63&lt;=3,"Kaynak kontrolü şart",IF(Q63=4,"Kaynak kontrolü önerilir","Standart doğrulama"))</x:f>
        <x:v>Kaynak kontrolü önerilir</x:v>
      </x:c>
    </x:row>
    <x:row r="64" ht="24" customHeight="1">
      <x:c r="A64" s="48" t="n">
        <x:f>COUNTIF($R$2:$R$751,"&gt;"&amp;R64)+COUNTIF($R$2:R64,R64)</x:f>
        <x:v>63</x:v>
      </x:c>
      <x:c r="B64" s="48" t="n">
        <x:v>1525</x:v>
      </x:c>
      <x:c r="C64" s="46" t="str">
        <x:v>Berbat ilk taslak</x:v>
      </x:c>
      <x:c r="D64" s="34" t="str">
        <x:v>Finans</x:v>
      </x:c>
      <x:c r="E64" s="34" t="str">
        <x:v>Finans</x:v>
      </x:c>
      <x:c r="F64" s="34" t="str">
        <x:v>Parça Parça Yazmak</x:v>
      </x:c>
      <x:c r="G64" s="34" t="str">
        <x:v>Anne Lamott</x:v>
      </x:c>
      <x:c r="H64" s="50" t="str">
        <x:v>1</x:v>
      </x:c>
      <x:c r="I64" s="50" t="str">
        <x:v>Temel</x:v>
      </x:c>
      <x:c r="J64" s="51" t="n">
        <x:v>13</x:v>
      </x:c>
      <x:c r="K64" s="51" t="n">
        <x:v>9</x:v>
      </x:c>
      <x:c r="L64" s="51" t="n">
        <x:v>13</x:v>
      </x:c>
      <x:c r="M64" s="51" t="n">
        <x:v>15</x:v>
      </x:c>
      <x:c r="N64" s="51" t="n">
        <x:v>9</x:v>
      </x:c>
      <x:c r="O64" s="51" t="n">
        <x:v>7</x:v>
      </x:c>
      <x:c r="P64" s="51" t="n">
        <x:v>16</x:v>
      </x:c>
      <x:c r="Q64" s="51" t="n">
        <x:v>5</x:v>
      </x:c>
      <x:c r="R64" s="52" t="n">
        <x:f>SUM(J64:Q64)</x:f>
        <x:v>87</x:v>
      </x:c>
      <x:c r="S64" s="50" t="str">
        <x:f>IF(R64&gt;='Rubrik'!$B$17,"Öncelikli video",IF(R64&gt;='Rubrik'!$B$18,"Video kuyruğu",IF(R64&gt;='Rubrik'!$B$19,"Revize et",IF(R64&gt;='Rubrik'!$B$20,"Kartla test","Düşük öncelik"))))</x:f>
        <x:v>Video kuyruğu</x:v>
      </x:c>
      <x:c r="T64" s="50" t="str">
        <x:f>IF(AND(R64&gt;=85,P64&gt;=16,M64&gt;=12,L64&gt;=12),"Reel + Carousel",IF(AND(R64&gt;=85,P64&gt;=16,N64&gt;=8),"Soru odaklı Reel",IF(AND(R64&gt;=85,P64&gt;=16),"Reel / Short",IF(M64&gt;=11,"Carousel","Kart testi"))))</x:f>
        <x:v>Reel + Carousel</x:v>
      </x:c>
      <x:c r="U64" s="46" t="str">
        <x:v>Berbat ilk taslak izni yaratıcıların utancını anında çözer; akılda kalıcı adıyla çok kaydedilir ve paylaşılır.</x:v>
      </x:c>
      <x:c r="V64" s="46" t="str">
        <x:f>IF(Q64&lt;=3,"Kaynak kontrolü şart",IF(Q64=4,"Kaynak kontrolü önerilir","Standart doğrulama"))</x:f>
        <x:v>Standart doğrulama</x:v>
      </x:c>
    </x:row>
    <x:row r="65" ht="24" customHeight="1">
      <x:c r="A65" s="48" t="n">
        <x:f>COUNTIF($R$2:$R$751,"&gt;"&amp;R65)+COUNTIF($R$2:R65,R65)</x:f>
        <x:v>64</x:v>
      </x:c>
      <x:c r="B65" s="48" t="n">
        <x:v>1558</x:v>
      </x:c>
      <x:c r="C65" s="46" t="str">
        <x:v>Acıyı ikiye katlamak — birincil ve ikincil acı</x:v>
      </x:c>
      <x:c r="D65" s="34" t="str">
        <x:v>Psikoloji</x:v>
      </x:c>
      <x:c r="E65" s="34" t="str">
        <x:v>Farkındalık</x:v>
      </x:c>
      <x:c r="F65" s="34" t="str">
        <x:v>Radikal Kabul</x:v>
      </x:c>
      <x:c r="G65" s="34" t="str">
        <x:v>Tara Brach</x:v>
      </x:c>
      <x:c r="H65" s="50" t="str">
        <x:v>1</x:v>
      </x:c>
      <x:c r="I65" s="50" t="str">
        <x:v>Temel</x:v>
      </x:c>
      <x:c r="J65" s="51" t="n">
        <x:v>13</x:v>
      </x:c>
      <x:c r="K65" s="51" t="n">
        <x:v>9</x:v>
      </x:c>
      <x:c r="L65" s="51" t="n">
        <x:v>13</x:v>
      </x:c>
      <x:c r="M65" s="51" t="n">
        <x:v>15</x:v>
      </x:c>
      <x:c r="N65" s="51" t="n">
        <x:v>9</x:v>
      </x:c>
      <x:c r="O65" s="51" t="n">
        <x:v>7</x:v>
      </x:c>
      <x:c r="P65" s="51" t="n">
        <x:v>16</x:v>
      </x:c>
      <x:c r="Q65" s="51" t="n">
        <x:v>5</x:v>
      </x:c>
      <x:c r="R65" s="52" t="n">
        <x:f>SUM(J65:Q65)</x:f>
        <x:v>87</x:v>
      </x:c>
      <x:c r="S65" s="50" t="str">
        <x:f>IF(R65&gt;='Rubrik'!$B$17,"Öncelikli video",IF(R65&gt;='Rubrik'!$B$18,"Video kuyruğu",IF(R65&gt;='Rubrik'!$B$19,"Revize et",IF(R65&gt;='Rubrik'!$B$20,"Kartla test","Düşük öncelik"))))</x:f>
        <x:v>Video kuyruğu</x:v>
      </x:c>
      <x:c r="T65" s="50" t="str">
        <x:f>IF(AND(R65&gt;=85,P65&gt;=16,M65&gt;=12,L65&gt;=12),"Reel + Carousel",IF(AND(R65&gt;=85,P65&gt;=16,N65&gt;=8),"Soru odaklı Reel",IF(AND(R65&gt;=85,P65&gt;=16),"Reel / Short",IF(M65&gt;=11,"Carousel","Kart testi"))))</x:f>
        <x:v>Reel + Carousel</x:v>
      </x:c>
      <x:c r="U65" s="46" t="str">
        <x:v>Birinci ve ikinci ok metaforu acı ile zihinsel direnci ayırıyor; evrensel, görsel ve hemen uygulanabilir.</x:v>
      </x:c>
      <x:c r="V65" s="46" t="str">
        <x:f>IF(Q65&lt;=3,"Kaynak kontrolü şart",IF(Q65=4,"Kaynak kontrolü önerilir","Standart doğrulama"))</x:f>
        <x:v>Standart doğrulama</x:v>
      </x:c>
    </x:row>
    <x:row r="66" ht="24" customHeight="1">
      <x:c r="A66" s="48" t="n">
        <x:f>COUNTIF($R$2:$R$751,"&gt;"&amp;R66)+COUNTIF($R$2:R66,R66)</x:f>
        <x:v>65</x:v>
      </x:c>
      <x:c r="B66" s="48" t="n">
        <x:v>1197</x:v>
      </x:c>
      <x:c r="C66" s="46" t="str">
        <x:v>Vietnam gazilerinin dondurulmuş anları</x:v>
      </x:c>
      <x:c r="D66" s="34" t="str">
        <x:v>Sağlık</x:v>
      </x:c>
      <x:c r="E66" s="34" t="str">
        <x:v>Sağlık</x:v>
      </x:c>
      <x:c r="F66" s="34" t="str">
        <x:v>Bedenin Sesi</x:v>
      </x:c>
      <x:c r="G66" s="34" t="str">
        <x:v>Bessel van der Kolk</x:v>
      </x:c>
      <x:c r="H66" s="50" t="str">
        <x:v>1</x:v>
      </x:c>
      <x:c r="I66" s="50" t="str">
        <x:v>Temel</x:v>
      </x:c>
      <x:c r="J66" s="51" t="n">
        <x:v>15</x:v>
      </x:c>
      <x:c r="K66" s="51" t="n">
        <x:v>10</x:v>
      </x:c>
      <x:c r="L66" s="51" t="n">
        <x:v>12</x:v>
      </x:c>
      <x:c r="M66" s="51" t="n">
        <x:v>12</x:v>
      </x:c>
      <x:c r="N66" s="51" t="n">
        <x:v>10</x:v>
      </x:c>
      <x:c r="O66" s="51" t="n">
        <x:v>8</x:v>
      </x:c>
      <x:c r="P66" s="51" t="n">
        <x:v>16</x:v>
      </x:c>
      <x:c r="Q66" s="51" t="n">
        <x:v>4</x:v>
      </x:c>
      <x:c r="R66" s="52" t="n">
        <x:f>SUM(J66:Q66)</x:f>
        <x:v>87</x:v>
      </x:c>
      <x:c r="S66" s="50" t="str">
        <x:f>IF(R66&gt;='Rubrik'!$B$17,"Öncelikli video",IF(R66&gt;='Rubrik'!$B$18,"Video kuyruğu",IF(R66&gt;='Rubrik'!$B$19,"Revize et",IF(R66&gt;='Rubrik'!$B$20,"Kartla test","Düşük öncelik"))))</x:f>
        <x:v>Video kuyruğu</x:v>
      </x:c>
      <x:c r="T66" s="50" t="str">
        <x:f>IF(AND(R66&gt;=85,P66&gt;=16,M66&gt;=12,L66&gt;=12),"Reel + Carousel",IF(AND(R66&gt;=85,P66&gt;=16,N66&gt;=8),"Soru odaklı Reel",IF(AND(R66&gt;=85,P66&gt;=16),"Reel / Short",IF(M66&gt;=11,"Carousel","Kart testi"))))</x:f>
        <x:v>Reel + Carousel</x:v>
      </x:c>
      <x:c r="U66" s="46" t="str">
        <x:v>Kapı sesinde savaşa dönen beden son derece sarsıcı; travmayı bedende anlatan güçlü ve hassas bir hikâye.</x:v>
      </x:c>
      <x:c r="V66" s="46" t="str">
        <x:f>IF(Q66&lt;=3,"Kaynak kontrolü şart",IF(Q66=4,"Kaynak kontrolü önerilir","Standart doğrulama"))</x:f>
        <x:v>Kaynak kontrolü önerilir</x:v>
      </x:c>
    </x:row>
    <x:row r="67" ht="24" customHeight="1">
      <x:c r="A67" s="48" t="n">
        <x:f>COUNTIF($R$2:$R$751,"&gt;"&amp;R67)+COUNTIF($R$2:R67,R67)</x:f>
        <x:v>66</x:v>
      </x:c>
      <x:c r="B67" s="48" t="n">
        <x:v>1786</x:v>
      </x:c>
      <x:c r="C67" s="46" t="str">
        <x:v>Dört Bin Haftalık Ömür</x:v>
      </x:c>
      <x:c r="D67" s="34" t="str">
        <x:v>Verimlilik</x:v>
      </x:c>
      <x:c r="E67" s="34" t="str">
        <x:v>Verimlilik</x:v>
      </x:c>
      <x:c r="F67" s="34" t="str">
        <x:v>Four Thousand Weeks</x:v>
      </x:c>
      <x:c r="G67" s="34" t="str">
        <x:v>Oliver Burkeman</x:v>
      </x:c>
      <x:c r="H67" s="50" t="str">
        <x:v>F5</x:v>
      </x:c>
      <x:c r="I67" s="50" t="str">
        <x:v>Zengin</x:v>
      </x:c>
      <x:c r="J67" s="51" t="n">
        <x:v>14</x:v>
      </x:c>
      <x:c r="K67" s="51" t="n">
        <x:v>6</x:v>
      </x:c>
      <x:c r="L67" s="51" t="n">
        <x:v>15</x:v>
      </x:c>
      <x:c r="M67" s="51" t="n">
        <x:v>13</x:v>
      </x:c>
      <x:c r="N67" s="51" t="n">
        <x:v>9</x:v>
      </x:c>
      <x:c r="O67" s="51" t="n">
        <x:v>7</x:v>
      </x:c>
      <x:c r="P67" s="51" t="n">
        <x:v>18</x:v>
      </x:c>
      <x:c r="Q67" s="51" t="n">
        <x:v>4</x:v>
      </x:c>
      <x:c r="R67" s="52" t="n">
        <x:f>SUM(J67:Q67)</x:f>
        <x:v>86</x:v>
      </x:c>
      <x:c r="S67" s="50" t="str">
        <x:f>IF(R67&gt;='Rubrik'!$B$17,"Öncelikli video",IF(R67&gt;='Rubrik'!$B$18,"Video kuyruğu",IF(R67&gt;='Rubrik'!$B$19,"Revize et",IF(R67&gt;='Rubrik'!$B$20,"Kartla test","Düşük öncelik"))))</x:f>
        <x:v>Video kuyruğu</x:v>
      </x:c>
      <x:c r="T67" s="50" t="str">
        <x:f>IF(AND(R67&gt;=85,P67&gt;=16,M67&gt;=12,L67&gt;=12),"Reel + Carousel",IF(AND(R67&gt;=85,P67&gt;=16,N67&gt;=8),"Soru odaklı Reel",IF(AND(R67&gt;=85,P67&gt;=16),"Reel / Short",IF(M67&gt;=11,"Carousel","Kart testi"))))</x:f>
        <x:v>Reel + Carousel</x:v>
      </x:c>
      <x:c r="U67" s="46" t="str">
        <x:v>Uygulanabilir çerçeve, hikâyeyi geri dönüp kaydetmeye değer kılıyor; olay örgüsü geliştirilmeli.</x:v>
      </x:c>
      <x:c r="V67" s="46" t="str">
        <x:f>IF(Q67&lt;=3,"Kaynak kontrolü şart",IF(Q67=4,"Kaynak kontrolü önerilir","Standart doğrulama"))</x:f>
        <x:v>Kaynak kontrolü önerilir</x:v>
      </x:c>
    </x:row>
    <x:row r="68" ht="24" customHeight="1">
      <x:c r="A68" s="48" t="n">
        <x:f>COUNTIF($R$2:$R$751,"&gt;"&amp;R68)+COUNTIF($R$2:R68,R68)</x:f>
        <x:v>67</x:v>
      </x:c>
      <x:c r="B68" s="48" t="n">
        <x:v>1765</x:v>
      </x:c>
      <x:c r="C68" s="46" t="str">
        <x:v>Fırçayı Dudağında Sivriltmek</x:v>
      </x:c>
      <x:c r="D68" s="34" t="str">
        <x:v>Psikoloji</x:v>
      </x:c>
      <x:c r="E68" s="34" t="str">
        <x:v>Psikoloji</x:v>
      </x:c>
      <x:c r="F68" s="34" t="str">
        <x:v>The Radium Girls</x:v>
      </x:c>
      <x:c r="G68" s="34" t="str">
        <x:v>Kate Moore</x:v>
      </x:c>
      <x:c r="H68" s="50" t="str">
        <x:v>2</x:v>
      </x:c>
      <x:c r="I68" s="50" t="str">
        <x:v>Zengin</x:v>
      </x:c>
      <x:c r="J68" s="51" t="n">
        <x:v>13</x:v>
      </x:c>
      <x:c r="K68" s="51" t="n">
        <x:v>9</x:v>
      </x:c>
      <x:c r="L68" s="51" t="n">
        <x:v>14</x:v>
      </x:c>
      <x:c r="M68" s="51" t="n">
        <x:v>10</x:v>
      </x:c>
      <x:c r="N68" s="51" t="n">
        <x:v>9</x:v>
      </x:c>
      <x:c r="O68" s="51" t="n">
        <x:v>8</x:v>
      </x:c>
      <x:c r="P68" s="51" t="n">
        <x:v>18</x:v>
      </x:c>
      <x:c r="Q68" s="51" t="n">
        <x:v>5</x:v>
      </x:c>
      <x:c r="R68" s="52" t="n">
        <x:f>SUM(J68:Q68)</x:f>
        <x:v>86</x:v>
      </x:c>
      <x:c r="S68" s="50" t="str">
        <x:f>IF(R68&gt;='Rubrik'!$B$17,"Öncelikli video",IF(R68&gt;='Rubrik'!$B$18,"Video kuyruğu",IF(R68&gt;='Rubrik'!$B$19,"Revize et",IF(R68&gt;='Rubrik'!$B$20,"Kartla test","Düşük öncelik"))))</x:f>
        <x:v>Video kuyruğu</x:v>
      </x:c>
      <x:c r="T68" s="50" t="str">
        <x:f>IF(AND(R68&gt;=85,P68&gt;=16,M68&gt;=12,L68&gt;=12),"Reel + Carousel",IF(AND(R68&gt;=85,P68&gt;=16,N68&gt;=8),"Soru odaklı Reel",IF(AND(R68&gt;=85,P68&gt;=16),"Reel / Short",IF(M68&gt;=11,"Carousel","Kart testi"))))</x:f>
        <x:v>Soru odaklı Reel</x:v>
      </x:c>
      <x:c r="U68" s="46" t="str">
        <x:v>Somut sahne ve sayısal ayrıntı güçlü bir video açılışı sağlıyor; olay örgüsü yeterli.</x:v>
      </x:c>
      <x:c r="V68" s="46" t="str">
        <x:f>IF(Q68&lt;=3,"Kaynak kontrolü şart",IF(Q68=4,"Kaynak kontrolü önerilir","Standart doğrulama"))</x:f>
        <x:v>Standart doğrulama</x:v>
      </x:c>
    </x:row>
    <x:row r="69" ht="24" customHeight="1">
      <x:c r="A69" s="48" t="n">
        <x:f>COUNTIF($R$2:$R$751,"&gt;"&amp;R69)+COUNTIF($R$2:R69,R69)</x:f>
        <x:v>68</x:v>
      </x:c>
      <x:c r="B69" s="48" t="n">
        <x:v>1264</x:v>
      </x:c>
      <x:c r="C69" s="46" t="str">
        <x:v>Edison'ın fabrika yangını</x:v>
      </x:c>
      <x:c r="D69" s="34" t="str">
        <x:v>Felsefe</x:v>
      </x:c>
      <x:c r="E69" s="34" t="str">
        <x:v>Felsefe</x:v>
      </x:c>
      <x:c r="F69" s="34" t="str">
        <x:v>Engel Yolu Açar</x:v>
      </x:c>
      <x:c r="G69" s="34" t="str">
        <x:v>Ryan Holiday</x:v>
      </x:c>
      <x:c r="H69" s="50" t="str">
        <x:v>1</x:v>
      </x:c>
      <x:c r="I69" s="50" t="str">
        <x:v>Temel</x:v>
      </x:c>
      <x:c r="J69" s="51" t="n">
        <x:v>14</x:v>
      </x:c>
      <x:c r="K69" s="51" t="n">
        <x:v>8</x:v>
      </x:c>
      <x:c r="L69" s="51" t="n">
        <x:v>13</x:v>
      </x:c>
      <x:c r="M69" s="51" t="n">
        <x:v>12</x:v>
      </x:c>
      <x:c r="N69" s="51" t="n">
        <x:v>9</x:v>
      </x:c>
      <x:c r="O69" s="51" t="n">
        <x:v>9</x:v>
      </x:c>
      <x:c r="P69" s="51" t="n">
        <x:v>18</x:v>
      </x:c>
      <x:c r="Q69" s="51" t="n">
        <x:v>3</x:v>
      </x:c>
      <x:c r="R69" s="52" t="n">
        <x:f>SUM(J69:Q69)</x:f>
        <x:v>86</x:v>
      </x:c>
      <x:c r="S69" s="50" t="str">
        <x:f>IF(R69&gt;='Rubrik'!$B$17,"Öncelikli video",IF(R69&gt;='Rubrik'!$B$18,"Video kuyruğu",IF(R69&gt;='Rubrik'!$B$19,"Revize et",IF(R69&gt;='Rubrik'!$B$20,"Kartla test","Düşük öncelik"))))</x:f>
        <x:v>Video kuyruğu</x:v>
      </x:c>
      <x:c r="T69" s="50" t="str">
        <x:f>IF(AND(R69&gt;=85,P69&gt;=16,M69&gt;=12,L69&gt;=12),"Reel + Carousel",IF(AND(R69&gt;=85,P69&gt;=16,N69&gt;=8),"Soru odaklı Reel",IF(AND(R69&gt;=85,P69&gt;=16),"Reel / Short",IF(M69&gt;=11,"Carousel","Kart testi"))))</x:f>
        <x:v>Reel + Carousel</x:v>
      </x:c>
      <x:c r="U69" s="46" t="str">
        <x:v>Yangın, beklenmedik tepki ve yeniden başlama sözü kusursuz kısa video akışı kuruyor; alıntılar teyit edilmeli.</x:v>
      </x:c>
      <x:c r="V69" s="46" t="str">
        <x:f>IF(Q69&lt;=3,"Kaynak kontrolü şart",IF(Q69=4,"Kaynak kontrolü önerilir","Standart doğrulama"))</x:f>
        <x:v>Kaynak kontrolü şart</x:v>
      </x:c>
    </x:row>
    <x:row r="70" ht="24" customHeight="1">
      <x:c r="A70" s="48" t="n">
        <x:f>COUNTIF($R$2:$R$751,"&gt;"&amp;R70)+COUNTIF($R$2:R70,R70)</x:f>
        <x:v>69</x:v>
      </x:c>
      <x:c r="B70" s="48" t="n">
        <x:v>1311</x:v>
      </x:c>
      <x:c r="C70" s="46" t="str">
        <x:v>Gecikme ve sabırsızlık tuzağı</x:v>
      </x:c>
      <x:c r="D70" s="34" t="str">
        <x:v>Felsefe</x:v>
      </x:c>
      <x:c r="E70" s="34" t="str">
        <x:v>Düşünme</x:v>
      </x:c>
      <x:c r="F70" s="34" t="str">
        <x:v>Thinking in Systems</x:v>
      </x:c>
      <x:c r="G70" s="34" t="str">
        <x:v>Donella Meadows</x:v>
      </x:c>
      <x:c r="H70" s="50" t="str">
        <x:v>1</x:v>
      </x:c>
      <x:c r="I70" s="50" t="str">
        <x:v>Temel</x:v>
      </x:c>
      <x:c r="J70" s="51" t="n">
        <x:v>14</x:v>
      </x:c>
      <x:c r="K70" s="51" t="n">
        <x:v>7</x:v>
      </x:c>
      <x:c r="L70" s="51" t="n">
        <x:v>13</x:v>
      </x:c>
      <x:c r="M70" s="51" t="n">
        <x:v>13</x:v>
      </x:c>
      <x:c r="N70" s="51" t="n">
        <x:v>9</x:v>
      </x:c>
      <x:c r="O70" s="51" t="n">
        <x:v>8</x:v>
      </x:c>
      <x:c r="P70" s="51" t="n">
        <x:v>18</x:v>
      </x:c>
      <x:c r="Q70" s="51" t="n">
        <x:v>4</x:v>
      </x:c>
      <x:c r="R70" s="52" t="n">
        <x:f>SUM(J70:Q70)</x:f>
        <x:v>86</x:v>
      </x:c>
      <x:c r="S70" s="50" t="str">
        <x:f>IF(R70&gt;='Rubrik'!$B$17,"Öncelikli video",IF(R70&gt;='Rubrik'!$B$18,"Video kuyruğu",IF(R70&gt;='Rubrik'!$B$19,"Revize et",IF(R70&gt;='Rubrik'!$B$20,"Kartla test","Düşük öncelik"))))</x:f>
        <x:v>Video kuyruğu</x:v>
      </x:c>
      <x:c r="T70" s="50" t="str">
        <x:f>IF(AND(R70&gt;=85,P70&gt;=16,M70&gt;=12,L70&gt;=12),"Reel + Carousel",IF(AND(R70&gt;=85,P70&gt;=16,N70&gt;=8),"Soru odaklı Reel",IF(AND(R70&gt;=85,P70&gt;=16),"Reel / Short",IF(M70&gt;=11,"Carousel","Kart testi"))))</x:f>
        <x:v>Reel + Carousel</x:v>
      </x:c>
      <x:c r="U70" s="46" t="str">
        <x:v>Soğuk duştan kavurucu suya salınım, sistem gecikmesini herkesin anlayacağı canlı bir mini hikâyeye dönüştürüyor.</x:v>
      </x:c>
      <x:c r="V70" s="46" t="str">
        <x:f>IF(Q70&lt;=3,"Kaynak kontrolü şart",IF(Q70=4,"Kaynak kontrolü önerilir","Standart doğrulama"))</x:f>
        <x:v>Kaynak kontrolü önerilir</x:v>
      </x:c>
    </x:row>
    <x:row r="71" ht="24" customHeight="1">
      <x:c r="A71" s="48" t="n">
        <x:f>COUNTIF($R$2:$R$751,"&gt;"&amp;R71)+COUNTIF($R$2:R71,R71)</x:f>
        <x:v>70</x:v>
      </x:c>
      <x:c r="B71" s="48" t="n">
        <x:v>1315</x:v>
      </x:c>
      <x:c r="C71" s="46" t="str">
        <x:v>Instagram'ın pivot mucizesi</x:v>
      </x:c>
      <x:c r="D71" s="34" t="str">
        <x:v>Bilim</x:v>
      </x:c>
      <x:c r="E71" s="34" t="str">
        <x:v>Ürün</x:v>
      </x:c>
      <x:c r="F71" s="34" t="str">
        <x:v>Müşteriyi Anlamak</x:v>
      </x:c>
      <x:c r="G71" s="34" t="str">
        <x:v>Nir Eyal</x:v>
      </x:c>
      <x:c r="H71" s="50" t="str">
        <x:v>1</x:v>
      </x:c>
      <x:c r="I71" s="50" t="str">
        <x:v>Temel</x:v>
      </x:c>
      <x:c r="J71" s="51" t="n">
        <x:v>14</x:v>
      </x:c>
      <x:c r="K71" s="51" t="n">
        <x:v>7</x:v>
      </x:c>
      <x:c r="L71" s="51" t="n">
        <x:v>13</x:v>
      </x:c>
      <x:c r="M71" s="51" t="n">
        <x:v>12</x:v>
      </x:c>
      <x:c r="N71" s="51" t="n">
        <x:v>9</x:v>
      </x:c>
      <x:c r="O71" s="51" t="n">
        <x:v>9</x:v>
      </x:c>
      <x:c r="P71" s="51" t="n">
        <x:v>18</x:v>
      </x:c>
      <x:c r="Q71" s="51" t="n">
        <x:v>4</x:v>
      </x:c>
      <x:c r="R71" s="52" t="n">
        <x:f>SUM(J71:Q71)</x:f>
        <x:v>86</x:v>
      </x:c>
      <x:c r="S71" s="50" t="str">
        <x:f>IF(R71&gt;='Rubrik'!$B$17,"Öncelikli video",IF(R71&gt;='Rubrik'!$B$18,"Video kuyruğu",IF(R71&gt;='Rubrik'!$B$19,"Revize et",IF(R71&gt;='Rubrik'!$B$20,"Kartla test","Düşük öncelik"))))</x:f>
        <x:v>Video kuyruğu</x:v>
      </x:c>
      <x:c r="T71" s="50" t="str">
        <x:f>IF(AND(R71&gt;=85,P71&gt;=16,M71&gt;=12,L71&gt;=12),"Reel + Carousel",IF(AND(R71&gt;=85,P71&gt;=16,N71&gt;=8),"Soru odaklı Reel",IF(AND(R71&gt;=85,P71&gt;=16),"Reel / Short",IF(M71&gt;=11,"Carousel","Kart testi"))))</x:f>
        <x:v>Reel + Carousel</x:v>
      </x:c>
      <x:c r="U71" s="46" t="str">
        <x:v>Burbn’dan tek özelliğe, oradan Instagram’a pivot net bir gerilim, veri dönüşü ve görsel akış kuruyor.</x:v>
      </x:c>
      <x:c r="V71" s="46" t="str">
        <x:f>IF(Q71&lt;=3,"Kaynak kontrolü şart",IF(Q71=4,"Kaynak kontrolü önerilir","Standart doğrulama"))</x:f>
        <x:v>Kaynak kontrolü önerilir</x:v>
      </x:c>
    </x:row>
    <x:row r="72" ht="24" customHeight="1">
      <x:c r="A72" s="48" t="n">
        <x:f>COUNTIF($R$2:$R$751,"&gt;"&amp;R72)+COUNTIF($R$2:R72,R72)</x:f>
        <x:v>71</x:v>
      </x:c>
      <x:c r="B72" s="48" t="n">
        <x:v>1363</x:v>
      </x:c>
      <x:c r="C72" s="46" t="str">
        <x:v>Dave Goldberg'i kaybetmek</x:v>
      </x:c>
      <x:c r="D72" s="34" t="str">
        <x:v>Büyüme</x:v>
      </x:c>
      <x:c r="E72" s="34" t="str">
        <x:v>Dayanıklılık</x:v>
      </x:c>
      <x:c r="F72" s="34" t="str">
        <x:v>Zihinsel Dayanıklılık</x:v>
      </x:c>
      <x:c r="G72" s="34" t="str">
        <x:v>Sheryl Sandberg</x:v>
      </x:c>
      <x:c r="H72" s="50" t="str">
        <x:v>1</x:v>
      </x:c>
      <x:c r="I72" s="50" t="str">
        <x:v>Temel</x:v>
      </x:c>
      <x:c r="J72" s="51" t="n">
        <x:v>14</x:v>
      </x:c>
      <x:c r="K72" s="51" t="n">
        <x:v>9</x:v>
      </x:c>
      <x:c r="L72" s="51" t="n">
        <x:v>13</x:v>
      </x:c>
      <x:c r="M72" s="51" t="n">
        <x:v>11</x:v>
      </x:c>
      <x:c r="N72" s="51" t="n">
        <x:v>10</x:v>
      </x:c>
      <x:c r="O72" s="51" t="n">
        <x:v>9</x:v>
      </x:c>
      <x:c r="P72" s="51" t="n">
        <x:v>18</x:v>
      </x:c>
      <x:c r="Q72" s="51" t="n">
        <x:v>2</x:v>
      </x:c>
      <x:c r="R72" s="52" t="n">
        <x:f>SUM(J72:Q72)</x:f>
        <x:v>86</x:v>
      </x:c>
      <x:c r="S72" s="50" t="str">
        <x:f>IF(R72&gt;='Rubrik'!$B$17,"Öncelikli video",IF(R72&gt;='Rubrik'!$B$18,"Video kuyruğu",IF(R72&gt;='Rubrik'!$B$19,"Revize et",IF(R72&gt;='Rubrik'!$B$20,"Kartla test","Düşük öncelik"))))</x:f>
        <x:v>Video kuyruğu</x:v>
      </x:c>
      <x:c r="T72" s="50" t="str">
        <x:f>IF(AND(R72&gt;=85,P72&gt;=16,M72&gt;=12,L72&gt;=12),"Reel + Carousel",IF(AND(R72&gt;=85,P72&gt;=16,N72&gt;=8),"Soru odaklı Reel",IF(AND(R72&gt;=85,P72&gt;=16),"Reel / Short",IF(M72&gt;=11,"Carousel","Kart testi"))))</x:f>
        <x:v>Soru odaklı Reel</x:v>
      </x:c>
      <x:c r="U72" s="46" t="str">
        <x:v>Ani eş kaybından Option B’ye geçiş çok güçlü; “otuz yıllık evlilik” gibi biyografik ayrıntılar hatalı.</x:v>
      </x:c>
      <x:c r="V72" s="46" t="str">
        <x:f>IF(Q72&lt;=3,"Kaynak kontrolü şart",IF(Q72=4,"Kaynak kontrolü önerilir","Standart doğrulama"))</x:f>
        <x:v>Kaynak kontrolü şart</x:v>
      </x:c>
    </x:row>
    <x:row r="73" ht="24" customHeight="1">
      <x:c r="A73" s="48" t="n">
        <x:f>COUNTIF($R$2:$R$751,"&gt;"&amp;R73)+COUNTIF($R$2:R73,R73)</x:f>
        <x:v>72</x:v>
      </x:c>
      <x:c r="B73" s="48" t="n">
        <x:v>1726</x:v>
      </x:c>
      <x:c r="C73" s="46" t="str">
        <x:v>Mendel’in Bezelyeleri Neden Otuz Yıl Sessiz Kaldı?</x:v>
      </x:c>
      <x:c r="D73" s="34" t="str">
        <x:v>Psikoloji</x:v>
      </x:c>
      <x:c r="E73" s="34" t="str">
        <x:v>Psikoloji</x:v>
      </x:c>
      <x:c r="F73" s="34" t="str">
        <x:v>The Gene</x:v>
      </x:c>
      <x:c r="G73" s="34" t="str">
        <x:v>Siddhartha Mukherjee</x:v>
      </x:c>
      <x:c r="H73" s="50" t="str">
        <x:v>2</x:v>
      </x:c>
      <x:c r="I73" s="50" t="str">
        <x:v>Zengin</x:v>
      </x:c>
      <x:c r="J73" s="51" t="n">
        <x:v>13</x:v>
      </x:c>
      <x:c r="K73" s="51" t="n">
        <x:v>8</x:v>
      </x:c>
      <x:c r="L73" s="51" t="n">
        <x:v>13</x:v>
      </x:c>
      <x:c r="M73" s="51" t="n">
        <x:v>12</x:v>
      </x:c>
      <x:c r="N73" s="51" t="n">
        <x:v>9</x:v>
      </x:c>
      <x:c r="O73" s="51" t="n">
        <x:v>8</x:v>
      </x:c>
      <x:c r="P73" s="51" t="n">
        <x:v>18</x:v>
      </x:c>
      <x:c r="Q73" s="51" t="n">
        <x:v>5</x:v>
      </x:c>
      <x:c r="R73" s="52" t="n">
        <x:f>SUM(J73:Q73)</x:f>
        <x:v>86</x:v>
      </x:c>
      <x:c r="S73" s="50" t="str">
        <x:f>IF(R73&gt;='Rubrik'!$B$17,"Öncelikli video",IF(R73&gt;='Rubrik'!$B$18,"Video kuyruğu",IF(R73&gt;='Rubrik'!$B$19,"Revize et",IF(R73&gt;='Rubrik'!$B$20,"Kartla test","Düşük öncelik"))))</x:f>
        <x:v>Video kuyruğu</x:v>
      </x:c>
      <x:c r="T73" s="50" t="str">
        <x:f>IF(AND(R73&gt;=85,P73&gt;=16,M73&gt;=12,L73&gt;=12),"Reel + Carousel",IF(AND(R73&gt;=85,P73&gt;=16,N73&gt;=8),"Soru odaklı Reel",IF(AND(R73&gt;=85,P73&gt;=16),"Reel / Short",IF(M73&gt;=11,"Carousel","Kart testi"))))</x:f>
        <x:v>Reel + Carousel</x:v>
      </x:c>
      <x:c r="U73" s="46" t="str">
        <x:v>Somut sahne ve sayısal ayrıntı güçlü bir video açılışı sağlıyor; olay örgüsü yeterli.</x:v>
      </x:c>
      <x:c r="V73" s="46" t="str">
        <x:f>IF(Q73&lt;=3,"Kaynak kontrolü şart",IF(Q73=4,"Kaynak kontrolü önerilir","Standart doğrulama"))</x:f>
        <x:v>Standart doğrulama</x:v>
      </x:c>
    </x:row>
    <x:row r="74" ht="24" customHeight="1">
      <x:c r="A74" s="48" t="n">
        <x:f>COUNTIF($R$2:$R$751,"&gt;"&amp;R74)+COUNTIF($R$2:R74,R74)</x:f>
        <x:v>73</x:v>
      </x:c>
      <x:c r="B74" s="48" t="n">
        <x:v>1330</x:v>
      </x:c>
      <x:c r="C74" s="46" t="str">
        <x:v>Değerlerin hiyerarşisi</x:v>
      </x:c>
      <x:c r="D74" s="34" t="str">
        <x:v>Büyüme</x:v>
      </x:c>
      <x:c r="E74" s="34" t="str">
        <x:v>Kişisel Gelişim</x:v>
      </x:c>
      <x:c r="F74" s="34" t="str">
        <x:v>Özgür Olmak</x:v>
      </x:c>
      <x:c r="G74" s="34" t="str">
        <x:v>Mark Manson</x:v>
      </x:c>
      <x:c r="H74" s="50" t="str">
        <x:v>1</x:v>
      </x:c>
      <x:c r="I74" s="50" t="str">
        <x:v>Temel</x:v>
      </x:c>
      <x:c r="J74" s="51" t="n">
        <x:v>14</x:v>
      </x:c>
      <x:c r="K74" s="51" t="n">
        <x:v>7</x:v>
      </x:c>
      <x:c r="L74" s="51" t="n">
        <x:v>13</x:v>
      </x:c>
      <x:c r="M74" s="51" t="n">
        <x:v>13</x:v>
      </x:c>
      <x:c r="N74" s="51" t="n">
        <x:v>10</x:v>
      </x:c>
      <x:c r="O74" s="51" t="n">
        <x:v>8</x:v>
      </x:c>
      <x:c r="P74" s="51" t="n">
        <x:v>17</x:v>
      </x:c>
      <x:c r="Q74" s="51" t="n">
        <x:v>4</x:v>
      </x:c>
      <x:c r="R74" s="52" t="n">
        <x:f>SUM(J74:Q74)</x:f>
        <x:v>86</x:v>
      </x:c>
      <x:c r="S74" s="50" t="str">
        <x:f>IF(R74&gt;='Rubrik'!$B$17,"Öncelikli video",IF(R74&gt;='Rubrik'!$B$18,"Video kuyruğu",IF(R74&gt;='Rubrik'!$B$19,"Revize et",IF(R74&gt;='Rubrik'!$B$20,"Kartla test","Düşük öncelik"))))</x:f>
        <x:v>Video kuyruğu</x:v>
      </x:c>
      <x:c r="T74" s="50" t="str">
        <x:f>IF(AND(R74&gt;=85,P74&gt;=16,M74&gt;=12,L74&gt;=12),"Reel + Carousel",IF(AND(R74&gt;=85,P74&gt;=16,N74&gt;=8),"Soru odaklı Reel",IF(AND(R74&gt;=85,P74&gt;=16),"Reel / Short",IF(M74&gt;=11,"Carousel","Kart testi"))))</x:f>
        <x:v>Reel + Carousel</x:v>
      </x:c>
      <x:c r="U74" s="46" t="str">
        <x:v>“Hangi acıya değer?” sorusu kışkırtıcı ama yapıcı; sonucu değil süreci seçme fikri güçlü paylaşılır.</x:v>
      </x:c>
      <x:c r="V74" s="46" t="str">
        <x:f>IF(Q74&lt;=3,"Kaynak kontrolü şart",IF(Q74=4,"Kaynak kontrolü önerilir","Standart doğrulama"))</x:f>
        <x:v>Kaynak kontrolü önerilir</x:v>
      </x:c>
    </x:row>
    <x:row r="75" ht="24" customHeight="1">
      <x:c r="A75" s="48" t="n">
        <x:f>COUNTIF($R$2:$R$751,"&gt;"&amp;R75)+COUNTIF($R$2:R75,R75)</x:f>
        <x:v>74</x:v>
      </x:c>
      <x:c r="B75" s="48" t="n">
        <x:v>1725</x:v>
      </x:c>
      <x:c r="C75" s="46" t="str">
        <x:v>2008 Krizi Tony Robbins’in Sorusunu Nasıl Değiştirdi?</x:v>
      </x:c>
      <x:c r="D75" s="34" t="str">
        <x:v>Finans</x:v>
      </x:c>
      <x:c r="E75" s="34" t="str">
        <x:v>Finans</x:v>
      </x:c>
      <x:c r="F75" s="34" t="str">
        <x:v>Money: Master the Game</x:v>
      </x:c>
      <x:c r="G75" s="34" t="str">
        <x:v>Tony Robbins</x:v>
      </x:c>
      <x:c r="H75" s="50" t="str">
        <x:v>2</x:v>
      </x:c>
      <x:c r="I75" s="50" t="str">
        <x:v>Zengin</x:v>
      </x:c>
      <x:c r="J75" s="51" t="n">
        <x:v>13</x:v>
      </x:c>
      <x:c r="K75" s="51" t="n">
        <x:v>9</x:v>
      </x:c>
      <x:c r="L75" s="51" t="n">
        <x:v>13</x:v>
      </x:c>
      <x:c r="M75" s="51" t="n">
        <x:v>12</x:v>
      </x:c>
      <x:c r="N75" s="51" t="n">
        <x:v>8</x:v>
      </x:c>
      <x:c r="O75" s="51" t="n">
        <x:v>9</x:v>
      </x:c>
      <x:c r="P75" s="51" t="n">
        <x:v>17</x:v>
      </x:c>
      <x:c r="Q75" s="51" t="n">
        <x:v>5</x:v>
      </x:c>
      <x:c r="R75" s="52" t="n">
        <x:f>SUM(J75:Q75)</x:f>
        <x:v>86</x:v>
      </x:c>
      <x:c r="S75" s="50" t="str">
        <x:f>IF(R75&gt;='Rubrik'!$B$17,"Öncelikli video",IF(R75&gt;='Rubrik'!$B$18,"Video kuyruğu",IF(R75&gt;='Rubrik'!$B$19,"Revize et",IF(R75&gt;='Rubrik'!$B$20,"Kartla test","Düşük öncelik"))))</x:f>
        <x:v>Video kuyruğu</x:v>
      </x:c>
      <x:c r="T75" s="50" t="str">
        <x:f>IF(AND(R75&gt;=85,P75&gt;=16,M75&gt;=12,L75&gt;=12),"Reel + Carousel",IF(AND(R75&gt;=85,P75&gt;=16,N75&gt;=8),"Soru odaklı Reel",IF(AND(R75&gt;=85,P75&gt;=16),"Reel / Short",IF(M75&gt;=11,"Carousel","Kart testi"))))</x:f>
        <x:v>Reel + Carousel</x:v>
      </x:c>
      <x:c r="U75" s="46" t="str">
        <x:v>Somut sahne ve sayısal ayrıntı güçlü bir video açılışı sağlıyor; görselleştirme yeterli.</x:v>
      </x:c>
      <x:c r="V75" s="46" t="str">
        <x:f>IF(Q75&lt;=3,"Kaynak kontrolü şart",IF(Q75=4,"Kaynak kontrolü önerilir","Standart doğrulama"))</x:f>
        <x:v>Standart doğrulama</x:v>
      </x:c>
    </x:row>
    <x:row r="76" ht="24" customHeight="1">
      <x:c r="A76" s="48" t="n">
        <x:f>COUNTIF($R$2:$R$751,"&gt;"&amp;R76)+COUNTIF($R$2:R76,R76)</x:f>
        <x:v>75</x:v>
      </x:c>
      <x:c r="B76" s="48" t="n">
        <x:v>1731</x:v>
      </x:c>
      <x:c r="C76" s="46" t="str">
        <x:v>George Ferris Paris’in Kulesine Nasıl Cevap Verdi?</x:v>
      </x:c>
      <x:c r="D76" s="34" t="str">
        <x:v>Psikoloji</x:v>
      </x:c>
      <x:c r="E76" s="34" t="str">
        <x:v>Mutluluk</x:v>
      </x:c>
      <x:c r="F76" s="34" t="str">
        <x:v>The Devil in the White City</x:v>
      </x:c>
      <x:c r="G76" s="34" t="str">
        <x:v>Erik Larson</x:v>
      </x:c>
      <x:c r="H76" s="50" t="str">
        <x:v>2</x:v>
      </x:c>
      <x:c r="I76" s="50" t="str">
        <x:v>Zengin</x:v>
      </x:c>
      <x:c r="J76" s="51" t="n">
        <x:v>13</x:v>
      </x:c>
      <x:c r="K76" s="51" t="n">
        <x:v>8</x:v>
      </x:c>
      <x:c r="L76" s="51" t="n">
        <x:v>13</x:v>
      </x:c>
      <x:c r="M76" s="51" t="n">
        <x:v>12</x:v>
      </x:c>
      <x:c r="N76" s="51" t="n">
        <x:v>9</x:v>
      </x:c>
      <x:c r="O76" s="51" t="n">
        <x:v>9</x:v>
      </x:c>
      <x:c r="P76" s="51" t="n">
        <x:v>17</x:v>
      </x:c>
      <x:c r="Q76" s="51" t="n">
        <x:v>5</x:v>
      </x:c>
      <x:c r="R76" s="52" t="n">
        <x:f>SUM(J76:Q76)</x:f>
        <x:v>86</x:v>
      </x:c>
      <x:c r="S76" s="50" t="str">
        <x:f>IF(R76&gt;='Rubrik'!$B$17,"Öncelikli video",IF(R76&gt;='Rubrik'!$B$18,"Video kuyruğu",IF(R76&gt;='Rubrik'!$B$19,"Revize et",IF(R76&gt;='Rubrik'!$B$20,"Kartla test","Düşük öncelik"))))</x:f>
        <x:v>Video kuyruğu</x:v>
      </x:c>
      <x:c r="T76" s="50" t="str">
        <x:f>IF(AND(R76&gt;=85,P76&gt;=16,M76&gt;=12,L76&gt;=12),"Reel + Carousel",IF(AND(R76&gt;=85,P76&gt;=16,N76&gt;=8),"Soru odaklı Reel",IF(AND(R76&gt;=85,P76&gt;=16),"Reel / Short",IF(M76&gt;=11,"Carousel","Kart testi"))))</x:f>
        <x:v>Reel + Carousel</x:v>
      </x:c>
      <x:c r="U76" s="46" t="str">
        <x:v>Somut sahne ve sayısal ayrıntı güçlü bir video açılışı sağlıyor; görselleştirme yeterli.</x:v>
      </x:c>
      <x:c r="V76" s="46" t="str">
        <x:f>IF(Q76&lt;=3,"Kaynak kontrolü şart",IF(Q76=4,"Kaynak kontrolü önerilir","Standart doğrulama"))</x:f>
        <x:v>Standart doğrulama</x:v>
      </x:c>
    </x:row>
    <x:row r="77" ht="24" customHeight="1">
      <x:c r="A77" s="48" t="n">
        <x:f>COUNTIF($R$2:$R$751,"&gt;"&amp;R77)+COUNTIF($R$2:R77,R77)</x:f>
        <x:v>76</x:v>
      </x:c>
      <x:c r="B77" s="48" t="n">
        <x:v>1120</x:v>
      </x:c>
      <x:c r="C77" s="46" t="str">
        <x:v>Bölünmüş beyin ve iki ben</x:v>
      </x:c>
      <x:c r="D77" s="34" t="str">
        <x:v>Psikoloji</x:v>
      </x:c>
      <x:c r="E77" s="34" t="str">
        <x:v>Nörobilim</x:v>
      </x:c>
      <x:c r="F77" s="34" t="str">
        <x:v>Beyin Fırtınası</x:v>
      </x:c>
      <x:c r="G77" s="34" t="str">
        <x:v>David Eagleman</x:v>
      </x:c>
      <x:c r="H77" s="50" t="str">
        <x:v>1</x:v>
      </x:c>
      <x:c r="I77" s="50" t="str">
        <x:v>Temel</x:v>
      </x:c>
      <x:c r="J77" s="51" t="n">
        <x:v>15</x:v>
      </x:c>
      <x:c r="K77" s="51" t="n">
        <x:v>8</x:v>
      </x:c>
      <x:c r="L77" s="51" t="n">
        <x:v>12</x:v>
      </x:c>
      <x:c r="M77" s="51" t="n">
        <x:v>13</x:v>
      </x:c>
      <x:c r="N77" s="51" t="n">
        <x:v>9</x:v>
      </x:c>
      <x:c r="O77" s="51" t="n">
        <x:v>8</x:v>
      </x:c>
      <x:c r="P77" s="51" t="n">
        <x:v>17</x:v>
      </x:c>
      <x:c r="Q77" s="51" t="n">
        <x:v>4</x:v>
      </x:c>
      <x:c r="R77" s="52" t="n">
        <x:f>SUM(J77:Q77)</x:f>
        <x:v>86</x:v>
      </x:c>
      <x:c r="S77" s="50" t="str">
        <x:f>IF(R77&gt;='Rubrik'!$B$17,"Öncelikli video",IF(R77&gt;='Rubrik'!$B$18,"Video kuyruğu",IF(R77&gt;='Rubrik'!$B$19,"Revize et",IF(R77&gt;='Rubrik'!$B$20,"Kartla test","Düşük öncelik"))))</x:f>
        <x:v>Video kuyruğu</x:v>
      </x:c>
      <x:c r="T77" s="50" t="str">
        <x:f>IF(AND(R77&gt;=85,P77&gt;=16,M77&gt;=12,L77&gt;=12),"Reel + Carousel",IF(AND(R77&gt;=85,P77&gt;=16,N77&gt;=8),"Soru odaklı Reel",IF(AND(R77&gt;=85,P77&gt;=16),"Reel / Short",IF(M77&gt;=11,"Carousel","Kart testi"))))</x:f>
        <x:v>Reel + Carousel</x:v>
      </x:c>
      <x:c r="U77" s="46" t="str">
        <x:v>Bir elin bildiğini dilin bilememesi ve uydurulan gerekçe çarpıcı; iki ben yorumu nüans gerektiriyor.</x:v>
      </x:c>
      <x:c r="V77" s="46" t="str">
        <x:f>IF(Q77&lt;=3,"Kaynak kontrolü şart",IF(Q77=4,"Kaynak kontrolü önerilir","Standart doğrulama"))</x:f>
        <x:v>Kaynak kontrolü önerilir</x:v>
      </x:c>
    </x:row>
    <x:row r="78" ht="24" customHeight="1">
      <x:c r="A78" s="48" t="n">
        <x:f>COUNTIF($R$2:$R$751,"&gt;"&amp;R78)+COUNTIF($R$2:R78,R78)</x:f>
        <x:v>77</x:v>
      </x:c>
      <x:c r="B78" s="48" t="n">
        <x:v>1238</x:v>
      </x:c>
      <x:c r="C78" s="46" t="str">
        <x:v>Katlanarak büyüme paradoksu</x:v>
      </x:c>
      <x:c r="D78" s="34" t="str">
        <x:v>Bilim</x:v>
      </x:c>
      <x:c r="E78" s="34" t="str">
        <x:v>Teknoloji</x:v>
      </x:c>
      <x:c r="F78" s="34" t="str">
        <x:v>Doğrusal Olmayan Gelecek</x:v>
      </x:c>
      <x:c r="G78" s="34" t="str">
        <x:v>Ray Kurzweil</x:v>
      </x:c>
      <x:c r="H78" s="50" t="str">
        <x:v>1</x:v>
      </x:c>
      <x:c r="I78" s="50" t="str">
        <x:v>Temel</x:v>
      </x:c>
      <x:c r="J78" s="51" t="n">
        <x:v>15</x:v>
      </x:c>
      <x:c r="K78" s="51" t="n">
        <x:v>7</x:v>
      </x:c>
      <x:c r="L78" s="51" t="n">
        <x:v>12</x:v>
      </x:c>
      <x:c r="M78" s="51" t="n">
        <x:v>14</x:v>
      </x:c>
      <x:c r="N78" s="51" t="n">
        <x:v>9</x:v>
      </x:c>
      <x:c r="O78" s="51" t="n">
        <x:v>7</x:v>
      </x:c>
      <x:c r="P78" s="51" t="n">
        <x:v>17</x:v>
      </x:c>
      <x:c r="Q78" s="51" t="n">
        <x:v>5</x:v>
      </x:c>
      <x:c r="R78" s="52" t="n">
        <x:f>SUM(J78:Q78)</x:f>
        <x:v>86</x:v>
      </x:c>
      <x:c r="S78" s="50" t="str">
        <x:f>IF(R78&gt;='Rubrik'!$B$17,"Öncelikli video",IF(R78&gt;='Rubrik'!$B$18,"Video kuyruğu",IF(R78&gt;='Rubrik'!$B$19,"Revize et",IF(R78&gt;='Rubrik'!$B$20,"Kartla test","Düşük öncelik"))))</x:f>
        <x:v>Video kuyruğu</x:v>
      </x:c>
      <x:c r="T78" s="50" t="str">
        <x:f>IF(AND(R78&gt;=85,P78&gt;=16,M78&gt;=12,L78&gt;=12),"Reel + Carousel",IF(AND(R78&gt;=85,P78&gt;=16,N78&gt;=8),"Soru odaklı Reel",IF(AND(R78&gt;=85,P78&gt;=16),"Reel / Short",IF(M78&gt;=11,"Carousel","Kart testi"))))</x:f>
        <x:v>Reel + Carousel</x:v>
      </x:c>
      <x:c r="U78" s="46" t="str">
        <x:v>Otuzuncu gün dolan havuz üstel büyümeyi tek animasyonla öğretir; güçlü sürpriz ve kayıt değeri taşır.</x:v>
      </x:c>
      <x:c r="V78" s="46" t="str">
        <x:f>IF(Q78&lt;=3,"Kaynak kontrolü şart",IF(Q78=4,"Kaynak kontrolü önerilir","Standart doğrulama"))</x:f>
        <x:v>Standart doğrulama</x:v>
      </x:c>
    </x:row>
    <x:row r="79" ht="24" customHeight="1">
      <x:c r="A79" s="48" t="n">
        <x:f>COUNTIF($R$2:$R$751,"&gt;"&amp;R79)+COUNTIF($R$2:R79,R79)</x:f>
        <x:v>78</x:v>
      </x:c>
      <x:c r="B79" s="48" t="n">
        <x:v>1117</x:v>
      </x:c>
      <x:c r="C79" s="46" t="str">
        <x:v>Yeterince zengin olmak — tatminsizlik tuzağı</x:v>
      </x:c>
      <x:c r="D79" s="34" t="str">
        <x:v>Finans</x:v>
      </x:c>
      <x:c r="E79" s="34" t="str">
        <x:v>Finans</x:v>
      </x:c>
      <x:c r="F79" s="34" t="str">
        <x:v>The Psychology of Money</x:v>
      </x:c>
      <x:c r="G79" s="34" t="str">
        <x:v>Morgan Housel</x:v>
      </x:c>
      <x:c r="H79" s="50" t="str">
        <x:v>1</x:v>
      </x:c>
      <x:c r="I79" s="50" t="str">
        <x:v>Temel</x:v>
      </x:c>
      <x:c r="J79" s="51" t="n">
        <x:v>14</x:v>
      </x:c>
      <x:c r="K79" s="51" t="n">
        <x:v>8</x:v>
      </x:c>
      <x:c r="L79" s="51" t="n">
        <x:v>12</x:v>
      </x:c>
      <x:c r="M79" s="51" t="n">
        <x:v>14</x:v>
      </x:c>
      <x:c r="N79" s="51" t="n">
        <x:v>10</x:v>
      </x:c>
      <x:c r="O79" s="51" t="n">
        <x:v>7</x:v>
      </x:c>
      <x:c r="P79" s="51" t="n">
        <x:v>16</x:v>
      </x:c>
      <x:c r="Q79" s="51" t="n">
        <x:v>5</x:v>
      </x:c>
      <x:c r="R79" s="52" t="n">
        <x:f>SUM(J79:Q79)</x:f>
        <x:v>86</x:v>
      </x:c>
      <x:c r="S79" s="50" t="str">
        <x:f>IF(R79&gt;='Rubrik'!$B$17,"Öncelikli video",IF(R79&gt;='Rubrik'!$B$18,"Video kuyruğu",IF(R79&gt;='Rubrik'!$B$19,"Revize et",IF(R79&gt;='Rubrik'!$B$20,"Kartla test","Düşük öncelik"))))</x:f>
        <x:v>Video kuyruğu</x:v>
      </x:c>
      <x:c r="T79" s="50" t="str">
        <x:f>IF(AND(R79&gt;=85,P79&gt;=16,M79&gt;=12,L79&gt;=12),"Reel + Carousel",IF(AND(R79&gt;=85,P79&gt;=16,N79&gt;=8),"Soru odaklı Reel",IF(AND(R79&gt;=85,P79&gt;=16),"Reel / Short",IF(M79&gt;=11,"Carousel","Kart testi"))))</x:f>
        <x:v>Reel + Carousel</x:v>
      </x:c>
      <x:c r="U79" s="46" t="str">
        <x:v>Yüz milyon dolara rağmen düşüş, yeterli kavramına güçlü bedel ve evrensel bir öz değerlendirme sorusu katıyor.</x:v>
      </x:c>
      <x:c r="V79" s="46" t="str">
        <x:f>IF(Q79&lt;=3,"Kaynak kontrolü şart",IF(Q79=4,"Kaynak kontrolü önerilir","Standart doğrulama"))</x:f>
        <x:v>Standart doğrulama</x:v>
      </x:c>
    </x:row>
    <x:row r="80" ht="24" customHeight="1">
      <x:c r="A80" s="48" t="n">
        <x:f>COUNTIF($R$2:$R$751,"&gt;"&amp;R80)+COUNTIF($R$2:R80,R80)</x:f>
        <x:v>79</x:v>
      </x:c>
      <x:c r="B80" s="48" t="n">
        <x:v>1142</x:v>
      </x:c>
      <x:c r="C80" s="46" t="str">
        <x:v>Arenada dövüşmek</x:v>
      </x:c>
      <x:c r="D80" s="34" t="str">
        <x:v>Büyüme</x:v>
      </x:c>
      <x:c r="E80" s="34" t="str">
        <x:v>Kişisel Gelişim</x:v>
      </x:c>
      <x:c r="F80" s="34" t="str">
        <x:v>Cesaret Vermek</x:v>
      </x:c>
      <x:c r="G80" s="34" t="str">
        <x:v>Brené Brown</x:v>
      </x:c>
      <x:c r="H80" s="50" t="str">
        <x:v>1</x:v>
      </x:c>
      <x:c r="I80" s="50" t="str">
        <x:v>Temel</x:v>
      </x:c>
      <x:c r="J80" s="51" t="n">
        <x:v>14</x:v>
      </x:c>
      <x:c r="K80" s="51" t="n">
        <x:v>9</x:v>
      </x:c>
      <x:c r="L80" s="51" t="n">
        <x:v>12</x:v>
      </x:c>
      <x:c r="M80" s="51" t="n">
        <x:v>13</x:v>
      </x:c>
      <x:c r="N80" s="51" t="n">
        <x:v>10</x:v>
      </x:c>
      <x:c r="O80" s="51" t="n">
        <x:v>7</x:v>
      </x:c>
      <x:c r="P80" s="51" t="n">
        <x:v>16</x:v>
      </x:c>
      <x:c r="Q80" s="51" t="n">
        <x:v>5</x:v>
      </x:c>
      <x:c r="R80" s="52" t="n">
        <x:f>SUM(J80:Q80)</x:f>
        <x:v>86</x:v>
      </x:c>
      <x:c r="S80" s="50" t="str">
        <x:f>IF(R80&gt;='Rubrik'!$B$17,"Öncelikli video",IF(R80&gt;='Rubrik'!$B$18,"Video kuyruğu",IF(R80&gt;='Rubrik'!$B$19,"Revize et",IF(R80&gt;='Rubrik'!$B$20,"Kartla test","Düşük öncelik"))))</x:f>
        <x:v>Video kuyruğu</x:v>
      </x:c>
      <x:c r="T80" s="50" t="str">
        <x:f>IF(AND(R80&gt;=85,P80&gt;=16,M80&gt;=12,L80&gt;=12),"Reel + Carousel",IF(AND(R80&gt;=85,P80&gt;=16,N80&gt;=8),"Soru odaklı Reel",IF(AND(R80&gt;=85,P80&gt;=16),"Reel / Short",IF(M80&gt;=11,"Carousel","Kart testi"))))</x:f>
        <x:v>Reel + Carousel</x:v>
      </x:c>
      <x:c r="U80" s="46" t="str">
        <x:v>Toz, ter ve kan içindeki arena sözü çok görsel; eleştiri korkusuna evrensel ve duygulu bir yanıt veriyor.</x:v>
      </x:c>
      <x:c r="V80" s="46" t="str">
        <x:f>IF(Q80&lt;=3,"Kaynak kontrolü şart",IF(Q80=4,"Kaynak kontrolü önerilir","Standart doğrulama"))</x:f>
        <x:v>Standart doğrulama</x:v>
      </x:c>
    </x:row>
    <x:row r="81" ht="24" customHeight="1">
      <x:c r="A81" s="48" t="n">
        <x:f>COUNTIF($R$2:$R$751,"&gt;"&amp;R81)+COUNTIF($R$2:R81,R81)</x:f>
        <x:v>80</x:v>
      </x:c>
      <x:c r="B81" s="48" t="n">
        <x:v>1172</x:v>
      </x:c>
      <x:c r="C81" s="46" t="str">
        <x:v>Linda problemi ve konjunksiyon hatası</x:v>
      </x:c>
      <x:c r="D81" s="34" t="str">
        <x:v>Psikoloji</x:v>
      </x:c>
      <x:c r="E81" s="34" t="str">
        <x:v>Psikoloji</x:v>
      </x:c>
      <x:c r="F81" s="34" t="str">
        <x:v>Karar Verme Sanatı</x:v>
      </x:c>
      <x:c r="G81" s="34" t="str">
        <x:v>Daniel Kahneman</x:v>
      </x:c>
      <x:c r="H81" s="50" t="str">
        <x:v>1</x:v>
      </x:c>
      <x:c r="I81" s="50" t="str">
        <x:v>Temel</x:v>
      </x:c>
      <x:c r="J81" s="51" t="n">
        <x:v>15</x:v>
      </x:c>
      <x:c r="K81" s="51" t="n">
        <x:v>8</x:v>
      </x:c>
      <x:c r="L81" s="51" t="n">
        <x:v>12</x:v>
      </x:c>
      <x:c r="M81" s="51" t="n">
        <x:v>13</x:v>
      </x:c>
      <x:c r="N81" s="51" t="n">
        <x:v>9</x:v>
      </x:c>
      <x:c r="O81" s="51" t="n">
        <x:v>8</x:v>
      </x:c>
      <x:c r="P81" s="51" t="n">
        <x:v>16</x:v>
      </x:c>
      <x:c r="Q81" s="51" t="n">
        <x:v>5</x:v>
      </x:c>
      <x:c r="R81" s="52" t="n">
        <x:f>SUM(J81:Q81)</x:f>
        <x:v>86</x:v>
      </x:c>
      <x:c r="S81" s="50" t="str">
        <x:f>IF(R81&gt;='Rubrik'!$B$17,"Öncelikli video",IF(R81&gt;='Rubrik'!$B$18,"Video kuyruğu",IF(R81&gt;='Rubrik'!$B$19,"Revize et",IF(R81&gt;='Rubrik'!$B$20,"Kartla test","Düşük öncelik"))))</x:f>
        <x:v>Video kuyruğu</x:v>
      </x:c>
      <x:c r="T81" s="50" t="str">
        <x:f>IF(AND(R81&gt;=85,P81&gt;=16,M81&gt;=12,L81&gt;=12),"Reel + Carousel",IF(AND(R81&gt;=85,P81&gt;=16,N81&gt;=8),"Soru odaklı Reel",IF(AND(R81&gt;=85,P81&gt;=16),"Reel / Short",IF(M81&gt;=11,"Carousel","Kart testi"))))</x:f>
        <x:v>Reel + Carousel</x:v>
      </x:c>
      <x:c r="U81" s="46" t="str">
        <x:v>Linda seçimi izleyiciyi hataya düşürüp açıklamasıyla ödüllendiriyor; kısa video için çok güçlü.</x:v>
      </x:c>
      <x:c r="V81" s="46" t="str">
        <x:f>IF(Q81&lt;=3,"Kaynak kontrolü şart",IF(Q81=4,"Kaynak kontrolü önerilir","Standart doğrulama"))</x:f>
        <x:v>Standart doğrulama</x:v>
      </x:c>
    </x:row>
    <x:row r="82" ht="24" customHeight="1">
      <x:c r="A82" s="48" t="n">
        <x:f>COUNTIF($R$2:$R$751,"&gt;"&amp;R82)+COUNTIF($R$2:R82,R82)</x:f>
        <x:v>81</x:v>
      </x:c>
      <x:c r="B82" s="48" t="n">
        <x:v>1180</x:v>
      </x:c>
      <x:c r="C82" s="46" t="str">
        <x:v>Korkuyla dans etmek</x:v>
      </x:c>
      <x:c r="D82" s="34" t="str">
        <x:v>Verimlilik</x:v>
      </x:c>
      <x:c r="E82" s="34" t="str">
        <x:v>Yaratıcılık</x:v>
      </x:c>
      <x:c r="F82" s="34" t="str">
        <x:v>Yaratıcı Olmak</x:v>
      </x:c>
      <x:c r="G82" s="34" t="str">
        <x:v>Elizabeth Gilbert</x:v>
      </x:c>
      <x:c r="H82" s="50" t="str">
        <x:v>1</x:v>
      </x:c>
      <x:c r="I82" s="50" t="str">
        <x:v>Temel</x:v>
      </x:c>
      <x:c r="J82" s="51" t="n">
        <x:v>14</x:v>
      </x:c>
      <x:c r="K82" s="51" t="n">
        <x:v>9</x:v>
      </x:c>
      <x:c r="L82" s="51" t="n">
        <x:v>12</x:v>
      </x:c>
      <x:c r="M82" s="51" t="n">
        <x:v>13</x:v>
      </x:c>
      <x:c r="N82" s="51" t="n">
        <x:v>10</x:v>
      </x:c>
      <x:c r="O82" s="51" t="n">
        <x:v>7</x:v>
      </x:c>
      <x:c r="P82" s="51" t="n">
        <x:v>16</x:v>
      </x:c>
      <x:c r="Q82" s="51" t="n">
        <x:v>5</x:v>
      </x:c>
      <x:c r="R82" s="52" t="n">
        <x:f>SUM(J82:Q82)</x:f>
        <x:v>86</x:v>
      </x:c>
      <x:c r="S82" s="50" t="str">
        <x:f>IF(R82&gt;='Rubrik'!$B$17,"Öncelikli video",IF(R82&gt;='Rubrik'!$B$18,"Video kuyruğu",IF(R82&gt;='Rubrik'!$B$19,"Revize et",IF(R82&gt;='Rubrik'!$B$20,"Kartla test","Düşük öncelik"))))</x:f>
        <x:v>Video kuyruğu</x:v>
      </x:c>
      <x:c r="T82" s="50" t="str">
        <x:f>IF(AND(R82&gt;=85,P82&gt;=16,M82&gt;=12,L82&gt;=12),"Reel + Carousel",IF(AND(R82&gt;=85,P82&gt;=16,N82&gt;=8),"Soru odaklı Reel",IF(AND(R82&gt;=85,P82&gt;=16),"Reel / Short",IF(M82&gt;=11,"Carousel","Kart testi"))))</x:f>
        <x:v>Reel + Carousel</x:v>
      </x:c>
      <x:c r="U82" s="46" t="str">
        <x:v>Korkunun arabaya binip direksiyona geçmemesi çok güçlü, evrensel ve görsel bir yaratıcı cesaret metaforu.</x:v>
      </x:c>
      <x:c r="V82" s="46" t="str">
        <x:f>IF(Q82&lt;=3,"Kaynak kontrolü şart",IF(Q82=4,"Kaynak kontrolü önerilir","Standart doğrulama"))</x:f>
        <x:v>Standart doğrulama</x:v>
      </x:c>
    </x:row>
    <x:row r="83" ht="24" customHeight="1">
      <x:c r="A83" s="48" t="n">
        <x:f>COUNTIF($R$2:$R$751,"&gt;"&amp;R83)+COUNTIF($R$2:R83,R83)</x:f>
        <x:v>82</x:v>
      </x:c>
      <x:c r="B83" s="48" t="n">
        <x:v>1425</x:v>
      </x:c>
      <x:c r="C83" s="46" t="str">
        <x:v>Düşünceler gerçek değildir</x:v>
      </x:c>
      <x:c r="D83" s="34" t="str">
        <x:v>Psikoloji</x:v>
      </x:c>
      <x:c r="E83" s="34" t="str">
        <x:v>Farkındalık</x:v>
      </x:c>
      <x:c r="F83" s="34" t="str">
        <x:v>Mindfulness</x:v>
      </x:c>
      <x:c r="G83" s="34" t="str">
        <x:v>Jon Kabat-Zinn</x:v>
      </x:c>
      <x:c r="H83" s="50" t="str">
        <x:v>1</x:v>
      </x:c>
      <x:c r="I83" s="50" t="str">
        <x:v>Temel</x:v>
      </x:c>
      <x:c r="J83" s="51" t="n">
        <x:v>13</x:v>
      </x:c>
      <x:c r="K83" s="51" t="n">
        <x:v>8</x:v>
      </x:c>
      <x:c r="L83" s="51" t="n">
        <x:v>12</x:v>
      </x:c>
      <x:c r="M83" s="51" t="n">
        <x:v>14</x:v>
      </x:c>
      <x:c r="N83" s="51" t="n">
        <x:v>10</x:v>
      </x:c>
      <x:c r="O83" s="51" t="n">
        <x:v>8</x:v>
      </x:c>
      <x:c r="P83" s="51" t="n">
        <x:v>16</x:v>
      </x:c>
      <x:c r="Q83" s="51" t="n">
        <x:v>5</x:v>
      </x:c>
      <x:c r="R83" s="52" t="n">
        <x:f>SUM(J83:Q83)</x:f>
        <x:v>86</x:v>
      </x:c>
      <x:c r="S83" s="50" t="str">
        <x:f>IF(R83&gt;='Rubrik'!$B$17,"Öncelikli video",IF(R83&gt;='Rubrik'!$B$18,"Video kuyruğu",IF(R83&gt;='Rubrik'!$B$19,"Revize et",IF(R83&gt;='Rubrik'!$B$20,"Kartla test","Düşük öncelik"))))</x:f>
        <x:v>Video kuyruğu</x:v>
      </x:c>
      <x:c r="T83" s="50" t="str">
        <x:f>IF(AND(R83&gt;=85,P83&gt;=16,M83&gt;=12,L83&gt;=12),"Reel + Carousel",IF(AND(R83&gt;=85,P83&gt;=16,N83&gt;=8),"Soru odaklı Reel",IF(AND(R83&gt;=85,P83&gt;=16),"Reel / Short",IF(M83&gt;=11,"Carousel","Kart testi"))))</x:f>
        <x:v>Reel + Carousel</x:v>
      </x:c>
      <x:c r="U83" s="46" t="str">
        <x:v>“Bu gerçek mi, düşünce mi?” ayrımı duygusal, uygulanabilir ve klinik çerçevesi ölçülü bir içgörü sunuyor.</x:v>
      </x:c>
      <x:c r="V83" s="46" t="str">
        <x:f>IF(Q83&lt;=3,"Kaynak kontrolü şart",IF(Q83=4,"Kaynak kontrolü önerilir","Standart doğrulama"))</x:f>
        <x:v>Standart doğrulama</x:v>
      </x:c>
    </x:row>
    <x:row r="84" ht="24" customHeight="1">
      <x:c r="A84" s="48" t="n">
        <x:f>COUNTIF($R$2:$R$751,"&gt;"&amp;R84)+COUNTIF($R$2:R84,R84)</x:f>
        <x:v>83</x:v>
      </x:c>
      <x:c r="B84" s="48" t="n">
        <x:v>1804</x:v>
      </x:c>
      <x:c r="C84" s="46" t="str">
        <x:v>Sekiz Mikserlik Sinyal</x:v>
      </x:c>
      <x:c r="D84" s="34" t="str">
        <x:v>Liderlik</x:v>
      </x:c>
      <x:c r="E84" s="34" t="str">
        <x:v>Liderlik</x:v>
      </x:c>
      <x:c r="F84" s="34" t="str">
        <x:v>Grinding It Out</x:v>
      </x:c>
      <x:c r="G84" s="34" t="str">
        <x:v>Ray Kroc</x:v>
      </x:c>
      <x:c r="H84" s="50" t="str">
        <x:v>C2</x:v>
      </x:c>
      <x:c r="I84" s="50" t="str">
        <x:v>Zengin</x:v>
      </x:c>
      <x:c r="J84" s="51" t="n">
        <x:v>13</x:v>
      </x:c>
      <x:c r="K84" s="51" t="n">
        <x:v>6</x:v>
      </x:c>
      <x:c r="L84" s="51" t="n">
        <x:v>14</x:v>
      </x:c>
      <x:c r="M84" s="51" t="n">
        <x:v>11</x:v>
      </x:c>
      <x:c r="N84" s="51" t="n">
        <x:v>9</x:v>
      </x:c>
      <x:c r="O84" s="51" t="n">
        <x:v>9</x:v>
      </x:c>
      <x:c r="P84" s="51" t="n">
        <x:v>19</x:v>
      </x:c>
      <x:c r="Q84" s="51" t="n">
        <x:v>4</x:v>
      </x:c>
      <x:c r="R84" s="52" t="n">
        <x:f>SUM(J84:Q84)</x:f>
        <x:v>85</x:v>
      </x:c>
      <x:c r="S84" s="50" t="str">
        <x:f>IF(R84&gt;='Rubrik'!$B$17,"Öncelikli video",IF(R84&gt;='Rubrik'!$B$18,"Video kuyruğu",IF(R84&gt;='Rubrik'!$B$19,"Revize et",IF(R84&gt;='Rubrik'!$B$20,"Kartla test","Düşük öncelik"))))</x:f>
        <x:v>Video kuyruğu</x:v>
      </x:c>
      <x:c r="T84" s="50" t="str">
        <x:f>IF(AND(R84&gt;=85,P84&gt;=16,M84&gt;=12,L84&gt;=12),"Reel + Carousel",IF(AND(R84&gt;=85,P84&gt;=16,N84&gt;=8),"Soru odaklı Reel",IF(AND(R84&gt;=85,P84&gt;=16),"Reel / Short",IF(M84&gt;=11,"Carousel","Kart testi"))))</x:f>
        <x:v>Soru odaklı Reel</x:v>
      </x:c>
      <x:c r="U84" s="46" t="str">
        <x:v>Duygusal karşıtlık paylaşma ve kişisel anlatma isteğini yükseltiyor; ilk saniye etkisi yeterli.</x:v>
      </x:c>
      <x:c r="V84" s="46" t="str">
        <x:f>IF(Q84&lt;=3,"Kaynak kontrolü şart",IF(Q84=4,"Kaynak kontrolü önerilir","Standart doğrulama"))</x:f>
        <x:v>Kaynak kontrolü önerilir</x:v>
      </x:c>
    </x:row>
    <x:row r="85" ht="24" customHeight="1">
      <x:c r="A85" s="48" t="n">
        <x:f>COUNTIF($R$2:$R$751,"&gt;"&amp;R85)+COUNTIF($R$2:R85,R85)</x:f>
        <x:v>84</x:v>
      </x:c>
      <x:c r="B85" s="48" t="n">
        <x:v>1759</x:v>
      </x:c>
      <x:c r="C85" s="46" t="str">
        <x:v>Ölmeyi Reddeden Hücreler</x:v>
      </x:c>
      <x:c r="D85" s="34" t="str">
        <x:v>Psikoloji</x:v>
      </x:c>
      <x:c r="E85" s="34" t="str">
        <x:v>Psikoloji</x:v>
      </x:c>
      <x:c r="F85" s="34" t="str">
        <x:v>The Immortal Life of Henrietta Lacks</x:v>
      </x:c>
      <x:c r="G85" s="34" t="str">
        <x:v>Rebecca Skloot</x:v>
      </x:c>
      <x:c r="H85" s="50" t="str">
        <x:v>2</x:v>
      </x:c>
      <x:c r="I85" s="50" t="str">
        <x:v>Zengin</x:v>
      </x:c>
      <x:c r="J85" s="51" t="n">
        <x:v>14</x:v>
      </x:c>
      <x:c r="K85" s="51" t="n">
        <x:v>10</x:v>
      </x:c>
      <x:c r="L85" s="51" t="n">
        <x:v>14</x:v>
      </x:c>
      <x:c r="M85" s="51" t="n">
        <x:v>9</x:v>
      </x:c>
      <x:c r="N85" s="51" t="n">
        <x:v>8</x:v>
      </x:c>
      <x:c r="O85" s="51" t="n">
        <x:v>9</x:v>
      </x:c>
      <x:c r="P85" s="51" t="n">
        <x:v>18</x:v>
      </x:c>
      <x:c r="Q85" s="51" t="n">
        <x:v>3</x:v>
      </x:c>
      <x:c r="R85" s="52" t="n">
        <x:f>SUM(J85:Q85)</x:f>
        <x:v>85</x:v>
      </x:c>
      <x:c r="S85" s="50" t="str">
        <x:f>IF(R85&gt;='Rubrik'!$B$17,"Öncelikli video",IF(R85&gt;='Rubrik'!$B$18,"Video kuyruğu",IF(R85&gt;='Rubrik'!$B$19,"Revize et",IF(R85&gt;='Rubrik'!$B$20,"Kartla test","Düşük öncelik"))))</x:f>
        <x:v>Video kuyruğu</x:v>
      </x:c>
      <x:c r="T85" s="50" t="str">
        <x:f>IF(AND(R85&gt;=85,P85&gt;=16,M85&gt;=12,L85&gt;=12),"Reel + Carousel",IF(AND(R85&gt;=85,P85&gt;=16,N85&gt;=8),"Soru odaklı Reel",IF(AND(R85&gt;=85,P85&gt;=16),"Reel / Short",IF(M85&gt;=11,"Carousel","Kart testi"))))</x:f>
        <x:v>Soru odaklı Reel</x:v>
      </x:c>
      <x:c r="U85" s="46" t="str">
        <x:v>Somut sahne ve sayısal ayrıntı güçlü bir video açılışı sağlıyor; görselleştirme yeterli.</x:v>
      </x:c>
      <x:c r="V85" s="46" t="str">
        <x:f>IF(Q85&lt;=3,"Kaynak kontrolü şart",IF(Q85=4,"Kaynak kontrolü önerilir","Standart doğrulama"))</x:f>
        <x:v>Kaynak kontrolü şart</x:v>
      </x:c>
    </x:row>
    <x:row r="86" ht="24" customHeight="1">
      <x:c r="A86" s="48" t="n">
        <x:f>COUNTIF($R$2:$R$751,"&gt;"&amp;R86)+COUNTIF($R$2:R86,R86)</x:f>
        <x:v>85</x:v>
      </x:c>
      <x:c r="B86" s="48" t="n">
        <x:v>1402</x:v>
      </x:c>
      <x:c r="C86" s="46" t="str">
        <x:v>Hush Puppies'in gizemli dirilişi</x:v>
      </x:c>
      <x:c r="D86" s="34" t="str">
        <x:v>Felsefe</x:v>
      </x:c>
      <x:c r="E86" s="34" t="str">
        <x:v>Sosyoloji</x:v>
      </x:c>
      <x:c r="F86" s="34" t="str">
        <x:v>Devrilme Noktası</x:v>
      </x:c>
      <x:c r="G86" s="34" t="str">
        <x:v>Malcolm Gladwell</x:v>
      </x:c>
      <x:c r="H86" s="50" t="str">
        <x:v>1</x:v>
      </x:c>
      <x:c r="I86" s="50" t="str">
        <x:v>Temel</x:v>
      </x:c>
      <x:c r="J86" s="51" t="n">
        <x:v>14</x:v>
      </x:c>
      <x:c r="K86" s="51" t="n">
        <x:v>7</x:v>
      </x:c>
      <x:c r="L86" s="51" t="n">
        <x:v>13</x:v>
      </x:c>
      <x:c r="M86" s="51" t="n">
        <x:v>12</x:v>
      </x:c>
      <x:c r="N86" s="51" t="n">
        <x:v>9</x:v>
      </x:c>
      <x:c r="O86" s="51" t="n">
        <x:v>9</x:v>
      </x:c>
      <x:c r="P86" s="51" t="n">
        <x:v>18</x:v>
      </x:c>
      <x:c r="Q86" s="51" t="n">
        <x:v>3</x:v>
      </x:c>
      <x:c r="R86" s="52" t="n">
        <x:f>SUM(J86:Q86)</x:f>
        <x:v>85</x:v>
      </x:c>
      <x:c r="S86" s="50" t="str">
        <x:f>IF(R86&gt;='Rubrik'!$B$17,"Öncelikli video",IF(R86&gt;='Rubrik'!$B$18,"Video kuyruğu",IF(R86&gt;='Rubrik'!$B$19,"Revize et",IF(R86&gt;='Rubrik'!$B$20,"Kartla test","Düşük öncelik"))))</x:f>
        <x:v>Video kuyruğu</x:v>
      </x:c>
      <x:c r="T86" s="50" t="str">
        <x:f>IF(AND(R86&gt;=85,P86&gt;=16,M86&gt;=12,L86&gt;=12),"Reel + Carousel",IF(AND(R86&gt;=85,P86&gt;=16,N86&gt;=8),"Soru odaklı Reel",IF(AND(R86&gt;=85,P86&gt;=16),"Reel / Short",IF(M86&gt;=11,"Carousel","Kart testi"))))</x:f>
        <x:v>Reel + Carousel</x:v>
      </x:c>
      <x:c r="U86" s="46" t="str">
        <x:v>Ölmekte olan ayakkabının reklamsız patlaması güçlü sosyal salgın öyküsü; satış rakamları teyit edilmeli.</x:v>
      </x:c>
      <x:c r="V86" s="46" t="str">
        <x:f>IF(Q86&lt;=3,"Kaynak kontrolü şart",IF(Q86=4,"Kaynak kontrolü önerilir","Standart doğrulama"))</x:f>
        <x:v>Kaynak kontrolü şart</x:v>
      </x:c>
    </x:row>
    <x:row r="87" ht="24" customHeight="1">
      <x:c r="A87" s="48" t="n">
        <x:f>COUNTIF($R$2:$R$751,"&gt;"&amp;R87)+COUNTIF($R$2:R87,R87)</x:f>
        <x:v>86</x:v>
      </x:c>
      <x:c r="B87" s="48" t="n">
        <x:v>1710</x:v>
      </x:c>
      <x:c r="C87" s="46" t="str">
        <x:v>Dokuz İşçi Sınıfı Genci Berlin’de Tarihe Nasıl Dokundu?</x:v>
      </x:c>
      <x:c r="D87" s="34" t="str">
        <x:v>Tarih</x:v>
      </x:c>
      <x:c r="E87" s="34" t="str">
        <x:v>Tarih</x:v>
      </x:c>
      <x:c r="F87" s="34" t="str">
        <x:v>The Boys in the Boat</x:v>
      </x:c>
      <x:c r="G87" s="34" t="str">
        <x:v>Daniel James Brown</x:v>
      </x:c>
      <x:c r="H87" s="50" t="str">
        <x:v>2</x:v>
      </x:c>
      <x:c r="I87" s="50" t="str">
        <x:v>Zengin</x:v>
      </x:c>
      <x:c r="J87" s="51" t="n">
        <x:v>13</x:v>
      </x:c>
      <x:c r="K87" s="51" t="n">
        <x:v>9</x:v>
      </x:c>
      <x:c r="L87" s="51" t="n">
        <x:v>13</x:v>
      </x:c>
      <x:c r="M87" s="51" t="n">
        <x:v>12</x:v>
      </x:c>
      <x:c r="N87" s="51" t="n">
        <x:v>8</x:v>
      </x:c>
      <x:c r="O87" s="51" t="n">
        <x:v>9</x:v>
      </x:c>
      <x:c r="P87" s="51" t="n">
        <x:v>18</x:v>
      </x:c>
      <x:c r="Q87" s="51" t="n">
        <x:v>3</x:v>
      </x:c>
      <x:c r="R87" s="52" t="n">
        <x:f>SUM(J87:Q87)</x:f>
        <x:v>85</x:v>
      </x:c>
      <x:c r="S87" s="50" t="str">
        <x:f>IF(R87&gt;='Rubrik'!$B$17,"Öncelikli video",IF(R87&gt;='Rubrik'!$B$18,"Video kuyruğu",IF(R87&gt;='Rubrik'!$B$19,"Revize et",IF(R87&gt;='Rubrik'!$B$20,"Kartla test","Düşük öncelik"))))</x:f>
        <x:v>Video kuyruğu</x:v>
      </x:c>
      <x:c r="T87" s="50" t="str">
        <x:f>IF(AND(R87&gt;=85,P87&gt;=16,M87&gt;=12,L87&gt;=12),"Reel + Carousel",IF(AND(R87&gt;=85,P87&gt;=16,N87&gt;=8),"Soru odaklı Reel",IF(AND(R87&gt;=85,P87&gt;=16),"Reel / Short",IF(M87&gt;=11,"Carousel","Kart testi"))))</x:f>
        <x:v>Reel + Carousel</x:v>
      </x:c>
      <x:c r="U87" s="46" t="str">
        <x:v>Somut sahne ve sayısal ayrıntı güçlü bir video açılışı sağlıyor; paylaşılabilirlik yeterli.</x:v>
      </x:c>
      <x:c r="V87" s="46" t="str">
        <x:f>IF(Q87&lt;=3,"Kaynak kontrolü şart",IF(Q87=4,"Kaynak kontrolü önerilir","Standart doğrulama"))</x:f>
        <x:v>Kaynak kontrolü şart</x:v>
      </x:c>
    </x:row>
    <x:row r="88" ht="24" customHeight="1">
      <x:c r="A88" s="48" t="n">
        <x:f>COUNTIF($R$2:$R$751,"&gt;"&amp;R88)+COUNTIF($R$2:R88,R88)</x:f>
        <x:v>87</x:v>
      </x:c>
      <x:c r="B88" s="48" t="n">
        <x:v>1279</x:v>
      </x:c>
      <x:c r="C88" s="46" t="str">
        <x:v>Zırh kuşanmak ve yalnızlık</x:v>
      </x:c>
      <x:c r="D88" s="34" t="str">
        <x:v>Liderlik</x:v>
      </x:c>
      <x:c r="E88" s="34" t="str">
        <x:v>Liderlik</x:v>
      </x:c>
      <x:c r="F88" s="34" t="str">
        <x:v>Karanlığın Ötesi</x:v>
      </x:c>
      <x:c r="G88" s="34" t="str">
        <x:v>Brené Brown</x:v>
      </x:c>
      <x:c r="H88" s="50" t="str">
        <x:v>1</x:v>
      </x:c>
      <x:c r="I88" s="50" t="str">
        <x:v>Temel</x:v>
      </x:c>
      <x:c r="J88" s="51" t="n">
        <x:v>14</x:v>
      </x:c>
      <x:c r="K88" s="51" t="n">
        <x:v>8</x:v>
      </x:c>
      <x:c r="L88" s="51" t="n">
        <x:v>13</x:v>
      </x:c>
      <x:c r="M88" s="51" t="n">
        <x:v>12</x:v>
      </x:c>
      <x:c r="N88" s="51" t="n">
        <x:v>9</x:v>
      </x:c>
      <x:c r="O88" s="51" t="n">
        <x:v>9</x:v>
      </x:c>
      <x:c r="P88" s="51" t="n">
        <x:v>17</x:v>
      </x:c>
      <x:c r="Q88" s="51" t="n">
        <x:v>3</x:v>
      </x:c>
      <x:c r="R88" s="52" t="n">
        <x:f>SUM(J88:Q88)</x:f>
        <x:v>85</x:v>
      </x:c>
      <x:c r="S88" s="50" t="str">
        <x:f>IF(R88&gt;='Rubrik'!$B$17,"Öncelikli video",IF(R88&gt;='Rubrik'!$B$18,"Video kuyruğu",IF(R88&gt;='Rubrik'!$B$19,"Revize et",IF(R88&gt;='Rubrik'!$B$20,"Kartla test","Düşük öncelik"))))</x:f>
        <x:v>Video kuyruğu</x:v>
      </x:c>
      <x:c r="T88" s="50" t="str">
        <x:f>IF(AND(R88&gt;=85,P88&gt;=16,M88&gt;=12,L88&gt;=12),"Reel + Carousel",IF(AND(R88&gt;=85,P88&gt;=16,N88&gt;=8),"Soru odaklı Reel",IF(AND(R88&gt;=85,P88&gt;=16),"Reel / Short",IF(M88&gt;=11,"Carousel","Kart testi"))))</x:f>
        <x:v>Reel + Carousel</x:v>
      </x:c>
      <x:c r="U88" s="46" t="str">
        <x:v>CEO’nun sessizliği ve Brown’ın karşı sorusu kusursuz bir açılış-dönüş kuruyor; görüşmenin kaynağı belirtilmeli.</x:v>
      </x:c>
      <x:c r="V88" s="46" t="str">
        <x:f>IF(Q88&lt;=3,"Kaynak kontrolü şart",IF(Q88=4,"Kaynak kontrolü önerilir","Standart doğrulama"))</x:f>
        <x:v>Kaynak kontrolü şart</x:v>
      </x:c>
    </x:row>
    <x:row r="89" ht="24" customHeight="1">
      <x:c r="A89" s="48" t="n">
        <x:f>COUNTIF($R$2:$R$751,"&gt;"&amp;R89)+COUNTIF($R$2:R89,R89)</x:f>
        <x:v>88</x:v>
      </x:c>
      <x:c r="B89" s="48" t="n">
        <x:v>1370</x:v>
      </x:c>
      <x:c r="C89" s="46" t="str">
        <x:v>Hayır'ın gücü</x:v>
      </x:c>
      <x:c r="D89" s="34" t="str">
        <x:v>İletişim</x:v>
      </x:c>
      <x:c r="E89" s="34" t="str">
        <x:v>Müzakere</x:v>
      </x:c>
      <x:c r="F89" s="34" t="str">
        <x:v>İnsanı Anlamak</x:v>
      </x:c>
      <x:c r="G89" s="34" t="str">
        <x:v>Chris Voss</x:v>
      </x:c>
      <x:c r="H89" s="50" t="str">
        <x:v>1</x:v>
      </x:c>
      <x:c r="I89" s="50" t="str">
        <x:v>Temel</x:v>
      </x:c>
      <x:c r="J89" s="51" t="n">
        <x:v>13</x:v>
      </x:c>
      <x:c r="K89" s="51" t="n">
        <x:v>7</x:v>
      </x:c>
      <x:c r="L89" s="51" t="n">
        <x:v>13</x:v>
      </x:c>
      <x:c r="M89" s="51" t="n">
        <x:v>14</x:v>
      </x:c>
      <x:c r="N89" s="51" t="n">
        <x:v>9</x:v>
      </x:c>
      <x:c r="O89" s="51" t="n">
        <x:v>8</x:v>
      </x:c>
      <x:c r="P89" s="51" t="n">
        <x:v>17</x:v>
      </x:c>
      <x:c r="Q89" s="51" t="n">
        <x:v>4</x:v>
      </x:c>
      <x:c r="R89" s="52" t="n">
        <x:f>SUM(J89:Q89)</x:f>
        <x:v>85</x:v>
      </x:c>
      <x:c r="S89" s="50" t="str">
        <x:f>IF(R89&gt;='Rubrik'!$B$17,"Öncelikli video",IF(R89&gt;='Rubrik'!$B$18,"Video kuyruğu",IF(R89&gt;='Rubrik'!$B$19,"Revize et",IF(R89&gt;='Rubrik'!$B$20,"Kartla test","Düşük öncelik"))))</x:f>
        <x:v>Video kuyruğu</x:v>
      </x:c>
      <x:c r="T89" s="50" t="str">
        <x:f>IF(AND(R89&gt;=85,P89&gt;=16,M89&gt;=12,L89&gt;=12),"Reel + Carousel",IF(AND(R89&gt;=85,P89&gt;=16,N89&gt;=8),"Soru odaklı Reel",IF(AND(R89&gt;=85,P89&gt;=16),"Reel / Short",IF(M89&gt;=11,"Carousel","Kart testi"))))</x:f>
        <x:v>Reel + Carousel</x:v>
      </x:c>
      <x:c r="U89" s="46" t="str">
        <x:v>“Evet değil hayır” önerisi güçlü bir ters köşe; iki örnek tekniği hemen denenebilir hale getiriyor.</x:v>
      </x:c>
      <x:c r="V89" s="46" t="str">
        <x:f>IF(Q89&lt;=3,"Kaynak kontrolü şart",IF(Q89=4,"Kaynak kontrolü önerilir","Standart doğrulama"))</x:f>
        <x:v>Kaynak kontrolü önerilir</x:v>
      </x:c>
    </x:row>
    <x:row r="90" ht="24" customHeight="1">
      <x:c r="A90" s="48" t="n">
        <x:f>COUNTIF($R$2:$R$751,"&gt;"&amp;R90)+COUNTIF($R$2:R90,R90)</x:f>
        <x:v>89</x:v>
      </x:c>
      <x:c r="B90" s="48" t="n">
        <x:v>1764</x:v>
      </x:c>
      <x:c r="C90" s="46" t="str">
        <x:v>Zehirin Cezasız Kaldığı Çağ</x:v>
      </x:c>
      <x:c r="D90" s="34" t="str">
        <x:v>Psikoloji</x:v>
      </x:c>
      <x:c r="E90" s="34" t="str">
        <x:v>Psikoloji</x:v>
      </x:c>
      <x:c r="F90" s="34" t="str">
        <x:v>The Poisoner's Handbook</x:v>
      </x:c>
      <x:c r="G90" s="34" t="str">
        <x:v>Deborah Blum</x:v>
      </x:c>
      <x:c r="H90" s="50" t="str">
        <x:v>2</x:v>
      </x:c>
      <x:c r="I90" s="50" t="str">
        <x:v>Zengin</x:v>
      </x:c>
      <x:c r="J90" s="51" t="n">
        <x:v>13</x:v>
      </x:c>
      <x:c r="K90" s="51" t="n">
        <x:v>9</x:v>
      </x:c>
      <x:c r="L90" s="51" t="n">
        <x:v>13</x:v>
      </x:c>
      <x:c r="M90" s="51" t="n">
        <x:v>12</x:v>
      </x:c>
      <x:c r="N90" s="51" t="n">
        <x:v>8</x:v>
      </x:c>
      <x:c r="O90" s="51" t="n">
        <x:v>8</x:v>
      </x:c>
      <x:c r="P90" s="51" t="n">
        <x:v>17</x:v>
      </x:c>
      <x:c r="Q90" s="51" t="n">
        <x:v>5</x:v>
      </x:c>
      <x:c r="R90" s="52" t="n">
        <x:f>SUM(J90:Q90)</x:f>
        <x:v>85</x:v>
      </x:c>
      <x:c r="S90" s="50" t="str">
        <x:f>IF(R90&gt;='Rubrik'!$B$17,"Öncelikli video",IF(R90&gt;='Rubrik'!$B$18,"Video kuyruğu",IF(R90&gt;='Rubrik'!$B$19,"Revize et",IF(R90&gt;='Rubrik'!$B$20,"Kartla test","Düşük öncelik"))))</x:f>
        <x:v>Video kuyruğu</x:v>
      </x:c>
      <x:c r="T90" s="50" t="str">
        <x:f>IF(AND(R90&gt;=85,P90&gt;=16,M90&gt;=12,L90&gt;=12),"Reel + Carousel",IF(AND(R90&gt;=85,P90&gt;=16,N90&gt;=8),"Soru odaklı Reel",IF(AND(R90&gt;=85,P90&gt;=16),"Reel / Short",IF(M90&gt;=11,"Carousel","Kart testi"))))</x:f>
        <x:v>Reel + Carousel</x:v>
      </x:c>
      <x:c r="U90" s="46" t="str">
        <x:v>Somut sahne ve sayısal ayrıntı güçlü bir video açılışı sağlıyor; olay örgüsü yeterli.</x:v>
      </x:c>
      <x:c r="V90" s="46" t="str">
        <x:f>IF(Q90&lt;=3,"Kaynak kontrolü şart",IF(Q90=4,"Kaynak kontrolü önerilir","Standart doğrulama"))</x:f>
        <x:v>Standart doğrulama</x:v>
      </x:c>
    </x:row>
    <x:row r="91" ht="24" customHeight="1">
      <x:c r="A91" s="48" t="n">
        <x:f>COUNTIF($R$2:$R$751,"&gt;"&amp;R91)+COUNTIF($R$2:R91,R91)</x:f>
        <x:v>90</x:v>
      </x:c>
      <x:c r="B91" s="48" t="n">
        <x:v>1191</x:v>
      </x:c>
      <x:c r="C91" s="46" t="str">
        <x:v>Howard Hughes'un çöküşü</x:v>
      </x:c>
      <x:c r="D91" s="34" t="str">
        <x:v>Felsefe</x:v>
      </x:c>
      <x:c r="E91" s="34" t="str">
        <x:v>Felsefe</x:v>
      </x:c>
      <x:c r="F91" s="34" t="str">
        <x:v>Ego Is the Enemy</x:v>
      </x:c>
      <x:c r="G91" s="34" t="str">
        <x:v>Ryan Holiday</x:v>
      </x:c>
      <x:c r="H91" s="50" t="str">
        <x:v>1</x:v>
      </x:c>
      <x:c r="I91" s="50" t="str">
        <x:v>Temel</x:v>
      </x:c>
      <x:c r="J91" s="51" t="n">
        <x:v>15</x:v>
      </x:c>
      <x:c r="K91" s="51" t="n">
        <x:v>9</x:v>
      </x:c>
      <x:c r="L91" s="51" t="n">
        <x:v>12</x:v>
      </x:c>
      <x:c r="M91" s="51" t="n">
        <x:v>11</x:v>
      </x:c>
      <x:c r="N91" s="51" t="n">
        <x:v>9</x:v>
      </x:c>
      <x:c r="O91" s="51" t="n">
        <x:v>8</x:v>
      </x:c>
      <x:c r="P91" s="51" t="n">
        <x:v>17</x:v>
      </x:c>
      <x:c r="Q91" s="51" t="n">
        <x:v>4</x:v>
      </x:c>
      <x:c r="R91" s="52" t="n">
        <x:f>SUM(J91:Q91)</x:f>
        <x:v>85</x:v>
      </x:c>
      <x:c r="S91" s="50" t="str">
        <x:f>IF(R91&gt;='Rubrik'!$B$17,"Öncelikli video",IF(R91&gt;='Rubrik'!$B$18,"Video kuyruğu",IF(R91&gt;='Rubrik'!$B$19,"Revize et",IF(R91&gt;='Rubrik'!$B$20,"Kartla test","Düşük öncelik"))))</x:f>
        <x:v>Video kuyruğu</x:v>
      </x:c>
      <x:c r="T91" s="50" t="str">
        <x:f>IF(AND(R91&gt;=85,P91&gt;=16,M91&gt;=12,L91&gt;=12),"Reel + Carousel",IF(AND(R91&gt;=85,P91&gt;=16,N91&gt;=8),"Soru odaklı Reel",IF(AND(R91&gt;=85,P91&gt;=16),"Reel / Short",IF(M91&gt;=11,"Carousel","Kart testi"))))</x:f>
        <x:v>Soru odaklı Reel</x:v>
      </x:c>
      <x:c r="U91" s="46" t="str">
        <x:v>Milyarder mucitten karanlık otel odasına düşüş güçlü, görsel ve paylaşılabilir bir trajik yay kuruyor.</x:v>
      </x:c>
      <x:c r="V91" s="46" t="str">
        <x:f>IF(Q91&lt;=3,"Kaynak kontrolü şart",IF(Q91=4,"Kaynak kontrolü önerilir","Standart doğrulama"))</x:f>
        <x:v>Kaynak kontrolü önerilir</x:v>
      </x:c>
    </x:row>
    <x:row r="92" ht="24" customHeight="1">
      <x:c r="A92" s="48" t="n">
        <x:f>COUNTIF($R$2:$R$751,"&gt;"&amp;R92)+COUNTIF($R$2:R92,R92)</x:f>
        <x:v>91</x:v>
      </x:c>
      <x:c r="B92" s="48" t="n">
        <x:v>1312</x:v>
      </x:c>
      <x:c r="C92" s="46" t="str">
        <x:v>Pasta dükkanı sahibinin hatası</x:v>
      </x:c>
      <x:c r="D92" s="34" t="str">
        <x:v>Verimlilik</x:v>
      </x:c>
      <x:c r="E92" s="34" t="str">
        <x:v>Girişimcilik</x:v>
      </x:c>
      <x:c r="F92" s="34" t="str">
        <x:v>İşin Özü</x:v>
      </x:c>
      <x:c r="G92" s="34" t="str">
        <x:v>Michael Gerber</x:v>
      </x:c>
      <x:c r="H92" s="50" t="str">
        <x:v>1</x:v>
      </x:c>
      <x:c r="I92" s="50" t="str">
        <x:v>Temel</x:v>
      </x:c>
      <x:c r="J92" s="51" t="n">
        <x:v>14</x:v>
      </x:c>
      <x:c r="K92" s="51" t="n">
        <x:v>7</x:v>
      </x:c>
      <x:c r="L92" s="51" t="n">
        <x:v>12</x:v>
      </x:c>
      <x:c r="M92" s="51" t="n">
        <x:v>14</x:v>
      </x:c>
      <x:c r="N92" s="51" t="n">
        <x:v>9</x:v>
      </x:c>
      <x:c r="O92" s="51" t="n">
        <x:v>9</x:v>
      </x:c>
      <x:c r="P92" s="51" t="n">
        <x:v>17</x:v>
      </x:c>
      <x:c r="Q92" s="51" t="n">
        <x:v>3</x:v>
      </x:c>
      <x:c r="R92" s="52" t="n">
        <x:f>SUM(J92:Q92)</x:f>
        <x:v>85</x:v>
      </x:c>
      <x:c r="S92" s="50" t="str">
        <x:f>IF(R92&gt;='Rubrik'!$B$17,"Öncelikli video",IF(R92&gt;='Rubrik'!$B$18,"Video kuyruğu",IF(R92&gt;='Rubrik'!$B$19,"Revize et",IF(R92&gt;='Rubrik'!$B$20,"Kartla test","Düşük öncelik"))))</x:f>
        <x:v>Video kuyruğu</x:v>
      </x:c>
      <x:c r="T92" s="50" t="str">
        <x:f>IF(AND(R92&gt;=85,P92&gt;=16,M92&gt;=12,L92&gt;=12),"Reel + Carousel",IF(AND(R92&gt;=85,P92&gt;=16,N92&gt;=8),"Soru odaklı Reel",IF(AND(R92&gt;=85,P92&gt;=16),"Reel / Short",IF(M92&gt;=11,"Carousel","Kart testi"))))</x:f>
        <x:v>Reel + Carousel</x:v>
      </x:c>
      <x:c r="U92" s="46" t="str">
        <x:v>Pasta ustasının iş yönetimine gömülmesi tanıdık ve güçlü bir dönüş; isim/cinsiyet hatası düzeltilmeli.</x:v>
      </x:c>
      <x:c r="V92" s="46" t="str">
        <x:f>IF(Q92&lt;=3,"Kaynak kontrolü şart",IF(Q92=4,"Kaynak kontrolü önerilir","Standart doğrulama"))</x:f>
        <x:v>Kaynak kontrolü şart</x:v>
      </x:c>
    </x:row>
    <x:row r="93" ht="24" customHeight="1">
      <x:c r="A93" s="48" t="n">
        <x:f>COUNTIF($R$2:$R$751,"&gt;"&amp;R93)+COUNTIF($R$2:R93,R93)</x:f>
        <x:v>92</x:v>
      </x:c>
      <x:c r="B93" s="48" t="n">
        <x:v>1125</x:v>
      </x:c>
      <x:c r="C93" s="46" t="str">
        <x:v>Neden liderler en son yer?</x:v>
      </x:c>
      <x:c r="D93" s="34" t="str">
        <x:v>Liderlik</x:v>
      </x:c>
      <x:c r="E93" s="34" t="str">
        <x:v>Liderlik</x:v>
      </x:c>
      <x:c r="F93" s="34" t="str">
        <x:v>Liderlik Sanatı</x:v>
      </x:c>
      <x:c r="G93" s="34" t="str">
        <x:v>Simon Sinek</x:v>
      </x:c>
      <x:c r="H93" s="50" t="str">
        <x:v>1</x:v>
      </x:c>
      <x:c r="I93" s="50" t="str">
        <x:v>Temel</x:v>
      </x:c>
      <x:c r="J93" s="51" t="n">
        <x:v>14</x:v>
      </x:c>
      <x:c r="K93" s="51" t="n">
        <x:v>9</x:v>
      </x:c>
      <x:c r="L93" s="51" t="n">
        <x:v>12</x:v>
      </x:c>
      <x:c r="M93" s="51" t="n">
        <x:v>13</x:v>
      </x:c>
      <x:c r="N93" s="51" t="n">
        <x:v>10</x:v>
      </x:c>
      <x:c r="O93" s="51" t="n">
        <x:v>7</x:v>
      </x:c>
      <x:c r="P93" s="51" t="n">
        <x:v>16</x:v>
      </x:c>
      <x:c r="Q93" s="51" t="n">
        <x:v>4</x:v>
      </x:c>
      <x:c r="R93" s="52" t="n">
        <x:f>SUM(J93:Q93)</x:f>
        <x:v>85</x:v>
      </x:c>
      <x:c r="S93" s="50" t="str">
        <x:f>IF(R93&gt;='Rubrik'!$B$17,"Öncelikli video",IF(R93&gt;='Rubrik'!$B$18,"Video kuyruğu",IF(R93&gt;='Rubrik'!$B$19,"Revize et",IF(R93&gt;='Rubrik'!$B$20,"Kartla test","Düşük öncelik"))))</x:f>
        <x:v>Video kuyruğu</x:v>
      </x:c>
      <x:c r="T93" s="50" t="str">
        <x:f>IF(AND(R93&gt;=85,P93&gt;=16,M93&gt;=12,L93&gt;=12),"Reel + Carousel",IF(AND(R93&gt;=85,P93&gt;=16,N93&gt;=8),"Soru odaklı Reel",IF(AND(R93&gt;=85,P93&gt;=16),"Reel / Short",IF(M93&gt;=11,"Carousel","Kart testi"))))</x:f>
        <x:v>Reel + Carousel</x:v>
      </x:c>
      <x:c r="U93" s="46" t="str">
        <x:v>Son tabağı alan subay görüntüsü liderliği tek davranışta somutlaştırıyor ve güçlü sohbet açıyor.</x:v>
      </x:c>
      <x:c r="V93" s="46" t="str">
        <x:f>IF(Q93&lt;=3,"Kaynak kontrolü şart",IF(Q93=4,"Kaynak kontrolü önerilir","Standart doğrulama"))</x:f>
        <x:v>Kaynak kontrolü önerilir</x:v>
      </x:c>
    </x:row>
    <x:row r="94" ht="24" customHeight="1">
      <x:c r="A94" s="48" t="n">
        <x:f>COUNTIF($R$2:$R$751,"&gt;"&amp;R94)+COUNTIF($R$2:R94,R94)</x:f>
        <x:v>93</x:v>
      </x:c>
      <x:c r="B94" s="48" t="n">
        <x:v>1349</x:v>
      </x:c>
      <x:c r="C94" s="46" t="str">
        <x:v>Geri çağırma pratiği ve illüzyon bilgisi</x:v>
      </x:c>
      <x:c r="D94" s="34" t="str">
        <x:v>Felsefe</x:v>
      </x:c>
      <x:c r="E94" s="34" t="str">
        <x:v>Öğrenme</x:v>
      </x:c>
      <x:c r="F94" s="34" t="str">
        <x:v>Öğrenmeyi Öğrenmek</x:v>
      </x:c>
      <x:c r="G94" s="34" t="str">
        <x:v>Peter Brown</x:v>
      </x:c>
      <x:c r="H94" s="50" t="str">
        <x:v>1</x:v>
      </x:c>
      <x:c r="I94" s="50" t="str">
        <x:v>Temel</x:v>
      </x:c>
      <x:c r="J94" s="51" t="n">
        <x:v>13</x:v>
      </x:c>
      <x:c r="K94" s="51" t="n">
        <x:v>7</x:v>
      </x:c>
      <x:c r="L94" s="51" t="n">
        <x:v>12</x:v>
      </x:c>
      <x:c r="M94" s="51" t="n">
        <x:v>15</x:v>
      </x:c>
      <x:c r="N94" s="51" t="n">
        <x:v>9</x:v>
      </x:c>
      <x:c r="O94" s="51" t="n">
        <x:v>8</x:v>
      </x:c>
      <x:c r="P94" s="51" t="n">
        <x:v>16</x:v>
      </x:c>
      <x:c r="Q94" s="51" t="n">
        <x:v>5</x:v>
      </x:c>
      <x:c r="R94" s="52" t="n">
        <x:f>SUM(J94:Q94)</x:f>
        <x:v>85</x:v>
      </x:c>
      <x:c r="S94" s="50" t="str">
        <x:f>IF(R94&gt;='Rubrik'!$B$17,"Öncelikli video",IF(R94&gt;='Rubrik'!$B$18,"Video kuyruğu",IF(R94&gt;='Rubrik'!$B$19,"Revize et",IF(R94&gt;='Rubrik'!$B$20,"Kartla test","Düşük öncelik"))))</x:f>
        <x:v>Video kuyruğu</x:v>
      </x:c>
      <x:c r="T94" s="50" t="str">
        <x:f>IF(AND(R94&gt;=85,P94&gt;=16,M94&gt;=12,L94&gt;=12),"Reel + Carousel",IF(AND(R94&gt;=85,P94&gt;=16,N94&gt;=8),"Soru odaklı Reel",IF(AND(R94&gt;=85,P94&gt;=16),"Reel / Short",IF(M94&gt;=11,"Carousel","Kart testi"))))</x:f>
        <x:v>Reel + Carousel</x:v>
      </x:c>
      <x:c r="U94" s="46" t="str">
        <x:v>“Anlıyorum” yanılgısından kitap kapalı teste geçiş güçlü, kanıtlı ve hemen uygulanabilir bir öğrenme tekniği.</x:v>
      </x:c>
      <x:c r="V94" s="46" t="str">
        <x:f>IF(Q94&lt;=3,"Kaynak kontrolü şart",IF(Q94=4,"Kaynak kontrolü önerilir","Standart doğrulama"))</x:f>
        <x:v>Standart doğrulama</x:v>
      </x:c>
    </x:row>
    <x:row r="95" ht="24" customHeight="1">
      <x:c r="A95" s="48" t="n">
        <x:f>COUNTIF($R$2:$R$751,"&gt;"&amp;R95)+COUNTIF($R$2:R95,R95)</x:f>
        <x:v>94</x:v>
      </x:c>
      <x:c r="B95" s="48" t="n">
        <x:v>1781</x:v>
      </x:c>
      <x:c r="C95" s="46" t="str">
        <x:v>Kanla Kurulan Bir Yalan</x:v>
      </x:c>
      <x:c r="D95" s="34" t="str">
        <x:v>Liderlik</x:v>
      </x:c>
      <x:c r="E95" s="34" t="str">
        <x:v>Liderlik</x:v>
      </x:c>
      <x:c r="F95" s="34" t="str">
        <x:v>Bad Blood</x:v>
      </x:c>
      <x:c r="G95" s="34" t="str">
        <x:v>John Carreyrou</x:v>
      </x:c>
      <x:c r="H95" s="50" t="str">
        <x:v>2</x:v>
      </x:c>
      <x:c r="I95" s="50" t="str">
        <x:v>Zengin</x:v>
      </x:c>
      <x:c r="J95" s="51" t="n">
        <x:v>13</x:v>
      </x:c>
      <x:c r="K95" s="51" t="n">
        <x:v>7</x:v>
      </x:c>
      <x:c r="L95" s="51" t="n">
        <x:v>14</x:v>
      </x:c>
      <x:c r="M95" s="51" t="n">
        <x:v>9</x:v>
      </x:c>
      <x:c r="N95" s="51" t="n">
        <x:v>9</x:v>
      </x:c>
      <x:c r="O95" s="51" t="n">
        <x:v>9</x:v>
      </x:c>
      <x:c r="P95" s="51" t="n">
        <x:v>19</x:v>
      </x:c>
      <x:c r="Q95" s="51" t="n">
        <x:v>4</x:v>
      </x:c>
      <x:c r="R95" s="52" t="n">
        <x:f>SUM(J95:Q95)</x:f>
        <x:v>84</x:v>
      </x:c>
      <x:c r="S95" s="50" t="str">
        <x:f>IF(R95&gt;='Rubrik'!$B$17,"Öncelikli video",IF(R95&gt;='Rubrik'!$B$18,"Video kuyruğu",IF(R95&gt;='Rubrik'!$B$19,"Revize et",IF(R95&gt;='Rubrik'!$B$20,"Kartla test","Düşük öncelik"))))</x:f>
        <x:v>Revize et</x:v>
      </x:c>
      <x:c r="T95" s="50" t="str">
        <x:f>IF(AND(R95&gt;=85,P95&gt;=16,M95&gt;=12,L95&gt;=12),"Reel + Carousel",IF(AND(R95&gt;=85,P95&gt;=16,N95&gt;=8),"Soru odaklı Reel",IF(AND(R95&gt;=85,P95&gt;=16),"Reel / Short",IF(M95&gt;=11,"Carousel","Kart testi"))))</x:f>
        <x:v>Kart testi</x:v>
      </x:c>
      <x:c r="U95" s="46" t="str">
        <x:v>Duygusal karşıtlık paylaşma ve kişisel anlatma isteğini yükseltiyor; ilk saniye etkisi yeterli.</x:v>
      </x:c>
      <x:c r="V95" s="46" t="str">
        <x:f>IF(Q95&lt;=3,"Kaynak kontrolü şart",IF(Q95=4,"Kaynak kontrolü önerilir","Standart doğrulama"))</x:f>
        <x:v>Kaynak kontrolü önerilir</x:v>
      </x:c>
    </x:row>
    <x:row r="96" ht="24" customHeight="1">
      <x:c r="A96" s="48" t="n">
        <x:f>COUNTIF($R$2:$R$751,"&gt;"&amp;R96)+COUNTIF($R$2:R96,R96)</x:f>
        <x:v>95</x:v>
      </x:c>
      <x:c r="B96" s="48" t="n">
        <x:v>1696</x:v>
      </x:c>
      <x:c r="C96" s="46" t="str">
        <x:v>Bedavanın Gizli Maliyeti</x:v>
      </x:c>
      <x:c r="D96" s="34" t="str">
        <x:v>Psikoloji</x:v>
      </x:c>
      <x:c r="E96" s="34" t="str">
        <x:v>Psikoloji</x:v>
      </x:c>
      <x:c r="F96" s="34" t="str">
        <x:v>Predictably Irrational</x:v>
      </x:c>
      <x:c r="G96" s="34" t="str">
        <x:v>Dan Ariely</x:v>
      </x:c>
      <x:c r="H96" s="50" t="str">
        <x:v>2</x:v>
      </x:c>
      <x:c r="I96" s="50" t="str">
        <x:v>Zengin</x:v>
      </x:c>
      <x:c r="J96" s="51" t="n">
        <x:v>13</x:v>
      </x:c>
      <x:c r="K96" s="51" t="n">
        <x:v>7</x:v>
      </x:c>
      <x:c r="L96" s="51" t="n">
        <x:v>14</x:v>
      </x:c>
      <x:c r="M96" s="51" t="n">
        <x:v>10</x:v>
      </x:c>
      <x:c r="N96" s="51" t="n">
        <x:v>9</x:v>
      </x:c>
      <x:c r="O96" s="51" t="n">
        <x:v>9</x:v>
      </x:c>
      <x:c r="P96" s="51" t="n">
        <x:v>18</x:v>
      </x:c>
      <x:c r="Q96" s="51" t="n">
        <x:v>4</x:v>
      </x:c>
      <x:c r="R96" s="52" t="n">
        <x:f>SUM(J96:Q96)</x:f>
        <x:v>84</x:v>
      </x:c>
      <x:c r="S96" s="50" t="str">
        <x:f>IF(R96&gt;='Rubrik'!$B$17,"Öncelikli video",IF(R96&gt;='Rubrik'!$B$18,"Video kuyruğu",IF(R96&gt;='Rubrik'!$B$19,"Revize et",IF(R96&gt;='Rubrik'!$B$20,"Kartla test","Düşük öncelik"))))</x:f>
        <x:v>Revize et</x:v>
      </x:c>
      <x:c r="T96" s="50" t="str">
        <x:f>IF(AND(R96&gt;=85,P96&gt;=16,M96&gt;=12,L96&gt;=12),"Reel + Carousel",IF(AND(R96&gt;=85,P96&gt;=16,N96&gt;=8),"Soru odaklı Reel",IF(AND(R96&gt;=85,P96&gt;=16),"Reel / Short",IF(M96&gt;=11,"Carousel","Kart testi"))))</x:f>
        <x:v>Kart testi</x:v>
      </x:c>
      <x:c r="U96" s="46" t="str">
        <x:v>Duygusal karşıtlık paylaşma ve kişisel anlatma isteğini yükseltiyor; ilk saniye etkisi yeterli.</x:v>
      </x:c>
      <x:c r="V96" s="46" t="str">
        <x:f>IF(Q96&lt;=3,"Kaynak kontrolü şart",IF(Q96=4,"Kaynak kontrolü önerilir","Standart doğrulama"))</x:f>
        <x:v>Kaynak kontrolü önerilir</x:v>
      </x:c>
    </x:row>
    <x:row r="97" ht="24" customHeight="1">
      <x:c r="A97" s="48" t="n">
        <x:f>COUNTIF($R$2:$R$751,"&gt;"&amp;R97)+COUNTIF($R$2:R97,R97)</x:f>
        <x:v>96</x:v>
      </x:c>
      <x:c r="B97" s="48" t="n">
        <x:v>1692</x:v>
      </x:c>
      <x:c r="C97" s="46" t="str">
        <x:v>Lincoln Neden Rakiplerini Kabinesine Aldı?</x:v>
      </x:c>
      <x:c r="D97" s="34" t="str">
        <x:v>Tarih</x:v>
      </x:c>
      <x:c r="E97" s="34" t="str">
        <x:v>Tarih</x:v>
      </x:c>
      <x:c r="F97" s="34" t="str">
        <x:v>Rakipler Takımı</x:v>
      </x:c>
      <x:c r="G97" s="34" t="str">
        <x:v>Doris Kearns Goodwin</x:v>
      </x:c>
      <x:c r="H97" s="50" t="str">
        <x:v>2</x:v>
      </x:c>
      <x:c r="I97" s="50" t="str">
        <x:v>Zengin</x:v>
      </x:c>
      <x:c r="J97" s="51" t="n">
        <x:v>13</x:v>
      </x:c>
      <x:c r="K97" s="51" t="n">
        <x:v>8</x:v>
      </x:c>
      <x:c r="L97" s="51" t="n">
        <x:v>13</x:v>
      </x:c>
      <x:c r="M97" s="51" t="n">
        <x:v>9</x:v>
      </x:c>
      <x:c r="N97" s="51" t="n">
        <x:v>9</x:v>
      </x:c>
      <x:c r="O97" s="51" t="n">
        <x:v>9</x:v>
      </x:c>
      <x:c r="P97" s="51" t="n">
        <x:v>18</x:v>
      </x:c>
      <x:c r="Q97" s="51" t="n">
        <x:v>5</x:v>
      </x:c>
      <x:c r="R97" s="52" t="n">
        <x:f>SUM(J97:Q97)</x:f>
        <x:v>84</x:v>
      </x:c>
      <x:c r="S97" s="50" t="str">
        <x:f>IF(R97&gt;='Rubrik'!$B$17,"Öncelikli video",IF(R97&gt;='Rubrik'!$B$18,"Video kuyruğu",IF(R97&gt;='Rubrik'!$B$19,"Revize et",IF(R97&gt;='Rubrik'!$B$20,"Kartla test","Düşük öncelik"))))</x:f>
        <x:v>Revize et</x:v>
      </x:c>
      <x:c r="T97" s="50" t="str">
        <x:f>IF(AND(R97&gt;=85,P97&gt;=16,M97&gt;=12,L97&gt;=12),"Reel + Carousel",IF(AND(R97&gt;=85,P97&gt;=16,N97&gt;=8),"Soru odaklı Reel",IF(AND(R97&gt;=85,P97&gt;=16),"Reel / Short",IF(M97&gt;=11,"Carousel","Kart testi"))))</x:f>
        <x:v>Kart testi</x:v>
      </x:c>
      <x:c r="U97" s="46" t="str">
        <x:v>Somut sahne ve sayısal ayrıntı güçlü bir video açılışı sağlıyor; paylaşılabilirlik yeterli.</x:v>
      </x:c>
      <x:c r="V97" s="46" t="str">
        <x:f>IF(Q97&lt;=3,"Kaynak kontrolü şart",IF(Q97=4,"Kaynak kontrolü önerilir","Standart doğrulama"))</x:f>
        <x:v>Standart doğrulama</x:v>
      </x:c>
    </x:row>
    <x:row r="98" ht="24" customHeight="1">
      <x:c r="A98" s="48" t="n">
        <x:f>COUNTIF($R$2:$R$751,"&gt;"&amp;R98)+COUNTIF($R$2:R98,R98)</x:f>
        <x:v>97</x:v>
      </x:c>
      <x:c r="B98" s="48" t="n">
        <x:v>1717</x:v>
      </x:c>
      <x:c r="C98" s="46" t="str">
        <x:v>Nicholas Carr Neden Bir Kitabı Bitiremez Oldu?</x:v>
      </x:c>
      <x:c r="D98" s="34" t="str">
        <x:v>Bilim</x:v>
      </x:c>
      <x:c r="E98" s="34" t="str">
        <x:v>Teknoloji</x:v>
      </x:c>
      <x:c r="F98" s="34" t="str">
        <x:v>The Shallows</x:v>
      </x:c>
      <x:c r="G98" s="34" t="str">
        <x:v>Nicholas Carr</x:v>
      </x:c>
      <x:c r="H98" s="50" t="str">
        <x:v>2</x:v>
      </x:c>
      <x:c r="I98" s="50" t="str">
        <x:v>Zengin</x:v>
      </x:c>
      <x:c r="J98" s="51" t="n">
        <x:v>12</x:v>
      </x:c>
      <x:c r="K98" s="51" t="n">
        <x:v>9</x:v>
      </x:c>
      <x:c r="L98" s="51" t="n">
        <x:v>13</x:v>
      </x:c>
      <x:c r="M98" s="51" t="n">
        <x:v>11</x:v>
      </x:c>
      <x:c r="N98" s="51" t="n">
        <x:v>9</x:v>
      </x:c>
      <x:c r="O98" s="51" t="n">
        <x:v>8</x:v>
      </x:c>
      <x:c r="P98" s="51" t="n">
        <x:v>18</x:v>
      </x:c>
      <x:c r="Q98" s="51" t="n">
        <x:v>4</x:v>
      </x:c>
      <x:c r="R98" s="52" t="n">
        <x:f>SUM(J98:Q98)</x:f>
        <x:v>84</x:v>
      </x:c>
      <x:c r="S98" s="50" t="str">
        <x:f>IF(R98&gt;='Rubrik'!$B$17,"Öncelikli video",IF(R98&gt;='Rubrik'!$B$18,"Video kuyruğu",IF(R98&gt;='Rubrik'!$B$19,"Revize et",IF(R98&gt;='Rubrik'!$B$20,"Kartla test","Düşük öncelik"))))</x:f>
        <x:v>Revize et</x:v>
      </x:c>
      <x:c r="T98" s="50" t="str">
        <x:f>IF(AND(R98&gt;=85,P98&gt;=16,M98&gt;=12,L98&gt;=12),"Reel + Carousel",IF(AND(R98&gt;=85,P98&gt;=16,N98&gt;=8),"Soru odaklı Reel",IF(AND(R98&gt;=85,P98&gt;=16),"Reel / Short",IF(M98&gt;=11,"Carousel","Kart testi"))))</x:f>
        <x:v>Carousel</x:v>
      </x:c>
      <x:c r="U98" s="46" t="str">
        <x:v>Duygusal karşıtlık paylaşma ve kişisel anlatma isteğini yükseltiyor; olay örgüsü yeterli.</x:v>
      </x:c>
      <x:c r="V98" s="46" t="str">
        <x:f>IF(Q98&lt;=3,"Kaynak kontrolü şart",IF(Q98=4,"Kaynak kontrolü önerilir","Standart doğrulama"))</x:f>
        <x:v>Kaynak kontrolü önerilir</x:v>
      </x:c>
    </x:row>
    <x:row r="99" ht="24" customHeight="1">
      <x:c r="A99" s="48" t="n">
        <x:f>COUNTIF($R$2:$R$751,"&gt;"&amp;R99)+COUNTIF($R$2:R99,R99)</x:f>
        <x:v>98</x:v>
      </x:c>
      <x:c r="B99" s="48" t="n">
        <x:v>1730</x:v>
      </x:c>
      <x:c r="C99" s="46" t="str">
        <x:v>Tim Ferriss Şirketinden Uzaklaşınca Neden İşler Düzelmeye Başladı?</x:v>
      </x:c>
      <x:c r="D99" s="34" t="str">
        <x:v>Verimlilik</x:v>
      </x:c>
      <x:c r="E99" s="34" t="str">
        <x:v>Verimlilik</x:v>
      </x:c>
      <x:c r="F99" s="34" t="str">
        <x:v>The 4-Hour Workweek</x:v>
      </x:c>
      <x:c r="G99" s="34" t="str">
        <x:v>Tim Ferriss</x:v>
      </x:c>
      <x:c r="H99" s="50" t="str">
        <x:v>2</x:v>
      </x:c>
      <x:c r="I99" s="50" t="str">
        <x:v>Zengin</x:v>
      </x:c>
      <x:c r="J99" s="51" t="n">
        <x:v>12</x:v>
      </x:c>
      <x:c r="K99" s="51" t="n">
        <x:v>8</x:v>
      </x:c>
      <x:c r="L99" s="51" t="n">
        <x:v>13</x:v>
      </x:c>
      <x:c r="M99" s="51" t="n">
        <x:v>11</x:v>
      </x:c>
      <x:c r="N99" s="51" t="n">
        <x:v>9</x:v>
      </x:c>
      <x:c r="O99" s="51" t="n">
        <x:v>9</x:v>
      </x:c>
      <x:c r="P99" s="51" t="n">
        <x:v>18</x:v>
      </x:c>
      <x:c r="Q99" s="51" t="n">
        <x:v>4</x:v>
      </x:c>
      <x:c r="R99" s="52" t="n">
        <x:f>SUM(J99:Q99)</x:f>
        <x:v>84</x:v>
      </x:c>
      <x:c r="S99" s="50" t="str">
        <x:f>IF(R99&gt;='Rubrik'!$B$17,"Öncelikli video",IF(R99&gt;='Rubrik'!$B$18,"Video kuyruğu",IF(R99&gt;='Rubrik'!$B$19,"Revize et",IF(R99&gt;='Rubrik'!$B$20,"Kartla test","Düşük öncelik"))))</x:f>
        <x:v>Revize et</x:v>
      </x:c>
      <x:c r="T99" s="50" t="str">
        <x:f>IF(AND(R99&gt;=85,P99&gt;=16,M99&gt;=12,L99&gt;=12),"Reel + Carousel",IF(AND(R99&gt;=85,P99&gt;=16,N99&gt;=8),"Soru odaklı Reel",IF(AND(R99&gt;=85,P99&gt;=16),"Reel / Short",IF(M99&gt;=11,"Carousel","Kart testi"))))</x:f>
        <x:v>Carousel</x:v>
      </x:c>
      <x:c r="U99" s="46" t="str">
        <x:v>Duygusal karşıtlık paylaşma ve kişisel anlatma isteğini yükseltiyor; ilk saniye etkisi yeterli.</x:v>
      </x:c>
      <x:c r="V99" s="46" t="str">
        <x:f>IF(Q99&lt;=3,"Kaynak kontrolü şart",IF(Q99=4,"Kaynak kontrolü önerilir","Standart doğrulama"))</x:f>
        <x:v>Kaynak kontrolü önerilir</x:v>
      </x:c>
    </x:row>
    <x:row r="100" ht="24" customHeight="1">
      <x:c r="A100" s="48" t="n">
        <x:f>COUNTIF($R$2:$R$751,"&gt;"&amp;R100)+COUNTIF($R$2:R100,R100)</x:f>
        <x:v>99</x:v>
      </x:c>
      <x:c r="B100" s="48" t="n">
        <x:v>1736</x:v>
      </x:c>
      <x:c r="C100" s="46" t="str">
        <x:v>En İyi Ekipler Neden Daha Çok Hata Bildiriyordu?</x:v>
      </x:c>
      <x:c r="D100" s="34" t="str">
        <x:v>Liderlik</x:v>
      </x:c>
      <x:c r="E100" s="34" t="str">
        <x:v>Yönetim</x:v>
      </x:c>
      <x:c r="F100" s="34" t="str">
        <x:v>The Fearless Organization</x:v>
      </x:c>
      <x:c r="G100" s="34" t="str">
        <x:v>Amy Edmondson</x:v>
      </x:c>
      <x:c r="H100" s="50" t="str">
        <x:v>2</x:v>
      </x:c>
      <x:c r="I100" s="50" t="str">
        <x:v>Zengin</x:v>
      </x:c>
      <x:c r="J100" s="51" t="n">
        <x:v>12</x:v>
      </x:c>
      <x:c r="K100" s="51" t="n">
        <x:v>9</x:v>
      </x:c>
      <x:c r="L100" s="51" t="n">
        <x:v>13</x:v>
      </x:c>
      <x:c r="M100" s="51" t="n">
        <x:v>11</x:v>
      </x:c>
      <x:c r="N100" s="51" t="n">
        <x:v>8</x:v>
      </x:c>
      <x:c r="O100" s="51" t="n">
        <x:v>9</x:v>
      </x:c>
      <x:c r="P100" s="51" t="n">
        <x:v>18</x:v>
      </x:c>
      <x:c r="Q100" s="51" t="n">
        <x:v>4</x:v>
      </x:c>
      <x:c r="R100" s="52" t="n">
        <x:f>SUM(J100:Q100)</x:f>
        <x:v>84</x:v>
      </x:c>
      <x:c r="S100" s="50" t="str">
        <x:f>IF(R100&gt;='Rubrik'!$B$17,"Öncelikli video",IF(R100&gt;='Rubrik'!$B$18,"Video kuyruğu",IF(R100&gt;='Rubrik'!$B$19,"Revize et",IF(R100&gt;='Rubrik'!$B$20,"Kartla test","Düşük öncelik"))))</x:f>
        <x:v>Revize et</x:v>
      </x:c>
      <x:c r="T100" s="50" t="str">
        <x:f>IF(AND(R100&gt;=85,P100&gt;=16,M100&gt;=12,L100&gt;=12),"Reel + Carousel",IF(AND(R100&gt;=85,P100&gt;=16,N100&gt;=8),"Soru odaklı Reel",IF(AND(R100&gt;=85,P100&gt;=16),"Reel / Short",IF(M100&gt;=11,"Carousel","Kart testi"))))</x:f>
        <x:v>Carousel</x:v>
      </x:c>
      <x:c r="U100" s="46" t="str">
        <x:v>Duygusal karşıtlık paylaşma ve kişisel anlatma isteğini yükseltiyor; ilk saniye etkisi yeterli.</x:v>
      </x:c>
      <x:c r="V100" s="46" t="str">
        <x:f>IF(Q100&lt;=3,"Kaynak kontrolü şart",IF(Q100=4,"Kaynak kontrolü önerilir","Standart doğrulama"))</x:f>
        <x:v>Kaynak kontrolü önerilir</x:v>
      </x:c>
    </x:row>
    <x:row r="101" ht="24" customHeight="1">
      <x:c r="A101" s="48" t="n">
        <x:f>COUNTIF($R$2:$R$751,"&gt;"&amp;R101)+COUNTIF($R$2:R101,R101)</x:f>
        <x:v>100</x:v>
      </x:c>
      <x:c r="B101" s="48" t="n">
        <x:v>1740</x:v>
      </x:c>
      <x:c r="C101" s="46" t="str">
        <x:v>İtalya’daki Espresso Barı Starbucks Toplantısını Nasıl Değiştirdi?</x:v>
      </x:c>
      <x:c r="D101" s="34" t="str">
        <x:v>Finans</x:v>
      </x:c>
      <x:c r="E101" s="34" t="str">
        <x:v>Pazarlama</x:v>
      </x:c>
      <x:c r="F101" s="34" t="str">
        <x:v>Pour Your Heart Into It</x:v>
      </x:c>
      <x:c r="G101" s="34" t="str">
        <x:v>Howard Schultz ve Dori Jones Yang</x:v>
      </x:c>
      <x:c r="H101" s="50" t="str">
        <x:v>2</x:v>
      </x:c>
      <x:c r="I101" s="50" t="str">
        <x:v>Zengin</x:v>
      </x:c>
      <x:c r="J101" s="51" t="n">
        <x:v>12</x:v>
      </x:c>
      <x:c r="K101" s="51" t="n">
        <x:v>9</x:v>
      </x:c>
      <x:c r="L101" s="51" t="n">
        <x:v>13</x:v>
      </x:c>
      <x:c r="M101" s="51" t="n">
        <x:v>11</x:v>
      </x:c>
      <x:c r="N101" s="51" t="n">
        <x:v>9</x:v>
      </x:c>
      <x:c r="O101" s="51" t="n">
        <x:v>8</x:v>
      </x:c>
      <x:c r="P101" s="51" t="n">
        <x:v>18</x:v>
      </x:c>
      <x:c r="Q101" s="51" t="n">
        <x:v>4</x:v>
      </x:c>
      <x:c r="R101" s="52" t="n">
        <x:f>SUM(J101:Q101)</x:f>
        <x:v>84</x:v>
      </x:c>
      <x:c r="S101" s="50" t="str">
        <x:f>IF(R101&gt;='Rubrik'!$B$17,"Öncelikli video",IF(R101&gt;='Rubrik'!$B$18,"Video kuyruğu",IF(R101&gt;='Rubrik'!$B$19,"Revize et",IF(R101&gt;='Rubrik'!$B$20,"Kartla test","Düşük öncelik"))))</x:f>
        <x:v>Revize et</x:v>
      </x:c>
      <x:c r="T101" s="50" t="str">
        <x:f>IF(AND(R101&gt;=85,P101&gt;=16,M101&gt;=12,L101&gt;=12),"Reel + Carousel",IF(AND(R101&gt;=85,P101&gt;=16,N101&gt;=8),"Soru odaklı Reel",IF(AND(R101&gt;=85,P101&gt;=16),"Reel / Short",IF(M101&gt;=11,"Carousel","Kart testi"))))</x:f>
        <x:v>Carousel</x:v>
      </x:c>
      <x:c r="U101" s="46" t="str">
        <x:v>Duygusal karşıtlık paylaşma ve kişisel anlatma isteğini yükseltiyor; olay örgüsü yeterli.</x:v>
      </x:c>
      <x:c r="V101" s="46" t="str">
        <x:f>IF(Q101&lt;=3,"Kaynak kontrolü şart",IF(Q101=4,"Kaynak kontrolü önerilir","Standart doğrulama"))</x:f>
        <x:v>Kaynak kontrolü önerilir</x:v>
      </x:c>
    </x:row>
    <x:row r="102" ht="24" customHeight="1">
      <x:c r="A102" s="48" t="n">
        <x:f>COUNTIF($R$2:$R$751,"&gt;"&amp;R102)+COUNTIF($R$2:R102,R102)</x:f>
        <x:v>101</x:v>
      </x:c>
      <x:c r="B102" s="48" t="n">
        <x:v>1741</x:v>
      </x:c>
      <x:c r="C102" s="46" t="str">
        <x:v>Ryan Holiday Neden Sakinliği Bir Performans Gücü Saydı?</x:v>
      </x:c>
      <x:c r="D102" s="34" t="str">
        <x:v>Felsefe</x:v>
      </x:c>
      <x:c r="E102" s="34" t="str">
        <x:v>Felsefe</x:v>
      </x:c>
      <x:c r="F102" s="34" t="str">
        <x:v>Stillness Is the Key</x:v>
      </x:c>
      <x:c r="G102" s="34" t="str">
        <x:v>Ryan Holiday</x:v>
      </x:c>
      <x:c r="H102" s="50" t="str">
        <x:v>2</x:v>
      </x:c>
      <x:c r="I102" s="50" t="str">
        <x:v>Zengin</x:v>
      </x:c>
      <x:c r="J102" s="51" t="n">
        <x:v>12</x:v>
      </x:c>
      <x:c r="K102" s="51" t="n">
        <x:v>9</x:v>
      </x:c>
      <x:c r="L102" s="51" t="n">
        <x:v>13</x:v>
      </x:c>
      <x:c r="M102" s="51" t="n">
        <x:v>11</x:v>
      </x:c>
      <x:c r="N102" s="51" t="n">
        <x:v>8</x:v>
      </x:c>
      <x:c r="O102" s="51" t="n">
        <x:v>9</x:v>
      </x:c>
      <x:c r="P102" s="51" t="n">
        <x:v>18</x:v>
      </x:c>
      <x:c r="Q102" s="51" t="n">
        <x:v>4</x:v>
      </x:c>
      <x:c r="R102" s="52" t="n">
        <x:f>SUM(J102:Q102)</x:f>
        <x:v>84</x:v>
      </x:c>
      <x:c r="S102" s="50" t="str">
        <x:f>IF(R102&gt;='Rubrik'!$B$17,"Öncelikli video",IF(R102&gt;='Rubrik'!$B$18,"Video kuyruğu",IF(R102&gt;='Rubrik'!$B$19,"Revize et",IF(R102&gt;='Rubrik'!$B$20,"Kartla test","Düşük öncelik"))))</x:f>
        <x:v>Revize et</x:v>
      </x:c>
      <x:c r="T102" s="50" t="str">
        <x:f>IF(AND(R102&gt;=85,P102&gt;=16,M102&gt;=12,L102&gt;=12),"Reel + Carousel",IF(AND(R102&gt;=85,P102&gt;=16,N102&gt;=8),"Soru odaklı Reel",IF(AND(R102&gt;=85,P102&gt;=16),"Reel / Short",IF(M102&gt;=11,"Carousel","Kart testi"))))</x:f>
        <x:v>Carousel</x:v>
      </x:c>
      <x:c r="U102" s="46" t="str">
        <x:v>Duygusal karşıtlık paylaşma ve kişisel anlatma isteğini yükseltiyor; ilk saniye etkisi yeterli.</x:v>
      </x:c>
      <x:c r="V102" s="46" t="str">
        <x:f>IF(Q102&lt;=3,"Kaynak kontrolü şart",IF(Q102=4,"Kaynak kontrolü önerilir","Standart doğrulama"))</x:f>
        <x:v>Kaynak kontrolü önerilir</x:v>
      </x:c>
    </x:row>
    <x:row r="103" ht="24" customHeight="1">
      <x:c r="A103" s="48" t="n">
        <x:f>COUNTIF($R$2:$R$751,"&gt;"&amp;R103)+COUNTIF($R$2:R103,R103)</x:f>
        <x:v>102</x:v>
      </x:c>
      <x:c r="B103" s="48" t="n">
        <x:v>1612</x:v>
      </x:c>
      <x:c r="C103" s="46" t="str">
        <x:v>Zengin görünmek ile zengin olmak — sessiz servetin sırrı</x:v>
      </x:c>
      <x:c r="D103" s="34" t="str">
        <x:v>Finans</x:v>
      </x:c>
      <x:c r="E103" s="34" t="str">
        <x:v>Finans</x:v>
      </x:c>
      <x:c r="F103" s="34" t="str">
        <x:v>Komşu Milyoner</x:v>
      </x:c>
      <x:c r="G103" s="34" t="str">
        <x:v>Thomas Stanley</x:v>
      </x:c>
      <x:c r="H103" s="50" t="str">
        <x:v>1</x:v>
      </x:c>
      <x:c r="I103" s="50" t="str">
        <x:v>Temel</x:v>
      </x:c>
      <x:c r="J103" s="51" t="n">
        <x:v>13</x:v>
      </x:c>
      <x:c r="K103" s="51" t="n">
        <x:v>8</x:v>
      </x:c>
      <x:c r="L103" s="51" t="n">
        <x:v>14</x:v>
      </x:c>
      <x:c r="M103" s="51" t="n">
        <x:v>13</x:v>
      </x:c>
      <x:c r="N103" s="51" t="n">
        <x:v>8</x:v>
      </x:c>
      <x:c r="O103" s="51" t="n">
        <x:v>7</x:v>
      </x:c>
      <x:c r="P103" s="51" t="n">
        <x:v>17</x:v>
      </x:c>
      <x:c r="Q103" s="51" t="n">
        <x:v>4</x:v>
      </x:c>
      <x:c r="R103" s="52" t="n">
        <x:f>SUM(J103:Q103)</x:f>
        <x:v>84</x:v>
      </x:c>
      <x:c r="S103" s="50" t="str">
        <x:f>IF(R103&gt;='Rubrik'!$B$17,"Öncelikli video",IF(R103&gt;='Rubrik'!$B$18,"Video kuyruğu",IF(R103&gt;='Rubrik'!$B$19,"Revize et",IF(R103&gt;='Rubrik'!$B$20,"Kartla test","Düşük öncelik"))))</x:f>
        <x:v>Revize et</x:v>
      </x:c>
      <x:c r="T103" s="50" t="str">
        <x:f>IF(AND(R103&gt;=85,P103&gt;=16,M103&gt;=12,L103&gt;=12),"Reel + Carousel",IF(AND(R103&gt;=85,P103&gt;=16,N103&gt;=8),"Soru odaklı Reel",IF(AND(R103&gt;=85,P103&gt;=16),"Reel / Short",IF(M103&gt;=11,"Carousel","Kart testi"))))</x:f>
        <x:v>Carousel</x:v>
      </x:c>
      <x:c r="U103" s="46" t="str">
        <x:v>Gizli zengin ile gösterişli borçlu karşıtlığı statü kültürüne dokunur; güçlü karakter ve görsel kontrast taşır.</x:v>
      </x:c>
      <x:c r="V103" s="46" t="str">
        <x:f>IF(Q103&lt;=3,"Kaynak kontrolü şart",IF(Q103=4,"Kaynak kontrolü önerilir","Standart doğrulama"))</x:f>
        <x:v>Kaynak kontrolü önerilir</x:v>
      </x:c>
    </x:row>
    <x:row r="104" ht="24" customHeight="1">
      <x:c r="A104" s="48" t="n">
        <x:f>COUNTIF($R$2:$R$751,"&gt;"&amp;R104)+COUNTIF($R$2:R104,R104)</x:f>
        <x:v>103</x:v>
      </x:c>
      <x:c r="B104" s="48" t="n">
        <x:v>1222</x:v>
      </x:c>
      <x:c r="C104" s="46" t="str">
        <x:v>Marilyn Monroe'nun soyunma odası</x:v>
      </x:c>
      <x:c r="D104" s="34" t="str">
        <x:v>İletişim</x:v>
      </x:c>
      <x:c r="E104" s="34" t="str">
        <x:v>İletişim</x:v>
      </x:c>
      <x:c r="F104" s="34" t="str">
        <x:v>Karizmatik Olmak</x:v>
      </x:c>
      <x:c r="G104" s="34" t="str">
        <x:v>Olivia Fox Cabane</x:v>
      </x:c>
      <x:c r="H104" s="50" t="str">
        <x:v>1</x:v>
      </x:c>
      <x:c r="I104" s="50" t="str">
        <x:v>Temel</x:v>
      </x:c>
      <x:c r="J104" s="51" t="n">
        <x:v>15</x:v>
      </x:c>
      <x:c r="K104" s="51" t="n">
        <x:v>9</x:v>
      </x:c>
      <x:c r="L104" s="51" t="n">
        <x:v>13</x:v>
      </x:c>
      <x:c r="M104" s="51" t="n">
        <x:v>11</x:v>
      </x:c>
      <x:c r="N104" s="51" t="n">
        <x:v>9</x:v>
      </x:c>
      <x:c r="O104" s="51" t="n">
        <x:v>8</x:v>
      </x:c>
      <x:c r="P104" s="51" t="n">
        <x:v>17</x:v>
      </x:c>
      <x:c r="Q104" s="51" t="n">
        <x:v>2</x:v>
      </x:c>
      <x:c r="R104" s="52" t="n">
        <x:f>SUM(J104:Q104)</x:f>
        <x:v>84</x:v>
      </x:c>
      <x:c r="S104" s="50" t="str">
        <x:f>IF(R104&gt;='Rubrik'!$B$17,"Öncelikli video",IF(R104&gt;='Rubrik'!$B$18,"Video kuyruğu",IF(R104&gt;='Rubrik'!$B$19,"Revize et",IF(R104&gt;='Rubrik'!$B$20,"Kartla test","Düşük öncelik"))))</x:f>
        <x:v>Revize et</x:v>
      </x:c>
      <x:c r="T104" s="50" t="str">
        <x:f>IF(AND(R104&gt;=85,P104&gt;=16,M104&gt;=12,L104&gt;=12),"Reel + Carousel",IF(AND(R104&gt;=85,P104&gt;=16,N104&gt;=8),"Soru odaklı Reel",IF(AND(R104&gt;=85,P104&gt;=16),"Reel / Short",IF(M104&gt;=11,"Carousel","Kart testi"))))</x:f>
        <x:v>Carousel</x:v>
      </x:c>
      <x:c r="U104" s="46" t="str">
        <x:v>Monroe'nun saniyeler içinde görünür olması kusursuz kamera sahnesi; anekdotun özgün kaynağı doğrulanmalı.</x:v>
      </x:c>
      <x:c r="V104" s="46" t="str">
        <x:f>IF(Q104&lt;=3,"Kaynak kontrolü şart",IF(Q104=4,"Kaynak kontrolü önerilir","Standart doğrulama"))</x:f>
        <x:v>Kaynak kontrolü şart</x:v>
      </x:c>
    </x:row>
    <x:row r="105" ht="24" customHeight="1">
      <x:c r="A105" s="48" t="n">
        <x:f>COUNTIF($R$2:$R$751,"&gt;"&amp;R105)+COUNTIF($R$2:R105,R105)</x:f>
        <x:v>104</x:v>
      </x:c>
      <x:c r="B105" s="48" t="n">
        <x:v>1573</x:v>
      </x:c>
      <x:c r="C105" s="46" t="str">
        <x:v>Öz meşrulaştırma — zihin nasıl kendini korur</x:v>
      </x:c>
      <x:c r="D105" s="34" t="str">
        <x:v>Psikoloji</x:v>
      </x:c>
      <x:c r="E105" s="34" t="str">
        <x:v>Psikoloji</x:v>
      </x:c>
      <x:c r="F105" s="34" t="str">
        <x:v>Hataları Kucaklamak</x:v>
      </x:c>
      <x:c r="G105" s="34" t="str">
        <x:v>Carol Tavris</x:v>
      </x:c>
      <x:c r="H105" s="50" t="str">
        <x:v>1</x:v>
      </x:c>
      <x:c r="I105" s="50" t="str">
        <x:v>Temel</x:v>
      </x:c>
      <x:c r="J105" s="51" t="n">
        <x:v>13</x:v>
      </x:c>
      <x:c r="K105" s="51" t="n">
        <x:v>8</x:v>
      </x:c>
      <x:c r="L105" s="51" t="n">
        <x:v>13</x:v>
      </x:c>
      <x:c r="M105" s="51" t="n">
        <x:v>12</x:v>
      </x:c>
      <x:c r="N105" s="51" t="n">
        <x:v>8</x:v>
      </x:c>
      <x:c r="O105" s="51" t="n">
        <x:v>8</x:v>
      </x:c>
      <x:c r="P105" s="51" t="n">
        <x:v>17</x:v>
      </x:c>
      <x:c r="Q105" s="51" t="n">
        <x:v>5</x:v>
      </x:c>
      <x:c r="R105" s="52" t="n">
        <x:f>SUM(J105:Q105)</x:f>
        <x:v>84</x:v>
      </x:c>
      <x:c r="S105" s="50" t="str">
        <x:f>IF(R105&gt;='Rubrik'!$B$17,"Öncelikli video",IF(R105&gt;='Rubrik'!$B$18,"Video kuyruğu",IF(R105&gt;='Rubrik'!$B$19,"Revize et",IF(R105&gt;='Rubrik'!$B$20,"Kartla test","Düşük öncelik"))))</x:f>
        <x:v>Revize et</x:v>
      </x:c>
      <x:c r="T105" s="50" t="str">
        <x:f>IF(AND(R105&gt;=85,P105&gt;=16,M105&gt;=12,L105&gt;=12),"Reel + Carousel",IF(AND(R105&gt;=85,P105&gt;=16,N105&gt;=8),"Soru odaklı Reel",IF(AND(R105&gt;=85,P105&gt;=16),"Reel / Short",IF(M105&gt;=11,"Carousel","Kart testi"))))</x:f>
        <x:v>Carousel</x:v>
      </x:c>
      <x:c r="U105" s="46" t="str">
        <x:v>DNA ile aklanan mahkûm karşısında savcının direnci rahatsız edici gerilimle öz gerekçelendirmeyi görünür kılıyor.</x:v>
      </x:c>
      <x:c r="V105" s="46" t="str">
        <x:f>IF(Q105&lt;=3,"Kaynak kontrolü şart",IF(Q105=4,"Kaynak kontrolü önerilir","Standart doğrulama"))</x:f>
        <x:v>Standart doğrulama</x:v>
      </x:c>
    </x:row>
    <x:row r="106" ht="24" customHeight="1">
      <x:c r="A106" s="48" t="n">
        <x:f>COUNTIF($R$2:$R$751,"&gt;"&amp;R106)+COUNTIF($R$2:R106,R106)</x:f>
        <x:v>105</x:v>
      </x:c>
      <x:c r="B106" s="48" t="n">
        <x:v>1597</x:v>
      </x:c>
      <x:c r="C106" s="46" t="str">
        <x:v>Mikrobiyom — içimizdeki gizli organ</x:v>
      </x:c>
      <x:c r="D106" s="34" t="str">
        <x:v>Sağlık</x:v>
      </x:c>
      <x:c r="E106" s="34" t="str">
        <x:v>Sağlık</x:v>
      </x:c>
      <x:c r="F106" s="34" t="str">
        <x:v>İyi Bağırsak</x:v>
      </x:c>
      <x:c r="G106" s="34" t="str">
        <x:v>Justin Sonnenburg</x:v>
      </x:c>
      <x:c r="H106" s="50" t="str">
        <x:v>1</x:v>
      </x:c>
      <x:c r="I106" s="50" t="str">
        <x:v>Temel</x:v>
      </x:c>
      <x:c r="J106" s="51" t="n">
        <x:v>13</x:v>
      </x:c>
      <x:c r="K106" s="51" t="n">
        <x:v>8</x:v>
      </x:c>
      <x:c r="L106" s="51" t="n">
        <x:v>13</x:v>
      </x:c>
      <x:c r="M106" s="51" t="n">
        <x:v>14</x:v>
      </x:c>
      <x:c r="N106" s="51" t="n">
        <x:v>9</x:v>
      </x:c>
      <x:c r="O106" s="51" t="n">
        <x:v>7</x:v>
      </x:c>
      <x:c r="P106" s="51" t="n">
        <x:v>17</x:v>
      </x:c>
      <x:c r="Q106" s="51" t="n">
        <x:v>3</x:v>
      </x:c>
      <x:c r="R106" s="52" t="n">
        <x:f>SUM(J106:Q106)</x:f>
        <x:v>84</x:v>
      </x:c>
      <x:c r="S106" s="50" t="str">
        <x:f>IF(R106&gt;='Rubrik'!$B$17,"Öncelikli video",IF(R106&gt;='Rubrik'!$B$18,"Video kuyruğu",IF(R106&gt;='Rubrik'!$B$19,"Revize et",IF(R106&gt;='Rubrik'!$B$20,"Kartla test","Düşük öncelik"))))</x:f>
        <x:v>Revize et</x:v>
      </x:c>
      <x:c r="T106" s="50" t="str">
        <x:f>IF(AND(R106&gt;=85,P106&gt;=16,M106&gt;=12,L106&gt;=12),"Reel + Carousel",IF(AND(R106&gt;=85,P106&gt;=16,N106&gt;=8),"Soru odaklı Reel",IF(AND(R106&gt;=85,P106&gt;=16),"Reel / Short",IF(M106&gt;=11,"Carousel","Kart testi"))))</x:f>
        <x:v>Carousel</x:v>
      </x:c>
      <x:c r="U106" s="46" t="str">
        <x:v>Mikrobiyomu gizli organ olarak göstermek şaşırtıcı ve görsel; sağlık sonuçları nüanslı verildiğinde çok güçlü.</x:v>
      </x:c>
      <x:c r="V106" s="46" t="str">
        <x:f>IF(Q106&lt;=3,"Kaynak kontrolü şart",IF(Q106=4,"Kaynak kontrolü önerilir","Standart doğrulama"))</x:f>
        <x:v>Kaynak kontrolü şart</x:v>
      </x:c>
    </x:row>
    <x:row r="107" ht="24" customHeight="1">
      <x:c r="A107" s="48" t="n">
        <x:f>COUNTIF($R$2:$R$751,"&gt;"&amp;R107)+COUNTIF($R$2:R107,R107)</x:f>
        <x:v>106</x:v>
      </x:c>
      <x:c r="B107" s="48" t="n">
        <x:v>1598</x:v>
      </x:c>
      <x:c r="C107" s="46" t="str">
        <x:v>Beyin-bağırsak aksı — duygu ve mikrop bağlantısı</x:v>
      </x:c>
      <x:c r="D107" s="34" t="str">
        <x:v>Sağlık</x:v>
      </x:c>
      <x:c r="E107" s="34" t="str">
        <x:v>Sağlık</x:v>
      </x:c>
      <x:c r="F107" s="34" t="str">
        <x:v>İyi Bağırsak</x:v>
      </x:c>
      <x:c r="G107" s="34" t="str">
        <x:v>Justin Sonnenburg</x:v>
      </x:c>
      <x:c r="H107" s="50" t="str">
        <x:v>1</x:v>
      </x:c>
      <x:c r="I107" s="50" t="str">
        <x:v>Temel</x:v>
      </x:c>
      <x:c r="J107" s="51" t="n">
        <x:v>14</x:v>
      </x:c>
      <x:c r="K107" s="51" t="n">
        <x:v>8</x:v>
      </x:c>
      <x:c r="L107" s="51" t="n">
        <x:v>13</x:v>
      </x:c>
      <x:c r="M107" s="51" t="n">
        <x:v>13</x:v>
      </x:c>
      <x:c r="N107" s="51" t="n">
        <x:v>8</x:v>
      </x:c>
      <x:c r="O107" s="51" t="n">
        <x:v>8</x:v>
      </x:c>
      <x:c r="P107" s="51" t="n">
        <x:v>17</x:v>
      </x:c>
      <x:c r="Q107" s="51" t="n">
        <x:v>3</x:v>
      </x:c>
      <x:c r="R107" s="52" t="n">
        <x:f>SUM(J107:Q107)</x:f>
        <x:v>84</x:v>
      </x:c>
      <x:c r="S107" s="50" t="str">
        <x:f>IF(R107&gt;='Rubrik'!$B$17,"Öncelikli video",IF(R107&gt;='Rubrik'!$B$18,"Video kuyruğu",IF(R107&gt;='Rubrik'!$B$19,"Revize et",IF(R107&gt;='Rubrik'!$B$20,"Kartla test","Düşük öncelik"))))</x:f>
        <x:v>Revize et</x:v>
      </x:c>
      <x:c r="T107" s="50" t="str">
        <x:f>IF(AND(R107&gt;=85,P107&gt;=16,M107&gt;=12,L107&gt;=12),"Reel + Carousel",IF(AND(R107&gt;=85,P107&gt;=16,N107&gt;=8),"Soru odaklı Reel",IF(AND(R107&gt;=85,P107&gt;=16),"Reel / Short",IF(M107&gt;=11,"Carousel","Kart testi"))))</x:f>
        <x:v>Carousel</x:v>
      </x:c>
      <x:c r="U107" s="46" t="str">
        <x:v>Fareler arası mikrobiyota aktarımı net deney, dönüşüm ve görsel karşıtlık sunar; insanlara genelleme sınırlanmalı.</x:v>
      </x:c>
      <x:c r="V107" s="46" t="str">
        <x:f>IF(Q107&lt;=3,"Kaynak kontrolü şart",IF(Q107=4,"Kaynak kontrolü önerilir","Standart doğrulama"))</x:f>
        <x:v>Kaynak kontrolü şart</x:v>
      </x:c>
    </x:row>
    <x:row r="108" ht="24" customHeight="1">
      <x:c r="A108" s="48" t="n">
        <x:f>COUNTIF($R$2:$R$751,"&gt;"&amp;R108)+COUNTIF($R$2:R108,R108)</x:f>
        <x:v>107</x:v>
      </x:c>
      <x:c r="B108" s="48" t="n">
        <x:v>1600</x:v>
      </x:c>
      <x:c r="C108" s="46" t="str">
        <x:v>Yanlış nefes almak — sessiz salgın</x:v>
      </x:c>
      <x:c r="D108" s="34" t="str">
        <x:v>Sağlık</x:v>
      </x:c>
      <x:c r="E108" s="34" t="str">
        <x:v>Sağlık</x:v>
      </x:c>
      <x:c r="F108" s="34" t="str">
        <x:v>Nefes</x:v>
      </x:c>
      <x:c r="G108" s="34" t="str">
        <x:v>James Nestor</x:v>
      </x:c>
      <x:c r="H108" s="50" t="str">
        <x:v>1</x:v>
      </x:c>
      <x:c r="I108" s="50" t="str">
        <x:v>Temel</x:v>
      </x:c>
      <x:c r="J108" s="51" t="n">
        <x:v>13</x:v>
      </x:c>
      <x:c r="K108" s="51" t="n">
        <x:v>8</x:v>
      </x:c>
      <x:c r="L108" s="51" t="n">
        <x:v>13</x:v>
      </x:c>
      <x:c r="M108" s="51" t="n">
        <x:v>14</x:v>
      </x:c>
      <x:c r="N108" s="51" t="n">
        <x:v>8</x:v>
      </x:c>
      <x:c r="O108" s="51" t="n">
        <x:v>8</x:v>
      </x:c>
      <x:c r="P108" s="51" t="n">
        <x:v>17</x:v>
      </x:c>
      <x:c r="Q108" s="51" t="n">
        <x:v>3</x:v>
      </x:c>
      <x:c r="R108" s="52" t="n">
        <x:f>SUM(J108:Q108)</x:f>
        <x:v>84</x:v>
      </x:c>
      <x:c r="S108" s="50" t="str">
        <x:f>IF(R108&gt;='Rubrik'!$B$17,"Öncelikli video",IF(R108&gt;='Rubrik'!$B$18,"Video kuyruğu",IF(R108&gt;='Rubrik'!$B$19,"Revize et",IF(R108&gt;='Rubrik'!$B$20,"Kartla test","Düşük öncelik"))))</x:f>
        <x:v>Revize et</x:v>
      </x:c>
      <x:c r="T108" s="50" t="str">
        <x:f>IF(AND(R108&gt;=85,P108&gt;=16,M108&gt;=12,L108&gt;=12),"Reel + Carousel",IF(AND(R108&gt;=85,P108&gt;=16,N108&gt;=8),"Soru odaklı Reel",IF(AND(R108&gt;=85,P108&gt;=16),"Reel / Short",IF(M108&gt;=11,"Carousel","Kart testi"))))</x:f>
        <x:v>Carousel</x:v>
      </x:c>
      <x:c r="U108" s="46" t="str">
        <x:v>Sadece ağızdan nefes alma deneyi çarpıcı önce-sonra görüntüleri taşır; protokol ve sağlık sonuçları doğrulanmalı.</x:v>
      </x:c>
      <x:c r="V108" s="46" t="str">
        <x:f>IF(Q108&lt;=3,"Kaynak kontrolü şart",IF(Q108=4,"Kaynak kontrolü önerilir","Standart doğrulama"))</x:f>
        <x:v>Kaynak kontrolü şart</x:v>
      </x:c>
    </x:row>
    <x:row r="109" ht="24" customHeight="1">
      <x:c r="A109" s="48" t="n">
        <x:f>COUNTIF($R$2:$R$751,"&gt;"&amp;R109)+COUNTIF($R$2:R109,R109)</x:f>
        <x:v>108</x:v>
      </x:c>
      <x:c r="B109" s="48" t="n">
        <x:v>1603</x:v>
      </x:c>
      <x:c r="C109" s="46" t="str">
        <x:v>Wim Hof'un dağı — imkansız olduğu söylenenin kanıtı</x:v>
      </x:c>
      <x:c r="D109" s="34" t="str">
        <x:v>Sağlık</x:v>
      </x:c>
      <x:c r="E109" s="34" t="str">
        <x:v>Sağlık</x:v>
      </x:c>
      <x:c r="F109" s="34" t="str">
        <x:v>Soğuk Yöntem</x:v>
      </x:c>
      <x:c r="G109" s="34" t="str">
        <x:v>Wim Hof</x:v>
      </x:c>
      <x:c r="H109" s="50" t="str">
        <x:v>1</x:v>
      </x:c>
      <x:c r="I109" s="50" t="str">
        <x:v>Temel</x:v>
      </x:c>
      <x:c r="J109" s="51" t="n">
        <x:v>13</x:v>
      </x:c>
      <x:c r="K109" s="51" t="n">
        <x:v>8</x:v>
      </x:c>
      <x:c r="L109" s="51" t="n">
        <x:v>13</x:v>
      </x:c>
      <x:c r="M109" s="51" t="n">
        <x:v>13</x:v>
      </x:c>
      <x:c r="N109" s="51" t="n">
        <x:v>9</x:v>
      </x:c>
      <x:c r="O109" s="51" t="n">
        <x:v>8</x:v>
      </x:c>
      <x:c r="P109" s="51" t="n">
        <x:v>17</x:v>
      </x:c>
      <x:c r="Q109" s="51" t="n">
        <x:v>3</x:v>
      </x:c>
      <x:c r="R109" s="52" t="n">
        <x:f>SUM(J109:Q109)</x:f>
        <x:v>84</x:v>
      </x:c>
      <x:c r="S109" s="50" t="str">
        <x:f>IF(R109&gt;='Rubrik'!$B$17,"Öncelikli video",IF(R109&gt;='Rubrik'!$B$18,"Video kuyruğu",IF(R109&gt;='Rubrik'!$B$19,"Revize et",IF(R109&gt;='Rubrik'!$B$20,"Kartla test","Düşük öncelik"))))</x:f>
        <x:v>Revize et</x:v>
      </x:c>
      <x:c r="T109" s="50" t="str">
        <x:f>IF(AND(R109&gt;=85,P109&gt;=16,M109&gt;=12,L109&gt;=12),"Reel + Carousel",IF(AND(R109&gt;=85,P109&gt;=16,N109&gt;=8),"Soru odaklı Reel",IF(AND(R109&gt;=85,P109&gt;=16),"Reel / Short",IF(M109&gt;=11,"Carousel","Kart testi"))))</x:f>
        <x:v>Carousel</x:v>
      </x:c>
      <x:c r="U109" s="46" t="str">
        <x:v>Wim Hof'un buz içindeki bedeni olağanüstü görsel ve gerilimlidir; sonuçlar güvenli sınırlarla anlatılmalı.</x:v>
      </x:c>
      <x:c r="V109" s="46" t="str">
        <x:f>IF(Q109&lt;=3,"Kaynak kontrolü şart",IF(Q109=4,"Kaynak kontrolü önerilir","Standart doğrulama"))</x:f>
        <x:v>Kaynak kontrolü şart</x:v>
      </x:c>
    </x:row>
    <x:row r="110" ht="24" customHeight="1">
      <x:c r="A110" s="48" t="n">
        <x:f>COUNTIF($R$2:$R$751,"&gt;"&amp;R110)+COUNTIF($R$2:R110,R110)</x:f>
        <x:v>109</x:v>
      </x:c>
      <x:c r="B110" s="48" t="n">
        <x:v>1609</x:v>
      </x:c>
      <x:c r="C110" s="46" t="str">
        <x:v>Maliyet paradoksu — daha fazla ödemek daha az kazandırır</x:v>
      </x:c>
      <x:c r="D110" s="34" t="str">
        <x:v>Finans</x:v>
      </x:c>
      <x:c r="E110" s="34" t="str">
        <x:v>Finans</x:v>
      </x:c>
      <x:c r="F110" s="34" t="str">
        <x:v>Mantıklı Borsa</x:v>
      </x:c>
      <x:c r="G110" s="34" t="str">
        <x:v>John Bogle</x:v>
      </x:c>
      <x:c r="H110" s="50" t="str">
        <x:v>1</x:v>
      </x:c>
      <x:c r="I110" s="50" t="str">
        <x:v>Temel</x:v>
      </x:c>
      <x:c r="J110" s="51" t="n">
        <x:v>13</x:v>
      </x:c>
      <x:c r="K110" s="51" t="n">
        <x:v>7</x:v>
      </x:c>
      <x:c r="L110" s="51" t="n">
        <x:v>13</x:v>
      </x:c>
      <x:c r="M110" s="51" t="n">
        <x:v>15</x:v>
      </x:c>
      <x:c r="N110" s="51" t="n">
        <x:v>8</x:v>
      </x:c>
      <x:c r="O110" s="51" t="n">
        <x:v>7</x:v>
      </x:c>
      <x:c r="P110" s="51" t="n">
        <x:v>17</x:v>
      </x:c>
      <x:c r="Q110" s="51" t="n">
        <x:v>4</x:v>
      </x:c>
      <x:c r="R110" s="52" t="n">
        <x:f>SUM(J110:Q110)</x:f>
        <x:v>84</x:v>
      </x:c>
      <x:c r="S110" s="50" t="str">
        <x:f>IF(R110&gt;='Rubrik'!$B$17,"Öncelikli video",IF(R110&gt;='Rubrik'!$B$18,"Video kuyruğu",IF(R110&gt;='Rubrik'!$B$19,"Revize et",IF(R110&gt;='Rubrik'!$B$20,"Kartla test","Düşük öncelik"))))</x:f>
        <x:v>Revize et</x:v>
      </x:c>
      <x:c r="T110" s="50" t="str">
        <x:f>IF(AND(R110&gt;=85,P110&gt;=16,M110&gt;=12,L110&gt;=12),"Reel + Carousel",IF(AND(R110&gt;=85,P110&gt;=16,N110&gt;=8),"Soru odaklı Reel",IF(AND(R110&gt;=85,P110&gt;=16),"Reel / Short",IF(M110&gt;=11,"Carousel","Kart testi"))))</x:f>
        <x:v>Carousel</x:v>
      </x:c>
      <x:c r="U110" s="46" t="str">
        <x:v>Küçük fon ücretinin dev emeklilik kaybına dönüşmesi güçlü sayı animasyonu ve acil eylem duygusu yaratır.</x:v>
      </x:c>
      <x:c r="V110" s="46" t="str">
        <x:f>IF(Q110&lt;=3,"Kaynak kontrolü şart",IF(Q110=4,"Kaynak kontrolü önerilir","Standart doğrulama"))</x:f>
        <x:v>Kaynak kontrolü önerilir</x:v>
      </x:c>
    </x:row>
    <x:row r="111" ht="24" customHeight="1">
      <x:c r="A111" s="48" t="n">
        <x:f>COUNTIF($R$2:$R$751,"&gt;"&amp;R111)+COUNTIF($R$2:R111,R111)</x:f>
        <x:v>110</x:v>
      </x:c>
      <x:c r="B111" s="48" t="n">
        <x:v>1722</x:v>
      </x:c>
      <x:c r="C111" s="46" t="str">
        <x:v>Pixar’da Bir Filmi Kurtaran Toplantının Patronu Yoktu</x:v>
      </x:c>
      <x:c r="D111" s="34" t="str">
        <x:v>Finans</x:v>
      </x:c>
      <x:c r="E111" s="34" t="str">
        <x:v>Pazarlama</x:v>
      </x:c>
      <x:c r="F111" s="34" t="str">
        <x:v>Creativity, Inc.</x:v>
      </x:c>
      <x:c r="G111" s="34" t="str">
        <x:v>Ed Catmull ve Amy Wallace</x:v>
      </x:c>
      <x:c r="H111" s="50" t="str">
        <x:v>2</x:v>
      </x:c>
      <x:c r="I111" s="50" t="str">
        <x:v>Zengin</x:v>
      </x:c>
      <x:c r="J111" s="51" t="n">
        <x:v>13</x:v>
      </x:c>
      <x:c r="K111" s="51" t="n">
        <x:v>8</x:v>
      </x:c>
      <x:c r="L111" s="51" t="n">
        <x:v>13</x:v>
      </x:c>
      <x:c r="M111" s="51" t="n">
        <x:v>12</x:v>
      </x:c>
      <x:c r="N111" s="51" t="n">
        <x:v>8</x:v>
      </x:c>
      <x:c r="O111" s="51" t="n">
        <x:v>8</x:v>
      </x:c>
      <x:c r="P111" s="51" t="n">
        <x:v>17</x:v>
      </x:c>
      <x:c r="Q111" s="51" t="n">
        <x:v>5</x:v>
      </x:c>
      <x:c r="R111" s="52" t="n">
        <x:f>SUM(J111:Q111)</x:f>
        <x:v>84</x:v>
      </x:c>
      <x:c r="S111" s="50" t="str">
        <x:f>IF(R111&gt;='Rubrik'!$B$17,"Öncelikli video",IF(R111&gt;='Rubrik'!$B$18,"Video kuyruğu",IF(R111&gt;='Rubrik'!$B$19,"Revize et",IF(R111&gt;='Rubrik'!$B$20,"Kartla test","Düşük öncelik"))))</x:f>
        <x:v>Revize et</x:v>
      </x:c>
      <x:c r="T111" s="50" t="str">
        <x:f>IF(AND(R111&gt;=85,P111&gt;=16,M111&gt;=12,L111&gt;=12),"Reel + Carousel",IF(AND(R111&gt;=85,P111&gt;=16,N111&gt;=8),"Soru odaklı Reel",IF(AND(R111&gt;=85,P111&gt;=16),"Reel / Short",IF(M111&gt;=11,"Carousel","Kart testi"))))</x:f>
        <x:v>Carousel</x:v>
      </x:c>
      <x:c r="U111" s="46" t="str">
        <x:v>Somut sahne ve sayısal ayrıntı güçlü bir video açılışı sağlıyor; olay örgüsü yeterli.</x:v>
      </x:c>
      <x:c r="V111" s="46" t="str">
        <x:f>IF(Q111&lt;=3,"Kaynak kontrolü şart",IF(Q111=4,"Kaynak kontrolü önerilir","Standart doğrulama"))</x:f>
        <x:v>Standart doğrulama</x:v>
      </x:c>
    </x:row>
    <x:row r="112" ht="24" customHeight="1">
      <x:c r="A112" s="48" t="n">
        <x:f>COUNTIF($R$2:$R$751,"&gt;"&amp;R112)+COUNTIF($R$2:R112,R112)</x:f>
        <x:v>111</x:v>
      </x:c>
      <x:c r="B112" s="48" t="n">
        <x:v>1733</x:v>
      </x:c>
      <x:c r="C112" s="46" t="str">
        <x:v>Beş Küçük Rica Chicken Soup’u Nasıl Fenomene Dönüştürdü?</x:v>
      </x:c>
      <x:c r="D112" s="34" t="str">
        <x:v>Büyüme</x:v>
      </x:c>
      <x:c r="E112" s="34" t="str">
        <x:v>Motivasyon</x:v>
      </x:c>
      <x:c r="F112" s="34" t="str">
        <x:v>The Success Principles</x:v>
      </x:c>
      <x:c r="G112" s="34" t="str">
        <x:v>Jack Canfield</x:v>
      </x:c>
      <x:c r="H112" s="50" t="str">
        <x:v>2</x:v>
      </x:c>
      <x:c r="I112" s="50" t="str">
        <x:v>Zengin</x:v>
      </x:c>
      <x:c r="J112" s="51" t="n">
        <x:v>12</x:v>
      </x:c>
      <x:c r="K112" s="51" t="n">
        <x:v>9</x:v>
      </x:c>
      <x:c r="L112" s="51" t="n">
        <x:v>13</x:v>
      </x:c>
      <x:c r="M112" s="51" t="n">
        <x:v>11</x:v>
      </x:c>
      <x:c r="N112" s="51" t="n">
        <x:v>9</x:v>
      </x:c>
      <x:c r="O112" s="51" t="n">
        <x:v>9</x:v>
      </x:c>
      <x:c r="P112" s="51" t="n">
        <x:v>17</x:v>
      </x:c>
      <x:c r="Q112" s="51" t="n">
        <x:v>4</x:v>
      </x:c>
      <x:c r="R112" s="52" t="n">
        <x:f>SUM(J112:Q112)</x:f>
        <x:v>84</x:v>
      </x:c>
      <x:c r="S112" s="50" t="str">
        <x:f>IF(R112&gt;='Rubrik'!$B$17,"Öncelikli video",IF(R112&gt;='Rubrik'!$B$18,"Video kuyruğu",IF(R112&gt;='Rubrik'!$B$19,"Revize et",IF(R112&gt;='Rubrik'!$B$20,"Kartla test","Düşük öncelik"))))</x:f>
        <x:v>Revize et</x:v>
      </x:c>
      <x:c r="T112" s="50" t="str">
        <x:f>IF(AND(R112&gt;=85,P112&gt;=16,M112&gt;=12,L112&gt;=12),"Reel + Carousel",IF(AND(R112&gt;=85,P112&gt;=16,N112&gt;=8),"Soru odaklı Reel",IF(AND(R112&gt;=85,P112&gt;=16),"Reel / Short",IF(M112&gt;=11,"Carousel","Kart testi"))))</x:f>
        <x:v>Carousel</x:v>
      </x:c>
      <x:c r="U112" s="46" t="str">
        <x:v>Duygusal karşıtlık paylaşma ve kişisel anlatma isteğini yükseltiyor; ilk saniye etkisi yeterli.</x:v>
      </x:c>
      <x:c r="V112" s="46" t="str">
        <x:f>IF(Q112&lt;=3,"Kaynak kontrolü şart",IF(Q112=4,"Kaynak kontrolü önerilir","Standart doğrulama"))</x:f>
        <x:v>Kaynak kontrolü önerilir</x:v>
      </x:c>
    </x:row>
    <x:row r="113" ht="24" customHeight="1">
      <x:c r="A113" s="48" t="n">
        <x:f>COUNTIF($R$2:$R$751,"&gt;"&amp;R113)+COUNTIF($R$2:R113,R113)</x:f>
        <x:v>112</x:v>
      </x:c>
      <x:c r="B113" s="48" t="n">
        <x:v>1735</x:v>
      </x:c>
      <x:c r="C113" s="46" t="str">
        <x:v>Lencioni Neden Takım Sorununu Strateji Değil Güven Diye Okudu?</x:v>
      </x:c>
      <x:c r="D113" s="34" t="str">
        <x:v>Liderlik</x:v>
      </x:c>
      <x:c r="E113" s="34" t="str">
        <x:v>Liderlik</x:v>
      </x:c>
      <x:c r="F113" s="34" t="str">
        <x:v>The Five Dysfunctions of a Team</x:v>
      </x:c>
      <x:c r="G113" s="34" t="str">
        <x:v>Patrick Lencioni</x:v>
      </x:c>
      <x:c r="H113" s="50" t="str">
        <x:v>2</x:v>
      </x:c>
      <x:c r="I113" s="50" t="str">
        <x:v>Zengin</x:v>
      </x:c>
      <x:c r="J113" s="51" t="n">
        <x:v>12</x:v>
      </x:c>
      <x:c r="K113" s="51" t="n">
        <x:v>9</x:v>
      </x:c>
      <x:c r="L113" s="51" t="n">
        <x:v>13</x:v>
      </x:c>
      <x:c r="M113" s="51" t="n">
        <x:v>11</x:v>
      </x:c>
      <x:c r="N113" s="51" t="n">
        <x:v>9</x:v>
      </x:c>
      <x:c r="O113" s="51" t="n">
        <x:v>9</x:v>
      </x:c>
      <x:c r="P113" s="51" t="n">
        <x:v>17</x:v>
      </x:c>
      <x:c r="Q113" s="51" t="n">
        <x:v>4</x:v>
      </x:c>
      <x:c r="R113" s="52" t="n">
        <x:f>SUM(J113:Q113)</x:f>
        <x:v>84</x:v>
      </x:c>
      <x:c r="S113" s="50" t="str">
        <x:f>IF(R113&gt;='Rubrik'!$B$17,"Öncelikli video",IF(R113&gt;='Rubrik'!$B$18,"Video kuyruğu",IF(R113&gt;='Rubrik'!$B$19,"Revize et",IF(R113&gt;='Rubrik'!$B$20,"Kartla test","Düşük öncelik"))))</x:f>
        <x:v>Revize et</x:v>
      </x:c>
      <x:c r="T113" s="50" t="str">
        <x:f>IF(AND(R113&gt;=85,P113&gt;=16,M113&gt;=12,L113&gt;=12),"Reel + Carousel",IF(AND(R113&gt;=85,P113&gt;=16,N113&gt;=8),"Soru odaklı Reel",IF(AND(R113&gt;=85,P113&gt;=16),"Reel / Short",IF(M113&gt;=11,"Carousel","Kart testi"))))</x:f>
        <x:v>Carousel</x:v>
      </x:c>
      <x:c r="U113" s="46" t="str">
        <x:v>Duygusal karşıtlık paylaşma ve kişisel anlatma isteğini yükseltiyor; ilk saniye etkisi yeterli.</x:v>
      </x:c>
      <x:c r="V113" s="46" t="str">
        <x:f>IF(Q113&lt;=3,"Kaynak kontrolü şart",IF(Q113=4,"Kaynak kontrolü önerilir","Standart doğrulama"))</x:f>
        <x:v>Kaynak kontrolü önerilir</x:v>
      </x:c>
    </x:row>
    <x:row r="114" ht="24" customHeight="1">
      <x:c r="A114" s="48" t="n">
        <x:f>COUNTIF($R$2:$R$751,"&gt;"&amp;R114)+COUNTIF($R$2:R114,R114)</x:f>
        <x:v>113</x:v>
      </x:c>
      <x:c r="B114" s="48" t="n">
        <x:v>1737</x:v>
      </x:c>
      <x:c r="C114" s="46" t="str">
        <x:v>Marie Kondo Neden “Bu Bana Neşe Veriyor mu?” Diye Sordu?</x:v>
      </x:c>
      <x:c r="D114" s="34" t="str">
        <x:v>Felsefe</x:v>
      </x:c>
      <x:c r="E114" s="34" t="str">
        <x:v>Yaşam</x:v>
      </x:c>
      <x:c r="F114" s="34" t="str">
        <x:v>The Life-Changing Magic of Tidying Up</x:v>
      </x:c>
      <x:c r="G114" s="34" t="str">
        <x:v>Marie Kondo</x:v>
      </x:c>
      <x:c r="H114" s="50" t="str">
        <x:v>2</x:v>
      </x:c>
      <x:c r="I114" s="50" t="str">
        <x:v>Zengin</x:v>
      </x:c>
      <x:c r="J114" s="51" t="n">
        <x:v>12</x:v>
      </x:c>
      <x:c r="K114" s="51" t="n">
        <x:v>9</x:v>
      </x:c>
      <x:c r="L114" s="51" t="n">
        <x:v>13</x:v>
      </x:c>
      <x:c r="M114" s="51" t="n">
        <x:v>11</x:v>
      </x:c>
      <x:c r="N114" s="51" t="n">
        <x:v>9</x:v>
      </x:c>
      <x:c r="O114" s="51" t="n">
        <x:v>9</x:v>
      </x:c>
      <x:c r="P114" s="51" t="n">
        <x:v>17</x:v>
      </x:c>
      <x:c r="Q114" s="51" t="n">
        <x:v>4</x:v>
      </x:c>
      <x:c r="R114" s="52" t="n">
        <x:f>SUM(J114:Q114)</x:f>
        <x:v>84</x:v>
      </x:c>
      <x:c r="S114" s="50" t="str">
        <x:f>IF(R114&gt;='Rubrik'!$B$17,"Öncelikli video",IF(R114&gt;='Rubrik'!$B$18,"Video kuyruğu",IF(R114&gt;='Rubrik'!$B$19,"Revize et",IF(R114&gt;='Rubrik'!$B$20,"Kartla test","Düşük öncelik"))))</x:f>
        <x:v>Revize et</x:v>
      </x:c>
      <x:c r="T114" s="50" t="str">
        <x:f>IF(AND(R114&gt;=85,P114&gt;=16,M114&gt;=12,L114&gt;=12),"Reel + Carousel",IF(AND(R114&gt;=85,P114&gt;=16,N114&gt;=8),"Soru odaklı Reel",IF(AND(R114&gt;=85,P114&gt;=16),"Reel / Short",IF(M114&gt;=11,"Carousel","Kart testi"))))</x:f>
        <x:v>Carousel</x:v>
      </x:c>
      <x:c r="U114" s="46" t="str">
        <x:v>Duygusal karşıtlık paylaşma ve kişisel anlatma isteğini yükseltiyor; ilk saniye etkisi yeterli.</x:v>
      </x:c>
      <x:c r="V114" s="46" t="str">
        <x:f>IF(Q114&lt;=3,"Kaynak kontrolü şart",IF(Q114=4,"Kaynak kontrolü önerilir","Standart doğrulama"))</x:f>
        <x:v>Kaynak kontrolü önerilir</x:v>
      </x:c>
    </x:row>
    <x:row r="115" ht="24" customHeight="1">
      <x:c r="A115" s="48" t="n">
        <x:f>COUNTIF($R$2:$R$751,"&gt;"&amp;R115)+COUNTIF($R$2:R115,R115)</x:f>
        <x:v>114</x:v>
      </x:c>
      <x:c r="B115" s="48" t="n">
        <x:v>1754</x:v>
      </x:c>
      <x:c r="C115" s="46" t="str">
        <x:v>Zenginliğin Ölümcül Olduğu Topraklar</x:v>
      </x:c>
      <x:c r="D115" s="34" t="str">
        <x:v>Tarih</x:v>
      </x:c>
      <x:c r="E115" s="34" t="str">
        <x:v>Tarih</x:v>
      </x:c>
      <x:c r="F115" s="34" t="str">
        <x:v>Killers of the Flower Moon</x:v>
      </x:c>
      <x:c r="G115" s="34" t="str">
        <x:v>David Grann</x:v>
      </x:c>
      <x:c r="H115" s="50" t="str">
        <x:v>2</x:v>
      </x:c>
      <x:c r="I115" s="50" t="str">
        <x:v>Zengin</x:v>
      </x:c>
      <x:c r="J115" s="51" t="n">
        <x:v>13</x:v>
      </x:c>
      <x:c r="K115" s="51" t="n">
        <x:v>8</x:v>
      </x:c>
      <x:c r="L115" s="51" t="n">
        <x:v>13</x:v>
      </x:c>
      <x:c r="M115" s="51" t="n">
        <x:v>11</x:v>
      </x:c>
      <x:c r="N115" s="51" t="n">
        <x:v>9</x:v>
      </x:c>
      <x:c r="O115" s="51" t="n">
        <x:v>8</x:v>
      </x:c>
      <x:c r="P115" s="51" t="n">
        <x:v>17</x:v>
      </x:c>
      <x:c r="Q115" s="51" t="n">
        <x:v>5</x:v>
      </x:c>
      <x:c r="R115" s="52" t="n">
        <x:f>SUM(J115:Q115)</x:f>
        <x:v>84</x:v>
      </x:c>
      <x:c r="S115" s="50" t="str">
        <x:f>IF(R115&gt;='Rubrik'!$B$17,"Öncelikli video",IF(R115&gt;='Rubrik'!$B$18,"Video kuyruğu",IF(R115&gt;='Rubrik'!$B$19,"Revize et",IF(R115&gt;='Rubrik'!$B$20,"Kartla test","Düşük öncelik"))))</x:f>
        <x:v>Revize et</x:v>
      </x:c>
      <x:c r="T115" s="50" t="str">
        <x:f>IF(AND(R115&gt;=85,P115&gt;=16,M115&gt;=12,L115&gt;=12),"Reel + Carousel",IF(AND(R115&gt;=85,P115&gt;=16,N115&gt;=8),"Soru odaklı Reel",IF(AND(R115&gt;=85,P115&gt;=16),"Reel / Short",IF(M115&gt;=11,"Carousel","Kart testi"))))</x:f>
        <x:v>Carousel</x:v>
      </x:c>
      <x:c r="U115" s="46" t="str">
        <x:v>Somut sahne ve sayısal ayrıntı güçlü bir video açılışı sağlıyor; olay örgüsü yeterli.</x:v>
      </x:c>
      <x:c r="V115" s="46" t="str">
        <x:f>IF(Q115&lt;=3,"Kaynak kontrolü şart",IF(Q115=4,"Kaynak kontrolü önerilir","Standart doğrulama"))</x:f>
        <x:v>Standart doğrulama</x:v>
      </x:c>
    </x:row>
    <x:row r="116" ht="24" customHeight="1">
      <x:c r="A116" s="48" t="n">
        <x:f>COUNTIF($R$2:$R$751,"&gt;"&amp;R116)+COUNTIF($R$2:R116,R116)</x:f>
        <x:v>115</x:v>
      </x:c>
      <x:c r="B116" s="48" t="n">
        <x:v>1766</x:v>
      </x:c>
      <x:c r="C116" s="46" t="str">
        <x:v>Görünmeyen Katili Yıkamak</x:v>
      </x:c>
      <x:c r="D116" s="34" t="str">
        <x:v>Psikoloji</x:v>
      </x:c>
      <x:c r="E116" s="34" t="str">
        <x:v>Psikoloji</x:v>
      </x:c>
      <x:c r="F116" s="34" t="str">
        <x:v>The Butchering Art</x:v>
      </x:c>
      <x:c r="G116" s="34" t="str">
        <x:v>Lindsey Fitzharris</x:v>
      </x:c>
      <x:c r="H116" s="50" t="str">
        <x:v>2</x:v>
      </x:c>
      <x:c r="I116" s="50" t="str">
        <x:v>Zengin</x:v>
      </x:c>
      <x:c r="J116" s="51" t="n">
        <x:v>13</x:v>
      </x:c>
      <x:c r="K116" s="51" t="n">
        <x:v>8</x:v>
      </x:c>
      <x:c r="L116" s="51" t="n">
        <x:v>13</x:v>
      </x:c>
      <x:c r="M116" s="51" t="n">
        <x:v>11</x:v>
      </x:c>
      <x:c r="N116" s="51" t="n">
        <x:v>9</x:v>
      </x:c>
      <x:c r="O116" s="51" t="n">
        <x:v>8</x:v>
      </x:c>
      <x:c r="P116" s="51" t="n">
        <x:v>17</x:v>
      </x:c>
      <x:c r="Q116" s="51" t="n">
        <x:v>5</x:v>
      </x:c>
      <x:c r="R116" s="52" t="n">
        <x:f>SUM(J116:Q116)</x:f>
        <x:v>84</x:v>
      </x:c>
      <x:c r="S116" s="50" t="str">
        <x:f>IF(R116&gt;='Rubrik'!$B$17,"Öncelikli video",IF(R116&gt;='Rubrik'!$B$18,"Video kuyruğu",IF(R116&gt;='Rubrik'!$B$19,"Revize et",IF(R116&gt;='Rubrik'!$B$20,"Kartla test","Düşük öncelik"))))</x:f>
        <x:v>Revize et</x:v>
      </x:c>
      <x:c r="T116" s="50" t="str">
        <x:f>IF(AND(R116&gt;=85,P116&gt;=16,M116&gt;=12,L116&gt;=12),"Reel + Carousel",IF(AND(R116&gt;=85,P116&gt;=16,N116&gt;=8),"Soru odaklı Reel",IF(AND(R116&gt;=85,P116&gt;=16),"Reel / Short",IF(M116&gt;=11,"Carousel","Kart testi"))))</x:f>
        <x:v>Carousel</x:v>
      </x:c>
      <x:c r="U116" s="46" t="str">
        <x:v>Somut sahne ve sayısal ayrıntı güçlü bir video açılışı sağlıyor; olay örgüsü yeterli.</x:v>
      </x:c>
      <x:c r="V116" s="46" t="str">
        <x:f>IF(Q116&lt;=3,"Kaynak kontrolü şart",IF(Q116=4,"Kaynak kontrolü önerilir","Standart doğrulama"))</x:f>
        <x:v>Standart doğrulama</x:v>
      </x:c>
    </x:row>
    <x:row r="117" ht="24" customHeight="1">
      <x:c r="A117" s="48" t="n">
        <x:f>COUNTIF($R$2:$R$751,"&gt;"&amp;R117)+COUNTIF($R$2:R117,R117)</x:f>
        <x:v>116</x:v>
      </x:c>
      <x:c r="B117" s="48" t="n">
        <x:v>1101</x:v>
      </x:c>
      <x:c r="C117" s="46" t="str">
        <x:v>Hal Elrod'un ölümden dönüşü</x:v>
      </x:c>
      <x:c r="D117" s="34" t="str">
        <x:v>Sağlık</x:v>
      </x:c>
      <x:c r="E117" s="34" t="str">
        <x:v>Alışkanlıklar</x:v>
      </x:c>
      <x:c r="F117" s="34" t="str">
        <x:v>Sabah Rutini</x:v>
      </x:c>
      <x:c r="G117" s="34" t="str">
        <x:v>Hal Elrod</x:v>
      </x:c>
      <x:c r="H117" s="50" t="str">
        <x:v>1</x:v>
      </x:c>
      <x:c r="I117" s="50" t="str">
        <x:v>Temel</x:v>
      </x:c>
      <x:c r="J117" s="51" t="n">
        <x:v>15</x:v>
      </x:c>
      <x:c r="K117" s="51" t="n">
        <x:v>10</x:v>
      </x:c>
      <x:c r="L117" s="51" t="n">
        <x:v>12</x:v>
      </x:c>
      <x:c r="M117" s="51" t="n">
        <x:v>12</x:v>
      </x:c>
      <x:c r="N117" s="51" t="n">
        <x:v>9</x:v>
      </x:c>
      <x:c r="O117" s="51" t="n">
        <x:v>8</x:v>
      </x:c>
      <x:c r="P117" s="51" t="n">
        <x:v>17</x:v>
      </x:c>
      <x:c r="Q117" s="51" t="n">
        <x:v>1</x:v>
      </x:c>
      <x:c r="R117" s="52" t="n">
        <x:f>SUM(J117:Q117)</x:f>
        <x:v>84</x:v>
      </x:c>
      <x:c r="S117" s="50" t="str">
        <x:f>IF(R117&gt;='Rubrik'!$B$17,"Öncelikli video",IF(R117&gt;='Rubrik'!$B$18,"Video kuyruğu",IF(R117&gt;='Rubrik'!$B$19,"Revize et",IF(R117&gt;='Rubrik'!$B$20,"Kartla test","Düşük öncelik"))))</x:f>
        <x:v>Revize et</x:v>
      </x:c>
      <x:c r="T117" s="50" t="str">
        <x:f>IF(AND(R117&gt;=85,P117&gt;=16,M117&gt;=12,L117&gt;=12),"Reel + Carousel",IF(AND(R117&gt;=85,P117&gt;=16,N117&gt;=8),"Soru odaklı Reel",IF(AND(R117&gt;=85,P117&gt;=16),"Reel / Short",IF(M117&gt;=11,"Carousel","Kart testi"))))</x:f>
        <x:v>Carousel</x:v>
      </x:c>
      <x:c r="U117" s="46" t="str">
        <x:v>Klinik ölümden sabah rutinine dönüşüm çok sinematik; iki ayda borç ve hayat değişimi ciddi doğrulama ister.</x:v>
      </x:c>
      <x:c r="V117" s="46" t="str">
        <x:f>IF(Q117&lt;=3,"Kaynak kontrolü şart",IF(Q117=4,"Kaynak kontrolü önerilir","Standart doğrulama"))</x:f>
        <x:v>Kaynak kontrolü şart</x:v>
      </x:c>
    </x:row>
    <x:row r="118" ht="24" customHeight="1">
      <x:c r="A118" s="48" t="n">
        <x:f>COUNTIF($R$2:$R$751,"&gt;"&amp;R118)+COUNTIF($R$2:R118,R118)</x:f>
        <x:v>117</x:v>
      </x:c>
      <x:c r="B118" s="48" t="n">
        <x:v>1453</x:v>
      </x:c>
      <x:c r="C118" s="46" t="str">
        <x:v>Sekiz gün sekiz yıla bedel</x:v>
      </x:c>
      <x:c r="D118" s="34" t="str">
        <x:v>Psikoloji</x:v>
      </x:c>
      <x:c r="E118" s="34" t="str">
        <x:v>Mutluluk</x:v>
      </x:c>
      <x:c r="F118" s="34" t="str">
        <x:v>Neşeyi Seç</x:v>
      </x:c>
      <x:c r="G118" s="34" t="str">
        <x:v>Dalai Lama</x:v>
      </x:c>
      <x:c r="H118" s="50" t="str">
        <x:v>1</x:v>
      </x:c>
      <x:c r="I118" s="50" t="str">
        <x:v>Temel</x:v>
      </x:c>
      <x:c r="J118" s="51" t="n">
        <x:v>13</x:v>
      </x:c>
      <x:c r="K118" s="51" t="n">
        <x:v>8</x:v>
      </x:c>
      <x:c r="L118" s="51" t="n">
        <x:v>13</x:v>
      </x:c>
      <x:c r="M118" s="51" t="n">
        <x:v>13</x:v>
      </x:c>
      <x:c r="N118" s="51" t="n">
        <x:v>9</x:v>
      </x:c>
      <x:c r="O118" s="51" t="n">
        <x:v>7</x:v>
      </x:c>
      <x:c r="P118" s="51" t="n">
        <x:v>16</x:v>
      </x:c>
      <x:c r="Q118" s="51" t="n">
        <x:v>5</x:v>
      </x:c>
      <x:c r="R118" s="52" t="n">
        <x:f>SUM(J118:Q118)</x:f>
        <x:v>84</x:v>
      </x:c>
      <x:c r="S118" s="50" t="str">
        <x:f>IF(R118&gt;='Rubrik'!$B$17,"Öncelikli video",IF(R118&gt;='Rubrik'!$B$18,"Video kuyruğu",IF(R118&gt;='Rubrik'!$B$19,"Revize et",IF(R118&gt;='Rubrik'!$B$20,"Kartla test","Düşük öncelik"))))</x:f>
        <x:v>Revize et</x:v>
      </x:c>
      <x:c r="T118" s="50" t="str">
        <x:f>IF(AND(R118&gt;=85,P118&gt;=16,M118&gt;=12,L118&gt;=12),"Reel + Carousel",IF(AND(R118&gt;=85,P118&gt;=16,N118&gt;=8),"Soru odaklı Reel",IF(AND(R118&gt;=85,P118&gt;=16),"Reel / Short",IF(M118&gt;=11,"Carousel","Kart testi"))))</x:f>
        <x:v>Carousel</x:v>
      </x:c>
      <x:c r="U118" s="46" t="str">
        <x:v>Dalai Lama ile Desmond Tutu'nun sekiz günlük buluşması sıcak karakterler ve güçlü bir neşe vaadi taşıyor.</x:v>
      </x:c>
      <x:c r="V118" s="46" t="str">
        <x:f>IF(Q118&lt;=3,"Kaynak kontrolü şart",IF(Q118=4,"Kaynak kontrolü önerilir","Standart doğrulama"))</x:f>
        <x:v>Standart doğrulama</x:v>
      </x:c>
    </x:row>
    <x:row r="119" ht="24" customHeight="1">
      <x:c r="A119" s="48" t="n">
        <x:f>COUNTIF($R$2:$R$751,"&gt;"&amp;R119)+COUNTIF($R$2:R119,R119)</x:f>
        <x:v>118</x:v>
      </x:c>
      <x:c r="B119" s="48" t="n">
        <x:v>1471</x:v>
      </x:c>
      <x:c r="C119" s="46" t="str">
        <x:v>Darwin'in yürüyüş yolu</x:v>
      </x:c>
      <x:c r="D119" s="34" t="str">
        <x:v>Verimlilik</x:v>
      </x:c>
      <x:c r="E119" s="34" t="str">
        <x:v>Verimlilik</x:v>
      </x:c>
      <x:c r="F119" s="34" t="str">
        <x:v>Dinlenmenin Gücü</x:v>
      </x:c>
      <x:c r="G119" s="34" t="str">
        <x:v>Alex Soojung-Kim Pang</x:v>
      </x:c>
      <x:c r="H119" s="50" t="str">
        <x:v>1</x:v>
      </x:c>
      <x:c r="I119" s="50" t="str">
        <x:v>Temel</x:v>
      </x:c>
      <x:c r="J119" s="51" t="n">
        <x:v>13</x:v>
      </x:c>
      <x:c r="K119" s="51" t="n">
        <x:v>7</x:v>
      </x:c>
      <x:c r="L119" s="51" t="n">
        <x:v>13</x:v>
      </x:c>
      <x:c r="M119" s="51" t="n">
        <x:v>14</x:v>
      </x:c>
      <x:c r="N119" s="51" t="n">
        <x:v>9</x:v>
      </x:c>
      <x:c r="O119" s="51" t="n">
        <x:v>7</x:v>
      </x:c>
      <x:c r="P119" s="51" t="n">
        <x:v>16</x:v>
      </x:c>
      <x:c r="Q119" s="51" t="n">
        <x:v>5</x:v>
      </x:c>
      <x:c r="R119" s="52" t="n">
        <x:f>SUM(J119:Q119)</x:f>
        <x:v>84</x:v>
      </x:c>
      <x:c r="S119" s="50" t="str">
        <x:f>IF(R119&gt;='Rubrik'!$B$17,"Öncelikli video",IF(R119&gt;='Rubrik'!$B$18,"Video kuyruğu",IF(R119&gt;='Rubrik'!$B$19,"Revize et",IF(R119&gt;='Rubrik'!$B$20,"Kartla test","Düşük öncelik"))))</x:f>
        <x:v>Revize et</x:v>
      </x:c>
      <x:c r="T119" s="50" t="str">
        <x:f>IF(AND(R119&gt;=85,P119&gt;=16,M119&gt;=12,L119&gt;=12),"Reel + Carousel",IF(AND(R119&gt;=85,P119&gt;=16,N119&gt;=8),"Soru odaklı Reel",IF(AND(R119&gt;=85,P119&gt;=16),"Reel / Short",IF(M119&gt;=11,"Carousel","Kart testi"))))</x:f>
        <x:v>Carousel</x:v>
      </x:c>
      <x:c r="U119" s="46" t="str">
        <x:v>Darwin'in dört saatlik çalışma düzeni üretkenlik mitini ters yüz ediyor; yürüyüş sahneleriyle kolayca paylaşılır.</x:v>
      </x:c>
      <x:c r="V119" s="46" t="str">
        <x:f>IF(Q119&lt;=3,"Kaynak kontrolü şart",IF(Q119=4,"Kaynak kontrolü önerilir","Standart doğrulama"))</x:f>
        <x:v>Standart doğrulama</x:v>
      </x:c>
    </x:row>
    <x:row r="120" ht="24" customHeight="1">
      <x:c r="A120" s="48" t="n">
        <x:f>COUNTIF($R$2:$R$751,"&gt;"&amp;R120)+COUNTIF($R$2:R120,R120)</x:f>
        <x:v>119</x:v>
      </x:c>
      <x:c r="B120" s="48" t="n">
        <x:v>1526</x:v>
      </x:c>
      <x:c r="C120" s="46" t="str">
        <x:v>Bir inç çerçevesi</x:v>
      </x:c>
      <x:c r="D120" s="34" t="str">
        <x:v>Finans</x:v>
      </x:c>
      <x:c r="E120" s="34" t="str">
        <x:v>Finans</x:v>
      </x:c>
      <x:c r="F120" s="34" t="str">
        <x:v>Parça Parça Yazmak</x:v>
      </x:c>
      <x:c r="G120" s="34" t="str">
        <x:v>Anne Lamott</x:v>
      </x:c>
      <x:c r="H120" s="50" t="str">
        <x:v>1</x:v>
      </x:c>
      <x:c r="I120" s="50" t="str">
        <x:v>Temel</x:v>
      </x:c>
      <x:c r="J120" s="51" t="n">
        <x:v>13</x:v>
      </x:c>
      <x:c r="K120" s="51" t="n">
        <x:v>7</x:v>
      </x:c>
      <x:c r="L120" s="51" t="n">
        <x:v>13</x:v>
      </x:c>
      <x:c r="M120" s="51" t="n">
        <x:v>15</x:v>
      </x:c>
      <x:c r="N120" s="51" t="n">
        <x:v>8</x:v>
      </x:c>
      <x:c r="O120" s="51" t="n">
        <x:v>7</x:v>
      </x:c>
      <x:c r="P120" s="51" t="n">
        <x:v>16</x:v>
      </x:c>
      <x:c r="Q120" s="51" t="n">
        <x:v>5</x:v>
      </x:c>
      <x:c r="R120" s="52" t="n">
        <x:f>SUM(J120:Q120)</x:f>
        <x:v>84</x:v>
      </x:c>
      <x:c r="S120" s="50" t="str">
        <x:f>IF(R120&gt;='Rubrik'!$B$17,"Öncelikli video",IF(R120&gt;='Rubrik'!$B$18,"Video kuyruğu",IF(R120&gt;='Rubrik'!$B$19,"Revize et",IF(R120&gt;='Rubrik'!$B$20,"Kartla test","Düşük öncelik"))))</x:f>
        <x:v>Revize et</x:v>
      </x:c>
      <x:c r="T120" s="50" t="str">
        <x:f>IF(AND(R120&gt;=85,P120&gt;=16,M120&gt;=12,L120&gt;=12),"Reel + Carousel",IF(AND(R120&gt;=85,P120&gt;=16,N120&gt;=8),"Soru odaklı Reel",IF(AND(R120&gt;=85,P120&gt;=16),"Reel / Short",IF(M120&gt;=11,"Carousel","Kart testi"))))</x:f>
        <x:v>Carousel</x:v>
      </x:c>
      <x:c r="U120" s="46" t="str">
        <x:v>Bir inçlik çerçeve büyük işi küçültüp yapılabilir kılıyor; güçlü nesne metaforu videoda hemen anlaşılır.</x:v>
      </x:c>
      <x:c r="V120" s="46" t="str">
        <x:f>IF(Q120&lt;=3,"Kaynak kontrolü şart",IF(Q120=4,"Kaynak kontrolü önerilir","Standart doğrulama"))</x:f>
        <x:v>Standart doğrulama</x:v>
      </x:c>
    </x:row>
    <x:row r="121" ht="24" customHeight="1">
      <x:c r="A121" s="48" t="n">
        <x:f>COUNTIF($R$2:$R$751,"&gt;"&amp;R121)+COUNTIF($R$2:R121,R121)</x:f>
        <x:v>120</x:v>
      </x:c>
      <x:c r="B121" s="48" t="n">
        <x:v>1537</x:v>
      </x:c>
      <x:c r="C121" s="46" t="str">
        <x:v>10.000 saat efsanesi ve Anders Ericsson'un gerçek bulgusu</x:v>
      </x:c>
      <x:c r="D121" s="34" t="str">
        <x:v>Liderlik</x:v>
      </x:c>
      <x:c r="E121" s="34" t="str">
        <x:v>Başarı</x:v>
      </x:c>
      <x:c r="F121" s="34" t="str">
        <x:v>Sıçramak</x:v>
      </x:c>
      <x:c r="G121" s="34" t="str">
        <x:v>Matthew Syed</x:v>
      </x:c>
      <x:c r="H121" s="50" t="str">
        <x:v>1</x:v>
      </x:c>
      <x:c r="I121" s="50" t="str">
        <x:v>Temel</x:v>
      </x:c>
      <x:c r="J121" s="51" t="n">
        <x:v>13</x:v>
      </x:c>
      <x:c r="K121" s="51" t="n">
        <x:v>7</x:v>
      </x:c>
      <x:c r="L121" s="51" t="n">
        <x:v>13</x:v>
      </x:c>
      <x:c r="M121" s="51" t="n">
        <x:v>15</x:v>
      </x:c>
      <x:c r="N121" s="51" t="n">
        <x:v>9</x:v>
      </x:c>
      <x:c r="O121" s="51" t="n">
        <x:v>7</x:v>
      </x:c>
      <x:c r="P121" s="51" t="n">
        <x:v>16</x:v>
      </x:c>
      <x:c r="Q121" s="51" t="n">
        <x:v>4</x:v>
      </x:c>
      <x:c r="R121" s="52" t="n">
        <x:f>SUM(J121:Q121)</x:f>
        <x:v>84</x:v>
      </x:c>
      <x:c r="S121" s="50" t="str">
        <x:f>IF(R121&gt;='Rubrik'!$B$17,"Öncelikli video",IF(R121&gt;='Rubrik'!$B$18,"Video kuyruğu",IF(R121&gt;='Rubrik'!$B$19,"Revize et",IF(R121&gt;='Rubrik'!$B$20,"Kartla test","Düşük öncelik"))))</x:f>
        <x:v>Revize et</x:v>
      </x:c>
      <x:c r="T121" s="50" t="str">
        <x:f>IF(AND(R121&gt;=85,P121&gt;=16,M121&gt;=12,L121&gt;=12),"Reel + Carousel",IF(AND(R121&gt;=85,P121&gt;=16,N121&gt;=8),"Soru odaklı Reel",IF(AND(R121&gt;=85,P121&gt;=16),"Reel / Short",IF(M121&gt;=11,"Carousel","Kart testi"))))</x:f>
        <x:v>Carousel</x:v>
      </x:c>
      <x:c r="U121" s="46" t="str">
        <x:v>On bin saat mitini bozan bilinçli pratik ayrımı popüler bir inancı düzeltir ve uygulanabilir öneriler verir.</x:v>
      </x:c>
      <x:c r="V121" s="46" t="str">
        <x:f>IF(Q121&lt;=3,"Kaynak kontrolü şart",IF(Q121=4,"Kaynak kontrolü önerilir","Standart doğrulama"))</x:f>
        <x:v>Kaynak kontrolü önerilir</x:v>
      </x:c>
    </x:row>
    <x:row r="122" ht="24" customHeight="1">
      <x:c r="A122" s="48" t="n">
        <x:f>COUNTIF($R$2:$R$751,"&gt;"&amp;R122)+COUNTIF($R$2:R122,R122)</x:f>
        <x:v>121</x:v>
      </x:c>
      <x:c r="B122" s="48" t="n">
        <x:v>1553</x:v>
      </x:c>
      <x:c r="C122" s="46" t="str">
        <x:v>Sahte uyum tuzağı — çatışmadan kaçmak neden ekibi yavaşlatır</x:v>
      </x:c>
      <x:c r="D122" s="34" t="str">
        <x:v>Liderlik</x:v>
      </x:c>
      <x:c r="E122" s="34" t="str">
        <x:v>Liderlik</x:v>
      </x:c>
      <x:c r="F122" s="34" t="str">
        <x:v>The Five Dysfunctions of a Team</x:v>
      </x:c>
      <x:c r="G122" s="34" t="str">
        <x:v>Patrick Lencioni</x:v>
      </x:c>
      <x:c r="H122" s="50" t="str">
        <x:v>1</x:v>
      </x:c>
      <x:c r="I122" s="50" t="str">
        <x:v>Temel</x:v>
      </x:c>
      <x:c r="J122" s="51" t="n">
        <x:v>13</x:v>
      </x:c>
      <x:c r="K122" s="51" t="n">
        <x:v>8</x:v>
      </x:c>
      <x:c r="L122" s="51" t="n">
        <x:v>13</x:v>
      </x:c>
      <x:c r="M122" s="51" t="n">
        <x:v>13</x:v>
      </x:c>
      <x:c r="N122" s="51" t="n">
        <x:v>9</x:v>
      </x:c>
      <x:c r="O122" s="51" t="n">
        <x:v>7</x:v>
      </x:c>
      <x:c r="P122" s="51" t="n">
        <x:v>16</x:v>
      </x:c>
      <x:c r="Q122" s="51" t="n">
        <x:v>5</x:v>
      </x:c>
      <x:c r="R122" s="52" t="n">
        <x:f>SUM(J122:Q122)</x:f>
        <x:v>84</x:v>
      </x:c>
      <x:c r="S122" s="50" t="str">
        <x:f>IF(R122&gt;='Rubrik'!$B$17,"Öncelikli video",IF(R122&gt;='Rubrik'!$B$18,"Video kuyruğu",IF(R122&gt;='Rubrik'!$B$19,"Revize et",IF(R122&gt;='Rubrik'!$B$20,"Kartla test","Düşük öncelik"))))</x:f>
        <x:v>Revize et</x:v>
      </x:c>
      <x:c r="T122" s="50" t="str">
        <x:f>IF(AND(R122&gt;=85,P122&gt;=16,M122&gt;=12,L122&gt;=12),"Reel + Carousel",IF(AND(R122&gt;=85,P122&gt;=16,N122&gt;=8),"Soru odaklı Reel",IF(AND(R122&gt;=85,P122&gt;=16),"Reel / Short",IF(M122&gt;=11,"Carousel","Kart testi"))))</x:f>
        <x:v>Carousel</x:v>
      </x:c>
      <x:c r="U122" s="46" t="str">
        <x:v>Sahte uyumun gerçek çatışmadan tehlikeli olması güçlü ters köşe; ekip yaşayan herkes için paylaşılabilir.</x:v>
      </x:c>
      <x:c r="V122" s="46" t="str">
        <x:f>IF(Q122&lt;=3,"Kaynak kontrolü şart",IF(Q122=4,"Kaynak kontrolü önerilir","Standart doğrulama"))</x:f>
        <x:v>Standart doğrulama</x:v>
      </x:c>
    </x:row>
    <x:row r="123" ht="24" customHeight="1">
      <x:c r="A123" s="48" t="n">
        <x:f>COUNTIF($R$2:$R$751,"&gt;"&amp;R123)+COUNTIF($R$2:R123,R123)</x:f>
        <x:v>122</x:v>
      </x:c>
      <x:c r="B123" s="48" t="n">
        <x:v>1562</x:v>
      </x:c>
      <x:c r="C123" s="46" t="str">
        <x:v>Otomatik pilot — zihnin nerede olduğundan habersiz yaşamak</x:v>
      </x:c>
      <x:c r="D123" s="34" t="str">
        <x:v>Sağlık</x:v>
      </x:c>
      <x:c r="E123" s="34" t="str">
        <x:v>Sağlık</x:v>
      </x:c>
      <x:c r="F123" s="34" t="str">
        <x:v>Farkındalık Temelli Yaşam</x:v>
      </x:c>
      <x:c r="G123" s="34" t="str">
        <x:v>Jon Kabat-Zinn</x:v>
      </x:c>
      <x:c r="H123" s="50" t="str">
        <x:v>1</x:v>
      </x:c>
      <x:c r="I123" s="50" t="str">
        <x:v>Temel</x:v>
      </x:c>
      <x:c r="J123" s="51" t="n">
        <x:v>13</x:v>
      </x:c>
      <x:c r="K123" s="51" t="n">
        <x:v>8</x:v>
      </x:c>
      <x:c r="L123" s="51" t="n">
        <x:v>13</x:v>
      </x:c>
      <x:c r="M123" s="51" t="n">
        <x:v>14</x:v>
      </x:c>
      <x:c r="N123" s="51" t="n">
        <x:v>8</x:v>
      </x:c>
      <x:c r="O123" s="51" t="n">
        <x:v>7</x:v>
      </x:c>
      <x:c r="P123" s="51" t="n">
        <x:v>16</x:v>
      </x:c>
      <x:c r="Q123" s="51" t="n">
        <x:v>5</x:v>
      </x:c>
      <x:c r="R123" s="52" t="n">
        <x:f>SUM(J123:Q123)</x:f>
        <x:v>84</x:v>
      </x:c>
      <x:c r="S123" s="50" t="str">
        <x:f>IF(R123&gt;='Rubrik'!$B$17,"Öncelikli video",IF(R123&gt;='Rubrik'!$B$18,"Video kuyruğu",IF(R123&gt;='Rubrik'!$B$19,"Revize et",IF(R123&gt;='Rubrik'!$B$20,"Kartla test","Düşük öncelik"))))</x:f>
        <x:v>Revize et</x:v>
      </x:c>
      <x:c r="T123" s="50" t="str">
        <x:f>IF(AND(R123&gt;=85,P123&gt;=16,M123&gt;=12,L123&gt;=12),"Reel + Carousel",IF(AND(R123&gt;=85,P123&gt;=16,N123&gt;=8),"Soru odaklı Reel",IF(AND(R123&gt;=85,P123&gt;=16),"Reel / Short",IF(M123&gt;=11,"Carousel","Kart testi"))))</x:f>
        <x:v>Carousel</x:v>
      </x:c>
      <x:c r="U123" s="46" t="str">
        <x:v>Otomatik pilotta geçen hayat herkesi dürten güçlü bir ayna; gündelik sahnelerle çok kolay videolaşır.</x:v>
      </x:c>
      <x:c r="V123" s="46" t="str">
        <x:f>IF(Q123&lt;=3,"Kaynak kontrolü şart",IF(Q123=4,"Kaynak kontrolü önerilir","Standart doğrulama"))</x:f>
        <x:v>Standart doğrulama</x:v>
      </x:c>
    </x:row>
    <x:row r="124" ht="24" customHeight="1">
      <x:c r="A124" s="48" t="n">
        <x:f>COUNTIF($R$2:$R$751,"&gt;"&amp;R124)+COUNTIF($R$2:R124,R124)</x:f>
        <x:v>123</x:v>
      </x:c>
      <x:c r="B124" s="48" t="n">
        <x:v>1571</x:v>
      </x:c>
      <x:c r="C124" s="46" t="str">
        <x:v>Kırılganlığın döngüsü — zayıflık göstermek gücü artırır</x:v>
      </x:c>
      <x:c r="D124" s="34" t="str">
        <x:v>Liderlik</x:v>
      </x:c>
      <x:c r="E124" s="34" t="str">
        <x:v>Liderlik</x:v>
      </x:c>
      <x:c r="F124" s="34" t="str">
        <x:v>Kültür Kodu</x:v>
      </x:c>
      <x:c r="G124" s="34" t="str">
        <x:v>Daniel Coyle</x:v>
      </x:c>
      <x:c r="H124" s="50" t="str">
        <x:v>1</x:v>
      </x:c>
      <x:c r="I124" s="50" t="str">
        <x:v>Temel</x:v>
      </x:c>
      <x:c r="J124" s="51" t="n">
        <x:v>13</x:v>
      </x:c>
      <x:c r="K124" s="51" t="n">
        <x:v>8</x:v>
      </x:c>
      <x:c r="L124" s="51" t="n">
        <x:v>13</x:v>
      </x:c>
      <x:c r="M124" s="51" t="n">
        <x:v>13</x:v>
      </x:c>
      <x:c r="N124" s="51" t="n">
        <x:v>9</x:v>
      </x:c>
      <x:c r="O124" s="51" t="n">
        <x:v>7</x:v>
      </x:c>
      <x:c r="P124" s="51" t="n">
        <x:v>16</x:v>
      </x:c>
      <x:c r="Q124" s="51" t="n">
        <x:v>5</x:v>
      </x:c>
      <x:c r="R124" s="52" t="n">
        <x:f>SUM(J124:Q124)</x:f>
        <x:v>84</x:v>
      </x:c>
      <x:c r="S124" s="50" t="str">
        <x:f>IF(R124&gt;='Rubrik'!$B$17,"Öncelikli video",IF(R124&gt;='Rubrik'!$B$18,"Video kuyruğu",IF(R124&gt;='Rubrik'!$B$19,"Revize et",IF(R124&gt;='Rubrik'!$B$20,"Kartla test","Düşük öncelik"))))</x:f>
        <x:v>Revize et</x:v>
      </x:c>
      <x:c r="T124" s="50" t="str">
        <x:f>IF(AND(R124&gt;=85,P124&gt;=16,M124&gt;=12,L124&gt;=12),"Reel + Carousel",IF(AND(R124&gt;=85,P124&gt;=16,N124&gt;=8),"Soru odaklı Reel",IF(AND(R124&gt;=85,P124&gt;=16),"Reel / Short",IF(M124&gt;=11,"Carousel","Kart testi"))))</x:f>
        <x:v>Carousel</x:v>
      </x:c>
      <x:c r="U124" s="46" t="str">
        <x:v>Pixar liderinin önce kendi hatasını anlatması savunmasızlığı sahne üzerinde gösterir; güçlü ekip dersi verir.</x:v>
      </x:c>
      <x:c r="V124" s="46" t="str">
        <x:f>IF(Q124&lt;=3,"Kaynak kontrolü şart",IF(Q124=4,"Kaynak kontrolü önerilir","Standart doğrulama"))</x:f>
        <x:v>Standart doğrulama</x:v>
      </x:c>
    </x:row>
    <x:row r="125" ht="24" customHeight="1">
      <x:c r="A125" s="48" t="n">
        <x:f>COUNTIF($R$2:$R$751,"&gt;"&amp;R125)+COUNTIF($R$2:R125,R125)</x:f>
        <x:v>124</x:v>
      </x:c>
      <x:c r="B125" s="48" t="n">
        <x:v>1576</x:v>
      </x:c>
      <x:c r="C125" s="46" t="str">
        <x:v>Ödül paradoksu — para motivasyonu öldürebilir</x:v>
      </x:c>
      <x:c r="D125" s="34" t="str">
        <x:v>Büyüme</x:v>
      </x:c>
      <x:c r="E125" s="34" t="str">
        <x:v>Motivasyon</x:v>
      </x:c>
      <x:c r="F125" s="34" t="str">
        <x:v>İşte Anlam</x:v>
      </x:c>
      <x:c r="G125" s="34" t="str">
        <x:v>Daniel Pink</x:v>
      </x:c>
      <x:c r="H125" s="50" t="str">
        <x:v>1</x:v>
      </x:c>
      <x:c r="I125" s="50" t="str">
        <x:v>Temel</x:v>
      </x:c>
      <x:c r="J125" s="51" t="n">
        <x:v>13</x:v>
      </x:c>
      <x:c r="K125" s="51" t="n">
        <x:v>8</x:v>
      </x:c>
      <x:c r="L125" s="51" t="n">
        <x:v>13</x:v>
      </x:c>
      <x:c r="M125" s="51" t="n">
        <x:v>14</x:v>
      </x:c>
      <x:c r="N125" s="51" t="n">
        <x:v>8</x:v>
      </x:c>
      <x:c r="O125" s="51" t="n">
        <x:v>7</x:v>
      </x:c>
      <x:c r="P125" s="51" t="n">
        <x:v>16</x:v>
      </x:c>
      <x:c r="Q125" s="51" t="n">
        <x:v>5</x:v>
      </x:c>
      <x:c r="R125" s="52" t="n">
        <x:f>SUM(J125:Q125)</x:f>
        <x:v>84</x:v>
      </x:c>
      <x:c r="S125" s="50" t="str">
        <x:f>IF(R125&gt;='Rubrik'!$B$17,"Öncelikli video",IF(R125&gt;='Rubrik'!$B$18,"Video kuyruğu",IF(R125&gt;='Rubrik'!$B$19,"Revize et",IF(R125&gt;='Rubrik'!$B$20,"Kartla test","Düşük öncelik"))))</x:f>
        <x:v>Revize et</x:v>
      </x:c>
      <x:c r="T125" s="50" t="str">
        <x:f>IF(AND(R125&gt;=85,P125&gt;=16,M125&gt;=12,L125&gt;=12),"Reel + Carousel",IF(AND(R125&gt;=85,P125&gt;=16,N125&gt;=8),"Soru odaklı Reel",IF(AND(R125&gt;=85,P125&gt;=16),"Reel / Short",IF(M125&gt;=11,"Carousel","Kart testi"))))</x:f>
        <x:v>Carousel</x:v>
      </x:c>
      <x:c r="U125" s="46" t="str">
        <x:v>Ödül verilen çocukların resme ilgisini kaybetmesi şaşırtıcı ve duygulu; ebeveynler arasında çok paylaşılır.</x:v>
      </x:c>
      <x:c r="V125" s="46" t="str">
        <x:f>IF(Q125&lt;=3,"Kaynak kontrolü şart",IF(Q125=4,"Kaynak kontrolü önerilir","Standart doğrulama"))</x:f>
        <x:v>Standart doğrulama</x:v>
      </x:c>
    </x:row>
    <x:row r="126" ht="24" customHeight="1">
      <x:c r="A126" s="48" t="n">
        <x:f>COUNTIF($R$2:$R$751,"&gt;"&amp;R126)+COUNTIF($R$2:R126,R126)</x:f>
        <x:v>125</x:v>
      </x:c>
      <x:c r="B126" s="48" t="n">
        <x:v>1591</x:v>
      </x:c>
      <x:c r="C126" s="46" t="str">
        <x:v>Healthspan — uzun yaşamak değil iyi yaşamak</x:v>
      </x:c>
      <x:c r="D126" s="34" t="str">
        <x:v>Sağlık</x:v>
      </x:c>
      <x:c r="E126" s="34" t="str">
        <x:v>Sağlık</x:v>
      </x:c>
      <x:c r="F126" s="34" t="str">
        <x:v>Uzun Ömür</x:v>
      </x:c>
      <x:c r="G126" s="34" t="str">
        <x:v>Peter Attia</x:v>
      </x:c>
      <x:c r="H126" s="50" t="str">
        <x:v>1</x:v>
      </x:c>
      <x:c r="I126" s="50" t="str">
        <x:v>Temel</x:v>
      </x:c>
      <x:c r="J126" s="51" t="n">
        <x:v>13</x:v>
      </x:c>
      <x:c r="K126" s="51" t="n">
        <x:v>8</x:v>
      </x:c>
      <x:c r="L126" s="51" t="n">
        <x:v>13</x:v>
      </x:c>
      <x:c r="M126" s="51" t="n">
        <x:v>14</x:v>
      </x:c>
      <x:c r="N126" s="51" t="n">
        <x:v>9</x:v>
      </x:c>
      <x:c r="O126" s="51" t="n">
        <x:v>7</x:v>
      </x:c>
      <x:c r="P126" s="51" t="n">
        <x:v>16</x:v>
      </x:c>
      <x:c r="Q126" s="51" t="n">
        <x:v>4</x:v>
      </x:c>
      <x:c r="R126" s="52" t="n">
        <x:f>SUM(J126:Q126)</x:f>
        <x:v>84</x:v>
      </x:c>
      <x:c r="S126" s="50" t="str">
        <x:f>IF(R126&gt;='Rubrik'!$B$17,"Öncelikli video",IF(R126&gt;='Rubrik'!$B$18,"Video kuyruğu",IF(R126&gt;='Rubrik'!$B$19,"Revize et",IF(R126&gt;='Rubrik'!$B$20,"Kartla test","Düşük öncelik"))))</x:f>
        <x:v>Revize et</x:v>
      </x:c>
      <x:c r="T126" s="50" t="str">
        <x:f>IF(AND(R126&gt;=85,P126&gt;=16,M126&gt;=12,L126&gt;=12),"Reel + Carousel",IF(AND(R126&gt;=85,P126&gt;=16,N126&gt;=8),"Soru odaklı Reel",IF(AND(R126&gt;=85,P126&gt;=16),"Reel / Short",IF(M126&gt;=11,"Carousel","Kart testi"))))</x:f>
        <x:v>Carousel</x:v>
      </x:c>
      <x:c r="U126" s="46" t="str">
        <x:v>Seksen beşinde merdiven çıkma hedefi yaşam süresini somut bir sahneye çeviriyor; güçlü kaydetme motivasyonu verir.</x:v>
      </x:c>
      <x:c r="V126" s="46" t="str">
        <x:f>IF(Q126&lt;=3,"Kaynak kontrolü şart",IF(Q126=4,"Kaynak kontrolü önerilir","Standart doğrulama"))</x:f>
        <x:v>Kaynak kontrolü önerilir</x:v>
      </x:c>
    </x:row>
    <x:row r="127" ht="24" customHeight="1">
      <x:c r="A127" s="48" t="n">
        <x:f>COUNTIF($R$2:$R$751,"&gt;"&amp;R127)+COUNTIF($R$2:R127,R127)</x:f>
        <x:v>126</x:v>
      </x:c>
      <x:c r="B127" s="48" t="n">
        <x:v>1593</x:v>
      </x:c>
      <x:c r="C127" s="46" t="str">
        <x:v>Egzersiz — tek ilaç gibi çalışan tek değişken</x:v>
      </x:c>
      <x:c r="D127" s="34" t="str">
        <x:v>Sağlık</x:v>
      </x:c>
      <x:c r="E127" s="34" t="str">
        <x:v>Sağlık</x:v>
      </x:c>
      <x:c r="F127" s="34" t="str">
        <x:v>Uzun Ömür</x:v>
      </x:c>
      <x:c r="G127" s="34" t="str">
        <x:v>Peter Attia</x:v>
      </x:c>
      <x:c r="H127" s="50" t="str">
        <x:v>1</x:v>
      </x:c>
      <x:c r="I127" s="50" t="str">
        <x:v>Temel</x:v>
      </x:c>
      <x:c r="J127" s="51" t="n">
        <x:v>13</x:v>
      </x:c>
      <x:c r="K127" s="51" t="n">
        <x:v>8</x:v>
      </x:c>
      <x:c r="L127" s="51" t="n">
        <x:v>13</x:v>
      </x:c>
      <x:c r="M127" s="51" t="n">
        <x:v>14</x:v>
      </x:c>
      <x:c r="N127" s="51" t="n">
        <x:v>8</x:v>
      </x:c>
      <x:c r="O127" s="51" t="n">
        <x:v>7</x:v>
      </x:c>
      <x:c r="P127" s="51" t="n">
        <x:v>16</x:v>
      </x:c>
      <x:c r="Q127" s="51" t="n">
        <x:v>5</x:v>
      </x:c>
      <x:c r="R127" s="52" t="n">
        <x:f>SUM(J127:Q127)</x:f>
        <x:v>84</x:v>
      </x:c>
      <x:c r="S127" s="50" t="str">
        <x:f>IF(R127&gt;='Rubrik'!$B$17,"Öncelikli video",IF(R127&gt;='Rubrik'!$B$18,"Video kuyruğu",IF(R127&gt;='Rubrik'!$B$19,"Revize et",IF(R127&gt;='Rubrik'!$B$20,"Kartla test","Düşük öncelik"))))</x:f>
        <x:v>Revize et</x:v>
      </x:c>
      <x:c r="T127" s="50" t="str">
        <x:f>IF(AND(R127&gt;=85,P127&gt;=16,M127&gt;=12,L127&gt;=12),"Reel + Carousel",IF(AND(R127&gt;=85,P127&gt;=16,N127&gt;=8),"Soru odaklı Reel",IF(AND(R127&gt;=85,P127&gt;=16),"Reel / Short",IF(M127&gt;=11,"Carousel","Kart testi"))))</x:f>
        <x:v>Carousel</x:v>
      </x:c>
      <x:c r="U127" s="46" t="str">
        <x:v>Egzersizi ilaç gibi reçete etmek net, motive edici ve uygulanabilir; geniş kitle için güçlü kayıt içeriği.</x:v>
      </x:c>
      <x:c r="V127" s="46" t="str">
        <x:f>IF(Q127&lt;=3,"Kaynak kontrolü şart",IF(Q127=4,"Kaynak kontrolü önerilir","Standart doğrulama"))</x:f>
        <x:v>Standart doğrulama</x:v>
      </x:c>
    </x:row>
    <x:row r="128" ht="24" customHeight="1">
      <x:c r="A128" s="48" t="n">
        <x:f>COUNTIF($R$2:$R$751,"&gt;"&amp;R128)+COUNTIF($R$2:R128,R128)</x:f>
        <x:v>127</x:v>
      </x:c>
      <x:c r="B128" s="48" t="n">
        <x:v>1611</x:v>
      </x:c>
      <x:c r="C128" s="46" t="str">
        <x:v>Piyasa zamanlaması yanılgısı — içeride kalmak neden her şeyden önemli</x:v>
      </x:c>
      <x:c r="D128" s="34" t="str">
        <x:v>Finans</x:v>
      </x:c>
      <x:c r="E128" s="34" t="str">
        <x:v>Finans</x:v>
      </x:c>
      <x:c r="F128" s="34" t="str">
        <x:v>Mantıklı Borsa</x:v>
      </x:c>
      <x:c r="G128" s="34" t="str">
        <x:v>John Bogle</x:v>
      </x:c>
      <x:c r="H128" s="50" t="str">
        <x:v>1</x:v>
      </x:c>
      <x:c r="I128" s="50" t="str">
        <x:v>Temel</x:v>
      </x:c>
      <x:c r="J128" s="51" t="n">
        <x:v>13</x:v>
      </x:c>
      <x:c r="K128" s="51" t="n">
        <x:v>7</x:v>
      </x:c>
      <x:c r="L128" s="51" t="n">
        <x:v>13</x:v>
      </x:c>
      <x:c r="M128" s="51" t="n">
        <x:v>15</x:v>
      </x:c>
      <x:c r="N128" s="51" t="n">
        <x:v>9</x:v>
      </x:c>
      <x:c r="O128" s="51" t="n">
        <x:v>7</x:v>
      </x:c>
      <x:c r="P128" s="51" t="n">
        <x:v>16</x:v>
      </x:c>
      <x:c r="Q128" s="51" t="n">
        <x:v>4</x:v>
      </x:c>
      <x:c r="R128" s="52" t="n">
        <x:f>SUM(J128:Q128)</x:f>
        <x:v>84</x:v>
      </x:c>
      <x:c r="S128" s="50" t="str">
        <x:f>IF(R128&gt;='Rubrik'!$B$17,"Öncelikli video",IF(R128&gt;='Rubrik'!$B$18,"Video kuyruğu",IF(R128&gt;='Rubrik'!$B$19,"Revize et",IF(R128&gt;='Rubrik'!$B$20,"Kartla test","Düşük öncelik"))))</x:f>
        <x:v>Revize et</x:v>
      </x:c>
      <x:c r="T128" s="50" t="str">
        <x:f>IF(AND(R128&gt;=85,P128&gt;=16,M128&gt;=12,L128&gt;=12),"Reel + Carousel",IF(AND(R128&gt;=85,P128&gt;=16,N128&gt;=8),"Soru odaklı Reel",IF(AND(R128&gt;=85,P128&gt;=16),"Reel / Short",IF(M128&gt;=11,"Carousel","Kart testi"))))</x:f>
        <x:v>Carousel</x:v>
      </x:c>
      <x:c r="U128" s="46" t="str">
        <x:v>Piyasanın en iyi günlerini kaçırma grafiği zamanlama dürtüsünü çarpıcı biçimde tersine çeviriyor.</x:v>
      </x:c>
      <x:c r="V128" s="46" t="str">
        <x:f>IF(Q128&lt;=3,"Kaynak kontrolü şart",IF(Q128=4,"Kaynak kontrolü önerilir","Standart doğrulama"))</x:f>
        <x:v>Kaynak kontrolü önerilir</x:v>
      </x:c>
    </x:row>
    <x:row r="129" ht="24" customHeight="1">
      <x:c r="A129" s="48" t="n">
        <x:f>COUNTIF($R$2:$R$751,"&gt;"&amp;R129)+COUNTIF($R$2:R129,R129)</x:f>
        <x:v>128</x:v>
      </x:c>
      <x:c r="B129" s="48" t="n">
        <x:v>1615</x:v>
      </x:c>
      <x:c r="C129" s="46" t="str">
        <x:v>Çığlık atan bebek ve kar topu — borcun psikolojik savaşı</x:v>
      </x:c>
      <x:c r="D129" s="34" t="str">
        <x:v>Finans</x:v>
      </x:c>
      <x:c r="E129" s="34" t="str">
        <x:v>Finans</x:v>
      </x:c>
      <x:c r="F129" s="34" t="str">
        <x:v>Borç Devrimi</x:v>
      </x:c>
      <x:c r="G129" s="34" t="str">
        <x:v>Dave Ramsey</x:v>
      </x:c>
      <x:c r="H129" s="50" t="str">
        <x:v>1</x:v>
      </x:c>
      <x:c r="I129" s="50" t="str">
        <x:v>Temel</x:v>
      </x:c>
      <x:c r="J129" s="51" t="n">
        <x:v>13</x:v>
      </x:c>
      <x:c r="K129" s="51" t="n">
        <x:v>8</x:v>
      </x:c>
      <x:c r="L129" s="51" t="n">
        <x:v>13</x:v>
      </x:c>
      <x:c r="M129" s="51" t="n">
        <x:v>14</x:v>
      </x:c>
      <x:c r="N129" s="51" t="n">
        <x:v>8</x:v>
      </x:c>
      <x:c r="O129" s="51" t="n">
        <x:v>7</x:v>
      </x:c>
      <x:c r="P129" s="51" t="n">
        <x:v>16</x:v>
      </x:c>
      <x:c r="Q129" s="51" t="n">
        <x:v>5</x:v>
      </x:c>
      <x:c r="R129" s="52" t="n">
        <x:f>SUM(J129:Q129)</x:f>
        <x:v>84</x:v>
      </x:c>
      <x:c r="S129" s="50" t="str">
        <x:f>IF(R129&gt;='Rubrik'!$B$17,"Öncelikli video",IF(R129&gt;='Rubrik'!$B$18,"Video kuyruğu",IF(R129&gt;='Rubrik'!$B$19,"Revize et",IF(R129&gt;='Rubrik'!$B$20,"Kartla test","Düşük öncelik"))))</x:f>
        <x:v>Revize et</x:v>
      </x:c>
      <x:c r="T129" s="50" t="str">
        <x:f>IF(AND(R129&gt;=85,P129&gt;=16,M129&gt;=12,L129&gt;=12),"Reel + Carousel",IF(AND(R129&gt;=85,P129&gt;=16,N129&gt;=8),"Soru odaklı Reel",IF(AND(R129&gt;=85,P129&gt;=16),"Reel / Short",IF(M129&gt;=11,"Carousel","Kart testi"))))</x:f>
        <x:v>Carousel</x:v>
      </x:c>
      <x:c r="U129" s="46" t="str">
        <x:v>Borç kartlarını birer birer kapatma kar topu yöntemi net ilerleme ve güçlü duygusal ödül sunuyor.</x:v>
      </x:c>
      <x:c r="V129" s="46" t="str">
        <x:f>IF(Q129&lt;=3,"Kaynak kontrolü şart",IF(Q129=4,"Kaynak kontrolü önerilir","Standart doğrulama"))</x:f>
        <x:v>Standart doğrulama</x:v>
      </x:c>
    </x:row>
    <x:row r="130" ht="24" customHeight="1">
      <x:c r="A130" s="48" t="n">
        <x:f>COUNTIF($R$2:$R$751,"&gt;"&amp;R130)+COUNTIF($R$2:R130,R130)</x:f>
        <x:v>129</x:v>
      </x:c>
      <x:c r="B130" s="48" t="n">
        <x:v>1618</x:v>
      </x:c>
      <x:c r="C130" s="46" t="str">
        <x:v>Duygusal bağ — yetişkin bağlanmasının temel ihtiyacı</x:v>
      </x:c>
      <x:c r="D130" s="34" t="str">
        <x:v>İletişim</x:v>
      </x:c>
      <x:c r="E130" s="34" t="str">
        <x:v>İlişkiler</x:v>
      </x:c>
      <x:c r="F130" s="34" t="str">
        <x:v>İlişki Psikolojisi</x:v>
      </x:c>
      <x:c r="G130" s="34" t="str">
        <x:v>Sue Johnson</x:v>
      </x:c>
      <x:c r="H130" s="50" t="str">
        <x:v>1</x:v>
      </x:c>
      <x:c r="I130" s="50" t="str">
        <x:v>Temel</x:v>
      </x:c>
      <x:c r="J130" s="51" t="n">
        <x:v>13</x:v>
      </x:c>
      <x:c r="K130" s="51" t="n">
        <x:v>8</x:v>
      </x:c>
      <x:c r="L130" s="51" t="n">
        <x:v>13</x:v>
      </x:c>
      <x:c r="M130" s="51" t="n">
        <x:v>14</x:v>
      </x:c>
      <x:c r="N130" s="51" t="n">
        <x:v>8</x:v>
      </x:c>
      <x:c r="O130" s="51" t="n">
        <x:v>7</x:v>
      </x:c>
      <x:c r="P130" s="51" t="n">
        <x:v>16</x:v>
      </x:c>
      <x:c r="Q130" s="51" t="n">
        <x:v>5</x:v>
      </x:c>
      <x:c r="R130" s="52" t="n">
        <x:f>SUM(J130:Q130)</x:f>
        <x:v>84</x:v>
      </x:c>
      <x:c r="S130" s="50" t="str">
        <x:f>IF(R130&gt;='Rubrik'!$B$17,"Öncelikli video",IF(R130&gt;='Rubrik'!$B$18,"Video kuyruğu",IF(R130&gt;='Rubrik'!$B$19,"Revize et",IF(R130&gt;='Rubrik'!$B$20,"Kartla test","Düşük öncelik"))))</x:f>
        <x:v>Revize et</x:v>
      </x:c>
      <x:c r="T130" s="50" t="str">
        <x:f>IF(AND(R130&gt;=85,P130&gt;=16,M130&gt;=12,L130&gt;=12),"Reel + Carousel",IF(AND(R130&gt;=85,P130&gt;=16,N130&gt;=8),"Soru odaklı Reel",IF(AND(R130&gt;=85,P130&gt;=16),"Reel / Short",IF(M130&gt;=11,"Carousel","Kart testi"))))</x:f>
        <x:v>Carousel</x:v>
      </x:c>
      <x:c r="U130" s="46" t="str">
        <x:v>Üç bağlanma sorusu ilişkide kendini tanımayı tetikliyor; sesli not, kaydetme ve paylaşım değeri çok yüksek.</x:v>
      </x:c>
      <x:c r="V130" s="46" t="str">
        <x:f>IF(Q130&lt;=3,"Kaynak kontrolü şart",IF(Q130=4,"Kaynak kontrolü önerilir","Standart doğrulama"))</x:f>
        <x:v>Standart doğrulama</x:v>
      </x:c>
    </x:row>
    <x:row r="131" ht="24" customHeight="1">
      <x:c r="A131" s="48" t="n">
        <x:f>COUNTIF($R$2:$R$751,"&gt;"&amp;R131)+COUNTIF($R$2:R131,R131)</x:f>
        <x:v>130</x:v>
      </x:c>
      <x:c r="B131" s="48" t="n">
        <x:v>1100</x:v>
      </x:c>
      <x:c r="C131" s="46" t="str">
        <x:v>Övgünün tehlikeli iki yüzü</x:v>
      </x:c>
      <x:c r="D131" s="34" t="str">
        <x:v>Psikoloji</x:v>
      </x:c>
      <x:c r="E131" s="34" t="str">
        <x:v>Psikoloji</x:v>
      </x:c>
      <x:c r="F131" s="34" t="str">
        <x:v>Zihin Gücü</x:v>
      </x:c>
      <x:c r="G131" s="34" t="str">
        <x:v>Carol Dweck</x:v>
      </x:c>
      <x:c r="H131" s="50" t="str">
        <x:v>1</x:v>
      </x:c>
      <x:c r="I131" s="50" t="str">
        <x:v>Temel</x:v>
      </x:c>
      <x:c r="J131" s="51" t="n">
        <x:v>14</x:v>
      </x:c>
      <x:c r="K131" s="51" t="n">
        <x:v>8</x:v>
      </x:c>
      <x:c r="L131" s="51" t="n">
        <x:v>12</x:v>
      </x:c>
      <x:c r="M131" s="51" t="n">
        <x:v>14</x:v>
      </x:c>
      <x:c r="N131" s="51" t="n">
        <x:v>9</x:v>
      </x:c>
      <x:c r="O131" s="51" t="n">
        <x:v>7</x:v>
      </x:c>
      <x:c r="P131" s="51" t="n">
        <x:v>16</x:v>
      </x:c>
      <x:c r="Q131" s="51" t="n">
        <x:v>4</x:v>
      </x:c>
      <x:c r="R131" s="52" t="n">
        <x:f>SUM(J131:Q131)</x:f>
        <x:v>84</x:v>
      </x:c>
      <x:c r="S131" s="50" t="str">
        <x:f>IF(R131&gt;='Rubrik'!$B$17,"Öncelikli video",IF(R131&gt;='Rubrik'!$B$18,"Video kuyruğu",IF(R131&gt;='Rubrik'!$B$19,"Revize et",IF(R131&gt;='Rubrik'!$B$20,"Kartla test","Düşük öncelik"))))</x:f>
        <x:v>Revize et</x:v>
      </x:c>
      <x:c r="T131" s="50" t="str">
        <x:f>IF(AND(R131&gt;=85,P131&gt;=16,M131&gt;=12,L131&gt;=12),"Reel + Carousel",IF(AND(R131&gt;=85,P131&gt;=16,N131&gt;=8),"Soru odaklı Reel",IF(AND(R131&gt;=85,P131&gt;=16),"Reel / Short",IF(M131&gt;=11,"Carousel","Kart testi"))))</x:f>
        <x:v>Carousel</x:v>
      </x:c>
      <x:c r="U131" s="46" t="str">
        <x:v>Zekisin ve çalıştın övgülerinin ayrışması net deney, ebeveynlik değeri ve yüksek paylaşım gücü sunuyor.</x:v>
      </x:c>
      <x:c r="V131" s="46" t="str">
        <x:f>IF(Q131&lt;=3,"Kaynak kontrolü şart",IF(Q131=4,"Kaynak kontrolü önerilir","Standart doğrulama"))</x:f>
        <x:v>Kaynak kontrolü önerilir</x:v>
      </x:c>
    </x:row>
    <x:row r="132" ht="24" customHeight="1">
      <x:c r="A132" s="48" t="n">
        <x:f>COUNTIF($R$2:$R$751,"&gt;"&amp;R132)+COUNTIF($R$2:R132,R132)</x:f>
        <x:v>131</x:v>
      </x:c>
      <x:c r="B132" s="48" t="n">
        <x:v>1116</x:v>
      </x:c>
      <x:c r="C132" s="46" t="str">
        <x:v>Şans ve risk — Bill Gates'in okul arkadaşı</x:v>
      </x:c>
      <x:c r="D132" s="34" t="str">
        <x:v>Finans</x:v>
      </x:c>
      <x:c r="E132" s="34" t="str">
        <x:v>Finans</x:v>
      </x:c>
      <x:c r="F132" s="34" t="str">
        <x:v>The Psychology of Money</x:v>
      </x:c>
      <x:c r="G132" s="34" t="str">
        <x:v>Morgan Housel</x:v>
      </x:c>
      <x:c r="H132" s="50" t="str">
        <x:v>1</x:v>
      </x:c>
      <x:c r="I132" s="50" t="str">
        <x:v>Temel</x:v>
      </x:c>
      <x:c r="J132" s="51" t="n">
        <x:v>14</x:v>
      </x:c>
      <x:c r="K132" s="51" t="n">
        <x:v>9</x:v>
      </x:c>
      <x:c r="L132" s="51" t="n">
        <x:v>12</x:v>
      </x:c>
      <x:c r="M132" s="51" t="n">
        <x:v>12</x:v>
      </x:c>
      <x:c r="N132" s="51" t="n">
        <x:v>10</x:v>
      </x:c>
      <x:c r="O132" s="51" t="n">
        <x:v>7</x:v>
      </x:c>
      <x:c r="P132" s="51" t="n">
        <x:v>16</x:v>
      </x:c>
      <x:c r="Q132" s="51" t="n">
        <x:v>4</x:v>
      </x:c>
      <x:c r="R132" s="52" t="n">
        <x:f>SUM(J132:Q132)</x:f>
        <x:v>84</x:v>
      </x:c>
      <x:c r="S132" s="50" t="str">
        <x:f>IF(R132&gt;='Rubrik'!$B$17,"Öncelikli video",IF(R132&gt;='Rubrik'!$B$18,"Video kuyruğu",IF(R132&gt;='Rubrik'!$B$19,"Revize et",IF(R132&gt;='Rubrik'!$B$20,"Kartla test","Düşük öncelik"))))</x:f>
        <x:v>Revize et</x:v>
      </x:c>
      <x:c r="T132" s="50" t="str">
        <x:f>IF(AND(R132&gt;=85,P132&gt;=16,M132&gt;=12,L132&gt;=12),"Reel + Carousel",IF(AND(R132&gt;=85,P132&gt;=16,N132&gt;=8),"Soru odaklı Reel",IF(AND(R132&gt;=85,P132&gt;=16),"Reel / Short",IF(M132&gt;=11,"Carousel","Kart testi"))))</x:f>
        <x:v>Carousel</x:v>
      </x:c>
      <x:c r="U132" s="46" t="str">
        <x:v>Aynı okuldaki iki arkadaş üzerinden şans ve risk karşıtlığı başarı anlatısını insancıllaştırıyor.</x:v>
      </x:c>
      <x:c r="V132" s="46" t="str">
        <x:f>IF(Q132&lt;=3,"Kaynak kontrolü şart",IF(Q132=4,"Kaynak kontrolü önerilir","Standart doğrulama"))</x:f>
        <x:v>Kaynak kontrolü önerilir</x:v>
      </x:c>
    </x:row>
    <x:row r="133" ht="24" customHeight="1">
      <x:c r="A133" s="48" t="n">
        <x:f>COUNTIF($R$2:$R$751,"&gt;"&amp;R133)+COUNTIF($R$2:R133,R133)</x:f>
        <x:v>132</x:v>
      </x:c>
      <x:c r="B133" s="48" t="n">
        <x:v>1136</x:v>
      </x:c>
      <x:c r="C133" s="46" t="str">
        <x:v>Karakter ve ahlakın kökeni</x:v>
      </x:c>
      <x:c r="D133" s="34" t="str">
        <x:v>Psikoloji</x:v>
      </x:c>
      <x:c r="E133" s="34" t="str">
        <x:v>Psikoloji</x:v>
      </x:c>
      <x:c r="F133" s="34" t="str">
        <x:v>Sosyal Hayvan</x:v>
      </x:c>
      <x:c r="G133" s="34" t="str">
        <x:v>David Brooks</x:v>
      </x:c>
      <x:c r="H133" s="50" t="str">
        <x:v>1</x:v>
      </x:c>
      <x:c r="I133" s="50" t="str">
        <x:v>Temel</x:v>
      </x:c>
      <x:c r="J133" s="51" t="n">
        <x:v>14</x:v>
      </x:c>
      <x:c r="K133" s="51" t="n">
        <x:v>8</x:v>
      </x:c>
      <x:c r="L133" s="51" t="n">
        <x:v>12</x:v>
      </x:c>
      <x:c r="M133" s="51" t="n">
        <x:v>13</x:v>
      </x:c>
      <x:c r="N133" s="51" t="n">
        <x:v>10</x:v>
      </x:c>
      <x:c r="O133" s="51" t="n">
        <x:v>7</x:v>
      </x:c>
      <x:c r="P133" s="51" t="n">
        <x:v>16</x:v>
      </x:c>
      <x:c r="Q133" s="51" t="n">
        <x:v>4</x:v>
      </x:c>
      <x:c r="R133" s="52" t="n">
        <x:f>SUM(J133:Q133)</x:f>
        <x:v>84</x:v>
      </x:c>
      <x:c r="S133" s="50" t="str">
        <x:f>IF(R133&gt;='Rubrik'!$B$17,"Öncelikli video",IF(R133&gt;='Rubrik'!$B$18,"Video kuyruğu",IF(R133&gt;='Rubrik'!$B$19,"Revize et",IF(R133&gt;='Rubrik'!$B$20,"Kartla test","Düşük öncelik"))))</x:f>
        <x:v>Revize et</x:v>
      </x:c>
      <x:c r="T133" s="50" t="str">
        <x:f>IF(AND(R133&gt;=85,P133&gt;=16,M133&gt;=12,L133&gt;=12),"Reel + Carousel",IF(AND(R133&gt;=85,P133&gt;=16,N133&gt;=8),"Soru odaklı Reel",IF(AND(R133&gt;=85,P133&gt;=16),"Reel / Short",IF(M133&gt;=11,"Carousel","Kart testi"))))</x:f>
        <x:v>Carousel</x:v>
      </x:c>
      <x:c r="U133" s="46" t="str">
        <x:v>Kol çekmek ile insan itmek arasındaki aynı matematik izleyiciyi anında taraf olmaya zorlayan güçlü deney.</x:v>
      </x:c>
      <x:c r="V133" s="46" t="str">
        <x:f>IF(Q133&lt;=3,"Kaynak kontrolü şart",IF(Q133=4,"Kaynak kontrolü önerilir","Standart doğrulama"))</x:f>
        <x:v>Kaynak kontrolü önerilir</x:v>
      </x:c>
    </x:row>
    <x:row r="134" ht="24" customHeight="1">
      <x:c r="A134" s="48" t="n">
        <x:f>COUNTIF($R$2:$R$751,"&gt;"&amp;R134)+COUNTIF($R$2:R134,R134)</x:f>
        <x:v>133</x:v>
      </x:c>
      <x:c r="B134" s="48" t="n">
        <x:v>1143</x:v>
      </x:c>
      <x:c r="C134" s="46" t="str">
        <x:v>Her sabah yatağını topla</x:v>
      </x:c>
      <x:c r="D134" s="34" t="str">
        <x:v>Büyüme</x:v>
      </x:c>
      <x:c r="E134" s="34" t="str">
        <x:v>Motivasyon</x:v>
      </x:c>
      <x:c r="F134" s="34" t="str">
        <x:v>Fark Yaratmak</x:v>
      </x:c>
      <x:c r="G134" s="34" t="str">
        <x:v>William H. McRaven</x:v>
      </x:c>
      <x:c r="H134" s="50" t="str">
        <x:v>1</x:v>
      </x:c>
      <x:c r="I134" s="50" t="str">
        <x:v>Temel</x:v>
      </x:c>
      <x:c r="J134" s="51" t="n">
        <x:v>14</x:v>
      </x:c>
      <x:c r="K134" s="51" t="n">
        <x:v>8</x:v>
      </x:c>
      <x:c r="L134" s="51" t="n">
        <x:v>12</x:v>
      </x:c>
      <x:c r="M134" s="51" t="n">
        <x:v>13</x:v>
      </x:c>
      <x:c r="N134" s="51" t="n">
        <x:v>9</x:v>
      </x:c>
      <x:c r="O134" s="51" t="n">
        <x:v>7</x:v>
      </x:c>
      <x:c r="P134" s="51" t="n">
        <x:v>16</x:v>
      </x:c>
      <x:c r="Q134" s="51" t="n">
        <x:v>5</x:v>
      </x:c>
      <x:c r="R134" s="52" t="n">
        <x:f>SUM(J134:Q134)</x:f>
        <x:v>84</x:v>
      </x:c>
      <x:c r="S134" s="50" t="str">
        <x:f>IF(R134&gt;='Rubrik'!$B$17,"Öncelikli video",IF(R134&gt;='Rubrik'!$B$18,"Video kuyruğu",IF(R134&gt;='Rubrik'!$B$19,"Revize et",IF(R134&gt;='Rubrik'!$B$20,"Kartla test","Düşük öncelik"))))</x:f>
        <x:v>Revize et</x:v>
      </x:c>
      <x:c r="T134" s="50" t="str">
        <x:f>IF(AND(R134&gt;=85,P134&gt;=16,M134&gt;=12,L134&gt;=12),"Reel + Carousel",IF(AND(R134&gt;=85,P134&gt;=16,N134&gt;=8),"Soru odaklı Reel",IF(AND(R134&gt;=85,P134&gt;=16),"Reel / Short",IF(M134&gt;=11,"Carousel","Kart testi"))))</x:f>
        <x:v>Carousel</x:v>
      </x:c>
      <x:c r="U134" s="46" t="str">
        <x:v>Toplu yatakla başlayan dünya değişimi yalın, gerçek, görsel ve hemen uygulanabilir bir viral fikir.</x:v>
      </x:c>
      <x:c r="V134" s="46" t="str">
        <x:f>IF(Q134&lt;=3,"Kaynak kontrolü şart",IF(Q134=4,"Kaynak kontrolü önerilir","Standart doğrulama"))</x:f>
        <x:v>Standart doğrulama</x:v>
      </x:c>
    </x:row>
    <x:row r="135" ht="24" customHeight="1">
      <x:c r="A135" s="48" t="n">
        <x:f>COUNTIF($R$2:$R$751,"&gt;"&amp;R135)+COUNTIF($R$2:R135,R135)</x:f>
        <x:v>134</x:v>
      </x:c>
      <x:c r="B135" s="48" t="n">
        <x:v>1164</x:v>
      </x:c>
      <x:c r="C135" s="46" t="str">
        <x:v>Beatles'ın Hamburg günleri</x:v>
      </x:c>
      <x:c r="D135" s="34" t="str">
        <x:v>Liderlik</x:v>
      </x:c>
      <x:c r="E135" s="34" t="str">
        <x:v>Başarı</x:v>
      </x:c>
      <x:c r="F135" s="34" t="str">
        <x:v>10.000 Saat Kuralı</x:v>
      </x:c>
      <x:c r="G135" s="34" t="str">
        <x:v>Malcolm Gladwell</x:v>
      </x:c>
      <x:c r="H135" s="50" t="str">
        <x:v>1</x:v>
      </x:c>
      <x:c r="I135" s="50" t="str">
        <x:v>Temel</x:v>
      </x:c>
      <x:c r="J135" s="51" t="n">
        <x:v>14</x:v>
      </x:c>
      <x:c r="K135" s="51" t="n">
        <x:v>9</x:v>
      </x:c>
      <x:c r="L135" s="51" t="n">
        <x:v>12</x:v>
      </x:c>
      <x:c r="M135" s="51" t="n">
        <x:v>13</x:v>
      </x:c>
      <x:c r="N135" s="51" t="n">
        <x:v>9</x:v>
      </x:c>
      <x:c r="O135" s="51" t="n">
        <x:v>8</x:v>
      </x:c>
      <x:c r="P135" s="51" t="n">
        <x:v>16</x:v>
      </x:c>
      <x:c r="Q135" s="51" t="n">
        <x:v>3</x:v>
      </x:c>
      <x:c r="R135" s="52" t="n">
        <x:f>SUM(J135:Q135)</x:f>
        <x:v>84</x:v>
      </x:c>
      <x:c r="S135" s="50" t="str">
        <x:f>IF(R135&gt;='Rubrik'!$B$17,"Öncelikli video",IF(R135&gt;='Rubrik'!$B$18,"Video kuyruğu",IF(R135&gt;='Rubrik'!$B$19,"Revize et",IF(R135&gt;='Rubrik'!$B$20,"Kartla test","Düşük öncelik"))))</x:f>
        <x:v>Revize et</x:v>
      </x:c>
      <x:c r="T135" s="50" t="str">
        <x:f>IF(AND(R135&gt;=85,P135&gt;=16,M135&gt;=12,L135&gt;=12),"Reel + Carousel",IF(AND(R135&gt;=85,P135&gt;=16,N135&gt;=8),"Soru odaklı Reel",IF(AND(R135&gt;=85,P135&gt;=16),"Reel / Short",IF(M135&gt;=11,"Carousel","Kart testi"))))</x:f>
        <x:v>Carousel</x:v>
      </x:c>
      <x:c r="U135" s="46" t="str">
        <x:v>Hamburg'un yorucu sahnelerinden dünya şöhretine akış güçlü; 10 bin saat sonucu fazla basitleştiriliyor.</x:v>
      </x:c>
      <x:c r="V135" s="46" t="str">
        <x:f>IF(Q135&lt;=3,"Kaynak kontrolü şart",IF(Q135=4,"Kaynak kontrolü önerilir","Standart doğrulama"))</x:f>
        <x:v>Kaynak kontrolü şart</x:v>
      </x:c>
    </x:row>
    <x:row r="136" ht="24" customHeight="1">
      <x:c r="A136" s="48" t="n">
        <x:f>COUNTIF($R$2:$R$751,"&gt;"&amp;R136)+COUNTIF($R$2:R136,R136)</x:f>
        <x:v>135</x:v>
      </x:c>
      <x:c r="B136" s="48" t="n">
        <x:v>1182</x:v>
      </x:c>
      <x:c r="C136" s="46" t="str">
        <x:v>Bileşik faizin sihri</x:v>
      </x:c>
      <x:c r="D136" s="34" t="str">
        <x:v>Finans</x:v>
      </x:c>
      <x:c r="E136" s="34" t="str">
        <x:v>Finans</x:v>
      </x:c>
      <x:c r="F136" s="34" t="str">
        <x:v>Money: Master the Game</x:v>
      </x:c>
      <x:c r="G136" s="34" t="str">
        <x:v>Tony Robbins</x:v>
      </x:c>
      <x:c r="H136" s="50" t="str">
        <x:v>1</x:v>
      </x:c>
      <x:c r="I136" s="50" t="str">
        <x:v>Temel</x:v>
      </x:c>
      <x:c r="J136" s="51" t="n">
        <x:v>15</x:v>
      </x:c>
      <x:c r="K136" s="51" t="n">
        <x:v>8</x:v>
      </x:c>
      <x:c r="L136" s="51" t="n">
        <x:v>12</x:v>
      </x:c>
      <x:c r="M136" s="51" t="n">
        <x:v>15</x:v>
      </x:c>
      <x:c r="N136" s="51" t="n">
        <x:v>9</x:v>
      </x:c>
      <x:c r="O136" s="51" t="n">
        <x:v>7</x:v>
      </x:c>
      <x:c r="P136" s="51" t="n">
        <x:v>16</x:v>
      </x:c>
      <x:c r="Q136" s="51" t="n">
        <x:v>2</x:v>
      </x:c>
      <x:c r="R136" s="52" t="n">
        <x:f>SUM(J136:Q136)</x:f>
        <x:v>84</x:v>
      </x:c>
      <x:c r="S136" s="50" t="str">
        <x:f>IF(R136&gt;='Rubrik'!$B$17,"Öncelikli video",IF(R136&gt;='Rubrik'!$B$18,"Video kuyruğu",IF(R136&gt;='Rubrik'!$B$19,"Revize et",IF(R136&gt;='Rubrik'!$B$20,"Kartla test","Düşük öncelik"))))</x:f>
        <x:v>Revize et</x:v>
      </x:c>
      <x:c r="T136" s="50" t="str">
        <x:f>IF(AND(R136&gt;=85,P136&gt;=16,M136&gt;=12,L136&gt;=12),"Reel + Carousel",IF(AND(R136&gt;=85,P136&gt;=16,N136&gt;=8),"Soru odaklı Reel",IF(AND(R136&gt;=85,P136&gt;=16),"Reel / Short",IF(M136&gt;=11,"Carousel","Kart testi"))))</x:f>
        <x:v>Carousel</x:v>
      </x:c>
      <x:c r="U136" s="46" t="str">
        <x:v>Sıradan maaştan 70 milyona dönüşüm çok çarpıcı ve kaydedilir; oran ile tutar mutlaka doğrulanmalı.</x:v>
      </x:c>
      <x:c r="V136" s="46" t="str">
        <x:f>IF(Q136&lt;=3,"Kaynak kontrolü şart",IF(Q136=4,"Kaynak kontrolü önerilir","Standart doğrulama"))</x:f>
        <x:v>Kaynak kontrolü şart</x:v>
      </x:c>
    </x:row>
    <x:row r="137" ht="24" customHeight="1">
      <x:c r="A137" s="48" t="n">
        <x:f>COUNTIF($R$2:$R$751,"&gt;"&amp;R137)+COUNTIF($R$2:R137,R137)</x:f>
        <x:v>136</x:v>
      </x:c>
      <x:c r="B137" s="48" t="n">
        <x:v>1187</x:v>
      </x:c>
      <x:c r="C137" s="46" t="str">
        <x:v>Paraşütle atlayan kadın</x:v>
      </x:c>
      <x:c r="D137" s="34" t="str">
        <x:v>Büyüme</x:v>
      </x:c>
      <x:c r="E137" s="34" t="str">
        <x:v>Motivasyon</x:v>
      </x:c>
      <x:c r="F137" s="34" t="str">
        <x:v>Korkusuzluk</x:v>
      </x:c>
      <x:c r="G137" s="34" t="str">
        <x:v>Susan Jeffers</x:v>
      </x:c>
      <x:c r="H137" s="50" t="str">
        <x:v>1</x:v>
      </x:c>
      <x:c r="I137" s="50" t="str">
        <x:v>Temel</x:v>
      </x:c>
      <x:c r="J137" s="51" t="n">
        <x:v>14</x:v>
      </x:c>
      <x:c r="K137" s="51" t="n">
        <x:v>9</x:v>
      </x:c>
      <x:c r="L137" s="51" t="n">
        <x:v>12</x:v>
      </x:c>
      <x:c r="M137" s="51" t="n">
        <x:v>12</x:v>
      </x:c>
      <x:c r="N137" s="51" t="n">
        <x:v>10</x:v>
      </x:c>
      <x:c r="O137" s="51" t="n">
        <x:v>7</x:v>
      </x:c>
      <x:c r="P137" s="51" t="n">
        <x:v>16</x:v>
      </x:c>
      <x:c r="Q137" s="51" t="n">
        <x:v>4</x:v>
      </x:c>
      <x:c r="R137" s="52" t="n">
        <x:f>SUM(J137:Q137)</x:f>
        <x:v>84</x:v>
      </x:c>
      <x:c r="S137" s="50" t="str">
        <x:f>IF(R137&gt;='Rubrik'!$B$17,"Öncelikli video",IF(R137&gt;='Rubrik'!$B$18,"Video kuyruğu",IF(R137&gt;='Rubrik'!$B$19,"Revize et",IF(R137&gt;='Rubrik'!$B$20,"Kartla test","Düşük öncelik"))))</x:f>
        <x:v>Revize et</x:v>
      </x:c>
      <x:c r="T137" s="50" t="str">
        <x:f>IF(AND(R137&gt;=85,P137&gt;=16,M137&gt;=12,L137&gt;=12),"Reel + Carousel",IF(AND(R137&gt;=85,P137&gt;=16,N137&gt;=8),"Soru odaklı Reel",IF(AND(R137&gt;=85,P137&gt;=16),"Reel / Short",IF(M137&gt;=11,"Carousel","Kart testi"))))</x:f>
        <x:v>Carousel</x:v>
      </x:c>
      <x:c r="U137" s="46" t="str">
        <x:v>Korku geçmeden atlanan uçak güçlü fiziksel sahne ve kişisel cesaret sorusu oluşturuyor.</x:v>
      </x:c>
      <x:c r="V137" s="46" t="str">
        <x:f>IF(Q137&lt;=3,"Kaynak kontrolü şart",IF(Q137=4,"Kaynak kontrolü önerilir","Standart doğrulama"))</x:f>
        <x:v>Kaynak kontrolü önerilir</x:v>
      </x:c>
    </x:row>
    <x:row r="138" ht="24" customHeight="1">
      <x:c r="A138" s="48" t="n">
        <x:f>COUNTIF($R$2:$R$751,"&gt;"&amp;R138)+COUNTIF($R$2:R138,R138)</x:f>
        <x:v>137</x:v>
      </x:c>
      <x:c r="B138" s="48" t="n">
        <x:v>1190</x:v>
      </x:c>
      <x:c r="C138" s="46" t="str">
        <x:v>Epiktetos'un özgürlüğü</x:v>
      </x:c>
      <x:c r="D138" s="34" t="str">
        <x:v>Felsefe</x:v>
      </x:c>
      <x:c r="E138" s="34" t="str">
        <x:v>Felsefe</x:v>
      </x:c>
      <x:c r="F138" s="34" t="str">
        <x:v>Stillness Is the Key</x:v>
      </x:c>
      <x:c r="G138" s="34" t="str">
        <x:v>Ryan Holiday</x:v>
      </x:c>
      <x:c r="H138" s="50" t="str">
        <x:v>1</x:v>
      </x:c>
      <x:c r="I138" s="50" t="str">
        <x:v>Temel</x:v>
      </x:c>
      <x:c r="J138" s="51" t="n">
        <x:v>14</x:v>
      </x:c>
      <x:c r="K138" s="51" t="n">
        <x:v>9</x:v>
      </x:c>
      <x:c r="L138" s="51" t="n">
        <x:v>12</x:v>
      </x:c>
      <x:c r="M138" s="51" t="n">
        <x:v>13</x:v>
      </x:c>
      <x:c r="N138" s="51" t="n">
        <x:v>10</x:v>
      </x:c>
      <x:c r="O138" s="51" t="n">
        <x:v>7</x:v>
      </x:c>
      <x:c r="P138" s="51" t="n">
        <x:v>16</x:v>
      </x:c>
      <x:c r="Q138" s="51" t="n">
        <x:v>3</x:v>
      </x:c>
      <x:c r="R138" s="52" t="n">
        <x:f>SUM(J138:Q138)</x:f>
        <x:v>84</x:v>
      </x:c>
      <x:c r="S138" s="50" t="str">
        <x:f>IF(R138&gt;='Rubrik'!$B$17,"Öncelikli video",IF(R138&gt;='Rubrik'!$B$18,"Video kuyruğu",IF(R138&gt;='Rubrik'!$B$19,"Revize et",IF(R138&gt;='Rubrik'!$B$20,"Kartla test","Düşük öncelik"))))</x:f>
        <x:v>Revize et</x:v>
      </x:c>
      <x:c r="T138" s="50" t="str">
        <x:f>IF(AND(R138&gt;=85,P138&gt;=16,M138&gt;=12,L138&gt;=12),"Reel + Carousel",IF(AND(R138&gt;=85,P138&gt;=16,N138&gt;=8),"Soru odaklı Reel",IF(AND(R138&gt;=85,P138&gt;=16),"Reel / Short",IF(M138&gt;=11,"Carousel","Kart testi"))))</x:f>
        <x:v>Carousel</x:v>
      </x:c>
      <x:c r="U138" s="46" t="str">
        <x:v>Kırılan bacak karşısındaki sakin söz unutulmaz; tarihsel ayrıntılar tartışmalı olsa da ders çok güçlü.</x:v>
      </x:c>
      <x:c r="V138" s="46" t="str">
        <x:f>IF(Q138&lt;=3,"Kaynak kontrolü şart",IF(Q138=4,"Kaynak kontrolü önerilir","Standart doğrulama"))</x:f>
        <x:v>Kaynak kontrolü şart</x:v>
      </x:c>
    </x:row>
    <x:row r="139" ht="24" customHeight="1">
      <x:c r="A139" s="48" t="n">
        <x:f>COUNTIF($R$2:$R$751,"&gt;"&amp;R139)+COUNTIF($R$2:R139,R139)</x:f>
        <x:v>138</x:v>
      </x:c>
      <x:c r="B139" s="48" t="n">
        <x:v>1236</x:v>
      </x:c>
      <x:c r="C139" s="46" t="str">
        <x:v>Kahraman ve rehber</x:v>
      </x:c>
      <x:c r="D139" s="34" t="str">
        <x:v>Finans</x:v>
      </x:c>
      <x:c r="E139" s="34" t="str">
        <x:v>Pazarlama</x:v>
      </x:c>
      <x:c r="F139" s="34" t="str">
        <x:v>Hikaye Anlatıcısı</x:v>
      </x:c>
      <x:c r="G139" s="34" t="str">
        <x:v>Donald Miller</x:v>
      </x:c>
      <x:c r="H139" s="50" t="str">
        <x:v>1</x:v>
      </x:c>
      <x:c r="I139" s="50" t="str">
        <x:v>Temel</x:v>
      </x:c>
      <x:c r="J139" s="51" t="n">
        <x:v>14</x:v>
      </x:c>
      <x:c r="K139" s="51" t="n">
        <x:v>7</x:v>
      </x:c>
      <x:c r="L139" s="51" t="n">
        <x:v>12</x:v>
      </x:c>
      <x:c r="M139" s="51" t="n">
        <x:v>14</x:v>
      </x:c>
      <x:c r="N139" s="51" t="n">
        <x:v>9</x:v>
      </x:c>
      <x:c r="O139" s="51" t="n">
        <x:v>7</x:v>
      </x:c>
      <x:c r="P139" s="51" t="n">
        <x:v>16</x:v>
      </x:c>
      <x:c r="Q139" s="51" t="n">
        <x:v>5</x:v>
      </x:c>
      <x:c r="R139" s="52" t="n">
        <x:f>SUM(J139:Q139)</x:f>
        <x:v>84</x:v>
      </x:c>
      <x:c r="S139" s="50" t="str">
        <x:f>IF(R139&gt;='Rubrik'!$B$17,"Öncelikli video",IF(R139&gt;='Rubrik'!$B$18,"Video kuyruğu",IF(R139&gt;='Rubrik'!$B$19,"Revize et",IF(R139&gt;='Rubrik'!$B$20,"Kartla test","Düşük öncelik"))))</x:f>
        <x:v>Revize et</x:v>
      </x:c>
      <x:c r="T139" s="50" t="str">
        <x:f>IF(AND(R139&gt;=85,P139&gt;=16,M139&gt;=12,L139&gt;=12),"Reel + Carousel",IF(AND(R139&gt;=85,P139&gt;=16,N139&gt;=8),"Soru odaklı Reel",IF(AND(R139&gt;=85,P139&gt;=16),"Reel / Short",IF(M139&gt;=11,"Carousel","Kart testi"))))</x:f>
        <x:v>Carousel</x:v>
      </x:c>
      <x:c r="U139" s="46" t="str">
        <x:v>Müşteriyi Luke, markayı Yoda yapmak anında anlaşılır, paylaşılır ve pazarlama için kaydedilir.</x:v>
      </x:c>
      <x:c r="V139" s="46" t="str">
        <x:f>IF(Q139&lt;=3,"Kaynak kontrolü şart",IF(Q139=4,"Kaynak kontrolü önerilir","Standart doğrulama"))</x:f>
        <x:v>Standart doğrulama</x:v>
      </x:c>
    </x:row>
    <x:row r="140" ht="24" customHeight="1">
      <x:c r="A140" s="48" t="n">
        <x:f>COUNTIF($R$2:$R$751,"&gt;"&amp;R140)+COUNTIF($R$2:R140,R140)</x:f>
        <x:v>139</x:v>
      </x:c>
      <x:c r="B140" s="48" t="n">
        <x:v>1094</x:v>
      </x:c>
      <x:c r="C140" s="46" t="str">
        <x:v>Büyük taşlar ve kavanoz dersi</x:v>
      </x:c>
      <x:c r="D140" s="34" t="str">
        <x:v>Büyüme</x:v>
      </x:c>
      <x:c r="E140" s="34" t="str">
        <x:v>Kişisel Gelişim</x:v>
      </x:c>
      <x:c r="F140" s="34" t="str">
        <x:v>The 7 Habits of Highly Effective People</x:v>
      </x:c>
      <x:c r="G140" s="34" t="str">
        <x:v>Stephen Covey</x:v>
      </x:c>
      <x:c r="H140" s="50" t="str">
        <x:v>1</x:v>
      </x:c>
      <x:c r="I140" s="50" t="str">
        <x:v>Temel</x:v>
      </x:c>
      <x:c r="J140" s="51" t="n">
        <x:v>13</x:v>
      </x:c>
      <x:c r="K140" s="51" t="n">
        <x:v>8</x:v>
      </x:c>
      <x:c r="L140" s="51" t="n">
        <x:v>11</x:v>
      </x:c>
      <x:c r="M140" s="51" t="n">
        <x:v>14</x:v>
      </x:c>
      <x:c r="N140" s="51" t="n">
        <x:v>10</x:v>
      </x:c>
      <x:c r="O140" s="51" t="n">
        <x:v>8</x:v>
      </x:c>
      <x:c r="P140" s="51" t="n">
        <x:v>16</x:v>
      </x:c>
      <x:c r="Q140" s="51" t="n">
        <x:v>4</x:v>
      </x:c>
      <x:c r="R140" s="52" t="n">
        <x:f>SUM(J140:Q140)</x:f>
        <x:v>84</x:v>
      </x:c>
      <x:c r="S140" s="50" t="str">
        <x:f>IF(R140&gt;='Rubrik'!$B$17,"Öncelikli video",IF(R140&gt;='Rubrik'!$B$18,"Video kuyruğu",IF(R140&gt;='Rubrik'!$B$19,"Revize et",IF(R140&gt;='Rubrik'!$B$20,"Kartla test","Düşük öncelik"))))</x:f>
        <x:v>Revize et</x:v>
      </x:c>
      <x:c r="T140" s="50" t="str">
        <x:f>IF(AND(R140&gt;=85,P140&gt;=16,M140&gt;=12,L140&gt;=12),"Reel + Carousel",IF(AND(R140&gt;=85,P140&gt;=16,N140&gt;=8),"Soru odaklı Reel",IF(AND(R140&gt;=85,P140&gt;=16),"Reel / Short",IF(M140&gt;=11,"Carousel","Kart testi"))))</x:f>
        <x:v>Carousel</x:v>
      </x:c>
      <x:c r="U140" s="46" t="str">
        <x:v>Kavanoz deneyi tek bakışta anlaşılır; öncelikleri yazma ve sesli düşünme isteği güçlüdür.</x:v>
      </x:c>
      <x:c r="V140" s="46" t="str">
        <x:f>IF(Q140&lt;=3,"Kaynak kontrolü şart",IF(Q140=4,"Kaynak kontrolü önerilir","Standart doğrulama"))</x:f>
        <x:v>Kaynak kontrolü önerilir</x:v>
      </x:c>
    </x:row>
    <x:row r="141" ht="24" customHeight="1">
      <x:c r="A141" s="48" t="n">
        <x:f>COUNTIF($R$2:$R$751,"&gt;"&amp;R141)+COUNTIF($R$2:R141,R141)</x:f>
        <x:v>140</x:v>
      </x:c>
      <x:c r="B141" s="48" t="n">
        <x:v>1610</x:v>
      </x:c>
      <x:c r="C141" s="46" t="str">
        <x:v>Haystack'i satın al — tüm samanlığı almak neden kazandırır</x:v>
      </x:c>
      <x:c r="D141" s="34" t="str">
        <x:v>Finans</x:v>
      </x:c>
      <x:c r="E141" s="34" t="str">
        <x:v>Finans</x:v>
      </x:c>
      <x:c r="F141" s="34" t="str">
        <x:v>Mantıklı Borsa</x:v>
      </x:c>
      <x:c r="G141" s="34" t="str">
        <x:v>John Bogle</x:v>
      </x:c>
      <x:c r="H141" s="50" t="str">
        <x:v>1</x:v>
      </x:c>
      <x:c r="I141" s="50" t="str">
        <x:v>Temel</x:v>
      </x:c>
      <x:c r="J141" s="51" t="n">
        <x:v>13</x:v>
      </x:c>
      <x:c r="K141" s="51" t="n">
        <x:v>8</x:v>
      </x:c>
      <x:c r="L141" s="51" t="n">
        <x:v>13</x:v>
      </x:c>
      <x:c r="M141" s="51" t="n">
        <x:v>14</x:v>
      </x:c>
      <x:c r="N141" s="51" t="n">
        <x:v>8</x:v>
      </x:c>
      <x:c r="O141" s="51" t="n">
        <x:v>8</x:v>
      </x:c>
      <x:c r="P141" s="51" t="n">
        <x:v>15</x:v>
      </x:c>
      <x:c r="Q141" s="51" t="n">
        <x:v>5</x:v>
      </x:c>
      <x:c r="R141" s="52" t="n">
        <x:f>SUM(J141:Q141)</x:f>
        <x:v>84</x:v>
      </x:c>
      <x:c r="S141" s="50" t="str">
        <x:f>IF(R141&gt;='Rubrik'!$B$17,"Öncelikli video",IF(R141&gt;='Rubrik'!$B$18,"Video kuyruğu",IF(R141&gt;='Rubrik'!$B$19,"Revize et",IF(R141&gt;='Rubrik'!$B$20,"Kartla test","Düşük öncelik"))))</x:f>
        <x:v>Revize et</x:v>
      </x:c>
      <x:c r="T141" s="50" t="str">
        <x:f>IF(AND(R141&gt;=85,P141&gt;=16,M141&gt;=12,L141&gt;=12),"Reel + Carousel",IF(AND(R141&gt;=85,P141&gt;=16,N141&gt;=8),"Soru odaklı Reel",IF(AND(R141&gt;=85,P141&gt;=16),"Reel / Short",IF(M141&gt;=11,"Carousel","Kart testi"))))</x:f>
        <x:v>Carousel</x:v>
      </x:c>
      <x:c r="U141" s="46" t="str">
        <x:v>Samanlıkta iğne aramak yerine samanlığı satın almak endeks yatırımını unutulmaz ve kaydedilir kılıyor.</x:v>
      </x:c>
      <x:c r="V141" s="46" t="str">
        <x:f>IF(Q141&lt;=3,"Kaynak kontrolü şart",IF(Q141=4,"Kaynak kontrolü önerilir","Standart doğrulama"))</x:f>
        <x:v>Standart doğrulama</x:v>
      </x:c>
    </x:row>
    <x:row r="142" ht="24" customHeight="1">
      <x:c r="A142" s="48" t="n">
        <x:f>COUNTIF($R$2:$R$751,"&gt;"&amp;R142)+COUNTIF($R$2:R142,R142)</x:f>
        <x:v>141</x:v>
      </x:c>
      <x:c r="B142" s="48" t="n">
        <x:v>1148</x:v>
      </x:c>
      <x:c r="C142" s="46" t="str">
        <x:v>Sınır koymak ilişkileri yıkmaz, güçlendirir</x:v>
      </x:c>
      <x:c r="D142" s="34" t="str">
        <x:v>Büyüme</x:v>
      </x:c>
      <x:c r="E142" s="34" t="str">
        <x:v>Kişisel Gelişim</x:v>
      </x:c>
      <x:c r="F142" s="34" t="str">
        <x:v>Sınırlar</x:v>
      </x:c>
      <x:c r="G142" s="34" t="str">
        <x:v>Nedra Tawwab</x:v>
      </x:c>
      <x:c r="H142" s="50" t="str">
        <x:v>1</x:v>
      </x:c>
      <x:c r="I142" s="50" t="str">
        <x:v>Temel</x:v>
      </x:c>
      <x:c r="J142" s="51" t="n">
        <x:v>14</x:v>
      </x:c>
      <x:c r="K142" s="51" t="n">
        <x:v>9</x:v>
      </x:c>
      <x:c r="L142" s="51" t="n">
        <x:v>12</x:v>
      </x:c>
      <x:c r="M142" s="51" t="n">
        <x:v>13</x:v>
      </x:c>
      <x:c r="N142" s="51" t="n">
        <x:v>10</x:v>
      </x:c>
      <x:c r="O142" s="51" t="n">
        <x:v>7</x:v>
      </x:c>
      <x:c r="P142" s="51" t="n">
        <x:v>15</x:v>
      </x:c>
      <x:c r="Q142" s="51" t="n">
        <x:v>4</x:v>
      </x:c>
      <x:c r="R142" s="52" t="n">
        <x:f>SUM(J142:Q142)</x:f>
        <x:v>84</x:v>
      </x:c>
      <x:c r="S142" s="50" t="str">
        <x:f>IF(R142&gt;='Rubrik'!$B$17,"Öncelikli video",IF(R142&gt;='Rubrik'!$B$18,"Video kuyruğu",IF(R142&gt;='Rubrik'!$B$19,"Revize et",IF(R142&gt;='Rubrik'!$B$20,"Kartla test","Düşük öncelik"))))</x:f>
        <x:v>Revize et</x:v>
      </x:c>
      <x:c r="T142" s="50" t="str">
        <x:f>IF(AND(R142&gt;=85,P142&gt;=16,M142&gt;=12,L142&gt;=12),"Reel + Carousel",IF(AND(R142&gt;=85,P142&gt;=16,N142&gt;=8),"Soru odaklı Reel",IF(AND(R142&gt;=85,P142&gt;=16),"Reel / Short",IF(M142&gt;=11,"Carousel","Kart testi"))))</x:f>
        <x:v>Carousel</x:v>
      </x:c>
      <x:c r="U142" s="46" t="str">
        <x:v>Sınırın ilişkiyi bozmayıp bozukluğu görünür kılması güçlü karşıtlık ve yoğun kişisel paylaşım dürtüsü yaratıyor.</x:v>
      </x:c>
      <x:c r="V142" s="46" t="str">
        <x:f>IF(Q142&lt;=3,"Kaynak kontrolü şart",IF(Q142=4,"Kaynak kontrolü önerilir","Standart doğrulama"))</x:f>
        <x:v>Kaynak kontrolü önerilir</x:v>
      </x:c>
    </x:row>
    <x:row r="143" ht="24" customHeight="1">
      <x:c r="A143" s="48" t="n">
        <x:f>COUNTIF($R$2:$R$751,"&gt;"&amp;R143)+COUNTIF($R$2:R143,R143)</x:f>
        <x:v>142</x:v>
      </x:c>
      <x:c r="B143" s="48" t="n">
        <x:v>1704</x:v>
      </x:c>
      <x:c r="C143" s="46" t="str">
        <x:v>İyi Niyetli Bir Tabela Hırsızlığı Nasıl Artırdı?</x:v>
      </x:c>
      <x:c r="D143" s="34" t="str">
        <x:v>Psikoloji</x:v>
      </x:c>
      <x:c r="E143" s="34" t="str">
        <x:v>Psikoloji</x:v>
      </x:c>
      <x:c r="F143" s="34" t="str">
        <x:v>Influence</x:v>
      </x:c>
      <x:c r="G143" s="34" t="str">
        <x:v>Robert Cialdini</x:v>
      </x:c>
      <x:c r="H143" s="50" t="str">
        <x:v>2</x:v>
      </x:c>
      <x:c r="I143" s="50" t="str">
        <x:v>Zengin</x:v>
      </x:c>
      <x:c r="J143" s="51" t="n">
        <x:v>14</x:v>
      </x:c>
      <x:c r="K143" s="51" t="n">
        <x:v>5</x:v>
      </x:c>
      <x:c r="L143" s="51" t="n">
        <x:v>14</x:v>
      </x:c>
      <x:c r="M143" s="51" t="n">
        <x:v>12</x:v>
      </x:c>
      <x:c r="N143" s="51" t="n">
        <x:v>7</x:v>
      </x:c>
      <x:c r="O143" s="51" t="n">
        <x:v>8</x:v>
      </x:c>
      <x:c r="P143" s="51" t="n">
        <x:v>19</x:v>
      </x:c>
      <x:c r="Q143" s="51" t="n">
        <x:v>4</x:v>
      </x:c>
      <x:c r="R143" s="52" t="n">
        <x:f>SUM(J143:Q143)</x:f>
        <x:v>83</x:v>
      </x:c>
      <x:c r="S143" s="50" t="str">
        <x:f>IF(R143&gt;='Rubrik'!$B$17,"Öncelikli video",IF(R143&gt;='Rubrik'!$B$18,"Video kuyruğu",IF(R143&gt;='Rubrik'!$B$19,"Revize et",IF(R143&gt;='Rubrik'!$B$20,"Kartla test","Düşük öncelik"))))</x:f>
        <x:v>Revize et</x:v>
      </x:c>
      <x:c r="T143" s="50" t="str">
        <x:f>IF(AND(R143&gt;=85,P143&gt;=16,M143&gt;=12,L143&gt;=12),"Reel + Carousel",IF(AND(R143&gt;=85,P143&gt;=16,N143&gt;=8),"Soru odaklı Reel",IF(AND(R143&gt;=85,P143&gt;=16),"Reel / Short",IF(M143&gt;=11,"Carousel","Kart testi"))))</x:f>
        <x:v>Carousel</x:v>
      </x:c>
      <x:c r="U143" s="46" t="str">
        <x:v>Uygulanabilir çerçeve, hikâyeyi geri dönüp kaydetmeye değer kılıyor; olay örgüsü yeterli.</x:v>
      </x:c>
      <x:c r="V143" s="46" t="str">
        <x:f>IF(Q143&lt;=3,"Kaynak kontrolü şart",IF(Q143=4,"Kaynak kontrolü önerilir","Standart doğrulama"))</x:f>
        <x:v>Kaynak kontrolü önerilir</x:v>
      </x:c>
    </x:row>
    <x:row r="144" ht="24" customHeight="1">
      <x:c r="A144" s="48" t="n">
        <x:f>COUNTIF($R$2:$R$751,"&gt;"&amp;R144)+COUNTIF($R$2:R144,R144)</x:f>
        <x:v>143</x:v>
      </x:c>
      <x:c r="B144" s="48" t="n">
        <x:v>1721</x:v>
      </x:c>
      <x:c r="C144" s="46" t="str">
        <x:v>Kıtalar Bir Yapboz Gibi Uyuşuyorsa Tesadüf müydü?</x:v>
      </x:c>
      <x:c r="D144" s="34" t="str">
        <x:v>Psikoloji</x:v>
      </x:c>
      <x:c r="E144" s="34" t="str">
        <x:v>Psikoloji</x:v>
      </x:c>
      <x:c r="F144" s="34" t="str">
        <x:v>A Short History of Nearly Everything</x:v>
      </x:c>
      <x:c r="G144" s="34" t="str">
        <x:v>Bill Bryson</x:v>
      </x:c>
      <x:c r="H144" s="50" t="str">
        <x:v>2</x:v>
      </x:c>
      <x:c r="I144" s="50" t="str">
        <x:v>Zengin</x:v>
      </x:c>
      <x:c r="J144" s="51" t="n">
        <x:v>12</x:v>
      </x:c>
      <x:c r="K144" s="51" t="n">
        <x:v>8</x:v>
      </x:c>
      <x:c r="L144" s="51" t="n">
        <x:v>13</x:v>
      </x:c>
      <x:c r="M144" s="51" t="n">
        <x:v>11</x:v>
      </x:c>
      <x:c r="N144" s="51" t="n">
        <x:v>8</x:v>
      </x:c>
      <x:c r="O144" s="51" t="n">
        <x:v>9</x:v>
      </x:c>
      <x:c r="P144" s="51" t="n">
        <x:v>18</x:v>
      </x:c>
      <x:c r="Q144" s="51" t="n">
        <x:v>4</x:v>
      </x:c>
      <x:c r="R144" s="52" t="n">
        <x:f>SUM(J144:Q144)</x:f>
        <x:v>83</x:v>
      </x:c>
      <x:c r="S144" s="50" t="str">
        <x:f>IF(R144&gt;='Rubrik'!$B$17,"Öncelikli video",IF(R144&gt;='Rubrik'!$B$18,"Video kuyruğu",IF(R144&gt;='Rubrik'!$B$19,"Revize et",IF(R144&gt;='Rubrik'!$B$20,"Kartla test","Düşük öncelik"))))</x:f>
        <x:v>Revize et</x:v>
      </x:c>
      <x:c r="T144" s="50" t="str">
        <x:f>IF(AND(R144&gt;=85,P144&gt;=16,M144&gt;=12,L144&gt;=12),"Reel + Carousel",IF(AND(R144&gt;=85,P144&gt;=16,N144&gt;=8),"Soru odaklı Reel",IF(AND(R144&gt;=85,P144&gt;=16),"Reel / Short",IF(M144&gt;=11,"Carousel","Kart testi"))))</x:f>
        <x:v>Carousel</x:v>
      </x:c>
      <x:c r="U144" s="46" t="str">
        <x:v>Duygusal karşıtlık paylaşma ve kişisel anlatma isteğini yükseltiyor; ilk saniye etkisi yeterli.</x:v>
      </x:c>
      <x:c r="V144" s="46" t="str">
        <x:f>IF(Q144&lt;=3,"Kaynak kontrolü şart",IF(Q144=4,"Kaynak kontrolü önerilir","Standart doğrulama"))</x:f>
        <x:v>Kaynak kontrolü önerilir</x:v>
      </x:c>
    </x:row>
    <x:row r="145" ht="24" customHeight="1">
      <x:c r="A145" s="48" t="n">
        <x:f>COUNTIF($R$2:$R$751,"&gt;"&amp;R145)+COUNTIF($R$2:R145,R145)</x:f>
        <x:v>144</x:v>
      </x:c>
      <x:c r="B145" s="48" t="n">
        <x:v>1292</x:v>
      </x:c>
      <x:c r="C145" s="46" t="str">
        <x:v>McDonald's aslında ne satıyor?</x:v>
      </x:c>
      <x:c r="D145" s="34" t="str">
        <x:v>Finans</x:v>
      </x:c>
      <x:c r="E145" s="34" t="str">
        <x:v>Finans</x:v>
      </x:c>
      <x:c r="F145" s="34" t="str">
        <x:v>Zengin Baba Fakir Baba</x:v>
      </x:c>
      <x:c r="G145" s="34" t="str">
        <x:v>Robert Kiyosaki</x:v>
      </x:c>
      <x:c r="H145" s="50" t="str">
        <x:v>1</x:v>
      </x:c>
      <x:c r="I145" s="50" t="str">
        <x:v>Temel</x:v>
      </x:c>
      <x:c r="J145" s="51" t="n">
        <x:v>14</x:v>
      </x:c>
      <x:c r="K145" s="51" t="n">
        <x:v>7</x:v>
      </x:c>
      <x:c r="L145" s="51" t="n">
        <x:v>13</x:v>
      </x:c>
      <x:c r="M145" s="51" t="n">
        <x:v>12</x:v>
      </x:c>
      <x:c r="N145" s="51" t="n">
        <x:v>9</x:v>
      </x:c>
      <x:c r="O145" s="51" t="n">
        <x:v>8</x:v>
      </x:c>
      <x:c r="P145" s="51" t="n">
        <x:v>17</x:v>
      </x:c>
      <x:c r="Q145" s="51" t="n">
        <x:v>3</x:v>
      </x:c>
      <x:c r="R145" s="52" t="n">
        <x:f>SUM(J145:Q145)</x:f>
        <x:v>83</x:v>
      </x:c>
      <x:c r="S145" s="50" t="str">
        <x:f>IF(R145&gt;='Rubrik'!$B$17,"Öncelikli video",IF(R145&gt;='Rubrik'!$B$18,"Video kuyruğu",IF(R145&gt;='Rubrik'!$B$19,"Revize et",IF(R145&gt;='Rubrik'!$B$20,"Kartla test","Düşük öncelik"))))</x:f>
        <x:v>Revize et</x:v>
      </x:c>
      <x:c r="T145" s="50" t="str">
        <x:f>IF(AND(R145&gt;=85,P145&gt;=16,M145&gt;=12,L145&gt;=12),"Reel + Carousel",IF(AND(R145&gt;=85,P145&gt;=16,N145&gt;=8),"Soru odaklı Reel",IF(AND(R145&gt;=85,P145&gt;=16),"Reel / Short",IF(M145&gt;=11,"Carousel","Kart testi"))))</x:f>
        <x:v>Carousel</x:v>
      </x:c>
      <x:c r="U145" s="46" t="str">
        <x:v>Hamburgerden gayrimenkule dönüş güçlü bir iş dünyası ters köşesi; alıntı ve mülkiyet modeli teyit edilmeli.</x:v>
      </x:c>
      <x:c r="V145" s="46" t="str">
        <x:f>IF(Q145&lt;=3,"Kaynak kontrolü şart",IF(Q145=4,"Kaynak kontrolü önerilir","Standart doğrulama"))</x:f>
        <x:v>Kaynak kontrolü şart</x:v>
      </x:c>
    </x:row>
    <x:row r="146" ht="24" customHeight="1">
      <x:c r="A146" s="48" t="n">
        <x:f>COUNTIF($R$2:$R$751,"&gt;"&amp;R146)+COUNTIF($R$2:R146,R146)</x:f>
        <x:v>145</x:v>
      </x:c>
      <x:c r="B146" s="48" t="n">
        <x:v>1300</x:v>
      </x:c>
      <x:c r="C146" s="46" t="str">
        <x:v>Şempanze testi ve insan yanılgısı</x:v>
      </x:c>
      <x:c r="D146" s="34" t="str">
        <x:v>Felsefe</x:v>
      </x:c>
      <x:c r="E146" s="34" t="str">
        <x:v>Düşünme</x:v>
      </x:c>
      <x:c r="F146" s="34" t="str">
        <x:v>Akıl Yürütme</x:v>
      </x:c>
      <x:c r="G146" s="34" t="str">
        <x:v>Hans Rosling</x:v>
      </x:c>
      <x:c r="H146" s="50" t="str">
        <x:v>1</x:v>
      </x:c>
      <x:c r="I146" s="50" t="str">
        <x:v>Temel</x:v>
      </x:c>
      <x:c r="J146" s="51" t="n">
        <x:v>14</x:v>
      </x:c>
      <x:c r="K146" s="51" t="n">
        <x:v>7</x:v>
      </x:c>
      <x:c r="L146" s="51" t="n">
        <x:v>13</x:v>
      </x:c>
      <x:c r="M146" s="51" t="n">
        <x:v>11</x:v>
      </x:c>
      <x:c r="N146" s="51" t="n">
        <x:v>9</x:v>
      </x:c>
      <x:c r="O146" s="51" t="n">
        <x:v>8</x:v>
      </x:c>
      <x:c r="P146" s="51" t="n">
        <x:v>17</x:v>
      </x:c>
      <x:c r="Q146" s="51" t="n">
        <x:v>4</x:v>
      </x:c>
      <x:c r="R146" s="52" t="n">
        <x:f>SUM(J146:Q146)</x:f>
        <x:v>83</x:v>
      </x:c>
      <x:c r="S146" s="50" t="str">
        <x:f>IF(R146&gt;='Rubrik'!$B$17,"Öncelikli video",IF(R146&gt;='Rubrik'!$B$18,"Video kuyruğu",IF(R146&gt;='Rubrik'!$B$19,"Revize et",IF(R146&gt;='Rubrik'!$B$20,"Kartla test","Düşük öncelik"))))</x:f>
        <x:v>Revize et</x:v>
      </x:c>
      <x:c r="T146" s="50" t="str">
        <x:f>IF(AND(R146&gt;=85,P146&gt;=16,M146&gt;=12,L146&gt;=12),"Reel + Carousel",IF(AND(R146&gt;=85,P146&gt;=16,N146&gt;=8),"Soru odaklı Reel",IF(AND(R146&gt;=85,P146&gt;=16),"Reel / Short",IF(M146&gt;=11,"Carousel","Kart testi"))))</x:f>
        <x:v>Carousel</x:v>
      </x:c>
      <x:c r="U146" s="46" t="str">
        <x:v>Şempanzenin uzmanları geçmesi çok güçlü ve görsel bir ters köşe; veri okuryazarlığı mesajı net sonuçlanıyor.</x:v>
      </x:c>
      <x:c r="V146" s="46" t="str">
        <x:f>IF(Q146&lt;=3,"Kaynak kontrolü şart",IF(Q146=4,"Kaynak kontrolü önerilir","Standart doğrulama"))</x:f>
        <x:v>Kaynak kontrolü önerilir</x:v>
      </x:c>
    </x:row>
    <x:row r="147" ht="24" customHeight="1">
      <x:c r="A147" s="48" t="n">
        <x:f>COUNTIF($R$2:$R$751,"&gt;"&amp;R147)+COUNTIF($R$2:R147,R147)</x:f>
        <x:v>146</x:v>
      </x:c>
      <x:c r="B147" s="48" t="n">
        <x:v>1475</x:v>
      </x:c>
      <x:c r="C147" s="46" t="str">
        <x:v>Tarım devrimi — insanlığın en büyük aldatmacası</x:v>
      </x:c>
      <x:c r="D147" s="34" t="str">
        <x:v>Tarih</x:v>
      </x:c>
      <x:c r="E147" s="34" t="str">
        <x:v>Tarih</x:v>
      </x:c>
      <x:c r="F147" s="34" t="str">
        <x:v>İnsanlığın Kısa Tarihi</x:v>
      </x:c>
      <x:c r="G147" s="34" t="str">
        <x:v>Yuval Noah Harari</x:v>
      </x:c>
      <x:c r="H147" s="50" t="str">
        <x:v>1</x:v>
      </x:c>
      <x:c r="I147" s="50" t="str">
        <x:v>Temel</x:v>
      </x:c>
      <x:c r="J147" s="51" t="n">
        <x:v>13</x:v>
      </x:c>
      <x:c r="K147" s="51" t="n">
        <x:v>8</x:v>
      </x:c>
      <x:c r="L147" s="51" t="n">
        <x:v>13</x:v>
      </x:c>
      <x:c r="M147" s="51" t="n">
        <x:v>12</x:v>
      </x:c>
      <x:c r="N147" s="51" t="n">
        <x:v>9</x:v>
      </x:c>
      <x:c r="O147" s="51" t="n">
        <x:v>7</x:v>
      </x:c>
      <x:c r="P147" s="51" t="n">
        <x:v>17</x:v>
      </x:c>
      <x:c r="Q147" s="51" t="n">
        <x:v>4</x:v>
      </x:c>
      <x:c r="R147" s="52" t="n">
        <x:f>SUM(J147:Q147)</x:f>
        <x:v>83</x:v>
      </x:c>
      <x:c r="S147" s="50" t="str">
        <x:f>IF(R147&gt;='Rubrik'!$B$17,"Öncelikli video",IF(R147&gt;='Rubrik'!$B$18,"Video kuyruğu",IF(R147&gt;='Rubrik'!$B$19,"Revize et",IF(R147&gt;='Rubrik'!$B$20,"Kartla test","Düşük öncelik"))))</x:f>
        <x:v>Revize et</x:v>
      </x:c>
      <x:c r="T147" s="50" t="str">
        <x:f>IF(AND(R147&gt;=85,P147&gt;=16,M147&gt;=12,L147&gt;=12),"Reel + Carousel",IF(AND(R147&gt;=85,P147&gt;=16,N147&gt;=8),"Soru odaklı Reel",IF(AND(R147&gt;=85,P147&gt;=16),"Reel / Short",IF(M147&gt;=11,"Carousel","Kart testi"))))</x:f>
        <x:v>Carousel</x:v>
      </x:c>
      <x:c r="U147" s="46" t="str">
        <x:v>Tarım devriminin tuzak oluşu büyük bir tarihsel ters köşe; görsel zaman çizgisiyle çok dikkat çeker.</x:v>
      </x:c>
      <x:c r="V147" s="46" t="str">
        <x:f>IF(Q147&lt;=3,"Kaynak kontrolü şart",IF(Q147=4,"Kaynak kontrolü önerilir","Standart doğrulama"))</x:f>
        <x:v>Kaynak kontrolü önerilir</x:v>
      </x:c>
    </x:row>
    <x:row r="148" ht="24" customHeight="1">
      <x:c r="A148" s="48" t="n">
        <x:f>COUNTIF($R$2:$R$751,"&gt;"&amp;R148)+COUNTIF($R$2:R148,R148)</x:f>
        <x:v>147</x:v>
      </x:c>
      <x:c r="B148" s="48" t="n">
        <x:v>1708</x:v>
      </x:c>
      <x:c r="C148" s="46" t="str">
        <x:v>Bir Gazete Haberi Zekâ Tanımını Nasıl Değiştirdi?</x:v>
      </x:c>
      <x:c r="D148" s="34" t="str">
        <x:v>Psikoloji</x:v>
      </x:c>
      <x:c r="E148" s="34" t="str">
        <x:v>Psikoloji</x:v>
      </x:c>
      <x:c r="F148" s="34" t="str">
        <x:v>Emotional Intelligence</x:v>
      </x:c>
      <x:c r="G148" s="34" t="str">
        <x:v>Daniel Goleman</x:v>
      </x:c>
      <x:c r="H148" s="50" t="str">
        <x:v>2</x:v>
      </x:c>
      <x:c r="I148" s="50" t="str">
        <x:v>Zengin</x:v>
      </x:c>
      <x:c r="J148" s="51" t="n">
        <x:v>12</x:v>
      </x:c>
      <x:c r="K148" s="51" t="n">
        <x:v>8</x:v>
      </x:c>
      <x:c r="L148" s="51" t="n">
        <x:v>13</x:v>
      </x:c>
      <x:c r="M148" s="51" t="n">
        <x:v>11</x:v>
      </x:c>
      <x:c r="N148" s="51" t="n">
        <x:v>9</x:v>
      </x:c>
      <x:c r="O148" s="51" t="n">
        <x:v>9</x:v>
      </x:c>
      <x:c r="P148" s="51" t="n">
        <x:v>17</x:v>
      </x:c>
      <x:c r="Q148" s="51" t="n">
        <x:v>4</x:v>
      </x:c>
      <x:c r="R148" s="52" t="n">
        <x:f>SUM(J148:Q148)</x:f>
        <x:v>83</x:v>
      </x:c>
      <x:c r="S148" s="50" t="str">
        <x:f>IF(R148&gt;='Rubrik'!$B$17,"Öncelikli video",IF(R148&gt;='Rubrik'!$B$18,"Video kuyruğu",IF(R148&gt;='Rubrik'!$B$19,"Revize et",IF(R148&gt;='Rubrik'!$B$20,"Kartla test","Düşük öncelik"))))</x:f>
        <x:v>Revize et</x:v>
      </x:c>
      <x:c r="T148" s="50" t="str">
        <x:f>IF(AND(R148&gt;=85,P148&gt;=16,M148&gt;=12,L148&gt;=12),"Reel + Carousel",IF(AND(R148&gt;=85,P148&gt;=16,N148&gt;=8),"Soru odaklı Reel",IF(AND(R148&gt;=85,P148&gt;=16),"Reel / Short",IF(M148&gt;=11,"Carousel","Kart testi"))))</x:f>
        <x:v>Carousel</x:v>
      </x:c>
      <x:c r="U148" s="46" t="str">
        <x:v>Duygusal karşıtlık paylaşma ve kişisel anlatma isteğini yükseltiyor; ilk saniye etkisi yeterli.</x:v>
      </x:c>
      <x:c r="V148" s="46" t="str">
        <x:f>IF(Q148&lt;=3,"Kaynak kontrolü şart",IF(Q148=4,"Kaynak kontrolü önerilir","Standart doğrulama"))</x:f>
        <x:v>Kaynak kontrolü önerilir</x:v>
      </x:c>
    </x:row>
    <x:row r="149" ht="24" customHeight="1">
      <x:c r="A149" s="48" t="n">
        <x:f>COUNTIF($R$2:$R$751,"&gt;"&amp;R149)+COUNTIF($R$2:R149,R149)</x:f>
        <x:v>148</x:v>
      </x:c>
      <x:c r="B149" s="48" t="n">
        <x:v>1711</x:v>
      </x:c>
      <x:c r="C149" s="46" t="str">
        <x:v>Zengin Görünmek ile Zengin Olmak Arasındaki Fark</x:v>
      </x:c>
      <x:c r="D149" s="34" t="str">
        <x:v>Finans</x:v>
      </x:c>
      <x:c r="E149" s="34" t="str">
        <x:v>Finans</x:v>
      </x:c>
      <x:c r="F149" s="34" t="str">
        <x:v>The Simple Path to Wealth</x:v>
      </x:c>
      <x:c r="G149" s="34" t="str">
        <x:v>J. L. Collins</x:v>
      </x:c>
      <x:c r="H149" s="50" t="str">
        <x:v>2</x:v>
      </x:c>
      <x:c r="I149" s="50" t="str">
        <x:v>Zengin</x:v>
      </x:c>
      <x:c r="J149" s="51" t="n">
        <x:v>12</x:v>
      </x:c>
      <x:c r="K149" s="51" t="n">
        <x:v>9</x:v>
      </x:c>
      <x:c r="L149" s="51" t="n">
        <x:v>13</x:v>
      </x:c>
      <x:c r="M149" s="51" t="n">
        <x:v>11</x:v>
      </x:c>
      <x:c r="N149" s="51" t="n">
        <x:v>9</x:v>
      </x:c>
      <x:c r="O149" s="51" t="n">
        <x:v>8</x:v>
      </x:c>
      <x:c r="P149" s="51" t="n">
        <x:v>17</x:v>
      </x:c>
      <x:c r="Q149" s="51" t="n">
        <x:v>4</x:v>
      </x:c>
      <x:c r="R149" s="52" t="n">
        <x:f>SUM(J149:Q149)</x:f>
        <x:v>83</x:v>
      </x:c>
      <x:c r="S149" s="50" t="str">
        <x:f>IF(R149&gt;='Rubrik'!$B$17,"Öncelikli video",IF(R149&gt;='Rubrik'!$B$18,"Video kuyruğu",IF(R149&gt;='Rubrik'!$B$19,"Revize et",IF(R149&gt;='Rubrik'!$B$20,"Kartla test","Düşük öncelik"))))</x:f>
        <x:v>Revize et</x:v>
      </x:c>
      <x:c r="T149" s="50" t="str">
        <x:f>IF(AND(R149&gt;=85,P149&gt;=16,M149&gt;=12,L149&gt;=12),"Reel + Carousel",IF(AND(R149&gt;=85,P149&gt;=16,N149&gt;=8),"Soru odaklı Reel",IF(AND(R149&gt;=85,P149&gt;=16),"Reel / Short",IF(M149&gt;=11,"Carousel","Kart testi"))))</x:f>
        <x:v>Carousel</x:v>
      </x:c>
      <x:c r="U149" s="46" t="str">
        <x:v>Duygusal karşıtlık paylaşma ve kişisel anlatma isteğini yükseltiyor; olay örgüsü yeterli.</x:v>
      </x:c>
      <x:c r="V149" s="46" t="str">
        <x:f>IF(Q149&lt;=3,"Kaynak kontrolü şart",IF(Q149=4,"Kaynak kontrolü önerilir","Standart doğrulama"))</x:f>
        <x:v>Kaynak kontrolü önerilir</x:v>
      </x:c>
    </x:row>
    <x:row r="150" ht="24" customHeight="1">
      <x:c r="A150" s="48" t="n">
        <x:f>COUNTIF($R$2:$R$751,"&gt;"&amp;R150)+COUNTIF($R$2:R150,R150)</x:f>
        <x:v>149</x:v>
      </x:c>
      <x:c r="B150" s="48" t="n">
        <x:v>1742</x:v>
      </x:c>
      <x:c r="C150" s="46" t="str">
        <x:v>Bir Telefon Görüşmesi Neden Mutluluk Araştırmasına Dönüştü?</x:v>
      </x:c>
      <x:c r="D150" s="34" t="str">
        <x:v>Psikoloji</x:v>
      </x:c>
      <x:c r="E150" s="34" t="str">
        <x:v>Mutluluk</x:v>
      </x:c>
      <x:c r="F150" s="34" t="str">
        <x:v>The Good Life</x:v>
      </x:c>
      <x:c r="G150" s="34" t="str">
        <x:v>Robert Waldinger</x:v>
      </x:c>
      <x:c r="H150" s="50" t="str">
        <x:v>2</x:v>
      </x:c>
      <x:c r="I150" s="50" t="str">
        <x:v>Zengin</x:v>
      </x:c>
      <x:c r="J150" s="51" t="n">
        <x:v>12</x:v>
      </x:c>
      <x:c r="K150" s="51" t="n">
        <x:v>9</x:v>
      </x:c>
      <x:c r="L150" s="51" t="n">
        <x:v>13</x:v>
      </x:c>
      <x:c r="M150" s="51" t="n">
        <x:v>11</x:v>
      </x:c>
      <x:c r="N150" s="51" t="n">
        <x:v>9</x:v>
      </x:c>
      <x:c r="O150" s="51" t="n">
        <x:v>8</x:v>
      </x:c>
      <x:c r="P150" s="51" t="n">
        <x:v>17</x:v>
      </x:c>
      <x:c r="Q150" s="51" t="n">
        <x:v>4</x:v>
      </x:c>
      <x:c r="R150" s="52" t="n">
        <x:f>SUM(J150:Q150)</x:f>
        <x:v>83</x:v>
      </x:c>
      <x:c r="S150" s="50" t="str">
        <x:f>IF(R150&gt;='Rubrik'!$B$17,"Öncelikli video",IF(R150&gt;='Rubrik'!$B$18,"Video kuyruğu",IF(R150&gt;='Rubrik'!$B$19,"Revize et",IF(R150&gt;='Rubrik'!$B$20,"Kartla test","Düşük öncelik"))))</x:f>
        <x:v>Revize et</x:v>
      </x:c>
      <x:c r="T150" s="50" t="str">
        <x:f>IF(AND(R150&gt;=85,P150&gt;=16,M150&gt;=12,L150&gt;=12),"Reel + Carousel",IF(AND(R150&gt;=85,P150&gt;=16,N150&gt;=8),"Soru odaklı Reel",IF(AND(R150&gt;=85,P150&gt;=16),"Reel / Short",IF(M150&gt;=11,"Carousel","Kart testi"))))</x:f>
        <x:v>Carousel</x:v>
      </x:c>
      <x:c r="U150" s="46" t="str">
        <x:v>Duygusal karşıtlık paylaşma ve kişisel anlatma isteğini yükseltiyor; olay örgüsü yeterli.</x:v>
      </x:c>
      <x:c r="V150" s="46" t="str">
        <x:f>IF(Q150&lt;=3,"Kaynak kontrolü şart",IF(Q150=4,"Kaynak kontrolü önerilir","Standart doğrulama"))</x:f>
        <x:v>Kaynak kontrolü önerilir</x:v>
      </x:c>
    </x:row>
    <x:row r="151" ht="24" customHeight="1">
      <x:c r="A151" s="48" t="n">
        <x:f>COUNTIF($R$2:$R$751,"&gt;"&amp;R151)+COUNTIF($R$2:R151,R151)</x:f>
        <x:v>150</x:v>
      </x:c>
      <x:c r="B151" s="48" t="n">
        <x:v>1745</x:v>
      </x:c>
      <x:c r="C151" s="46" t="str">
        <x:v>Kağıdı Batıya Taşıyan Savaş</x:v>
      </x:c>
      <x:c r="D151" s="34" t="str">
        <x:v>Tarih</x:v>
      </x:c>
      <x:c r="E151" s="34" t="str">
        <x:v>Tarih</x:v>
      </x:c>
      <x:c r="F151" s="34" t="str">
        <x:v>The Silk Roads</x:v>
      </x:c>
      <x:c r="G151" s="34" t="str">
        <x:v>Peter Frankopan</x:v>
      </x:c>
      <x:c r="H151" s="50" t="str">
        <x:v>2</x:v>
      </x:c>
      <x:c r="I151" s="50" t="str">
        <x:v>Zengin</x:v>
      </x:c>
      <x:c r="J151" s="51" t="n">
        <x:v>13</x:v>
      </x:c>
      <x:c r="K151" s="51" t="n">
        <x:v>8</x:v>
      </x:c>
      <x:c r="L151" s="51" t="n">
        <x:v>13</x:v>
      </x:c>
      <x:c r="M151" s="51" t="n">
        <x:v>9</x:v>
      </x:c>
      <x:c r="N151" s="51" t="n">
        <x:v>9</x:v>
      </x:c>
      <x:c r="O151" s="51" t="n">
        <x:v>9</x:v>
      </x:c>
      <x:c r="P151" s="51" t="n">
        <x:v>17</x:v>
      </x:c>
      <x:c r="Q151" s="51" t="n">
        <x:v>5</x:v>
      </x:c>
      <x:c r="R151" s="52" t="n">
        <x:f>SUM(J151:Q151)</x:f>
        <x:v>83</x:v>
      </x:c>
      <x:c r="S151" s="50" t="str">
        <x:f>IF(R151&gt;='Rubrik'!$B$17,"Öncelikli video",IF(R151&gt;='Rubrik'!$B$18,"Video kuyruğu",IF(R151&gt;='Rubrik'!$B$19,"Revize et",IF(R151&gt;='Rubrik'!$B$20,"Kartla test","Düşük öncelik"))))</x:f>
        <x:v>Revize et</x:v>
      </x:c>
      <x:c r="T151" s="50" t="str">
        <x:f>IF(AND(R151&gt;=85,P151&gt;=16,M151&gt;=12,L151&gt;=12),"Reel + Carousel",IF(AND(R151&gt;=85,P151&gt;=16,N151&gt;=8),"Soru odaklı Reel",IF(AND(R151&gt;=85,P151&gt;=16),"Reel / Short",IF(M151&gt;=11,"Carousel","Kart testi"))))</x:f>
        <x:v>Kart testi</x:v>
      </x:c>
      <x:c r="U151" s="46" t="str">
        <x:v>Somut sahne ve sayısal ayrıntı güçlü bir video açılışı sağlıyor; görselleştirme yeterli.</x:v>
      </x:c>
      <x:c r="V151" s="46" t="str">
        <x:f>IF(Q151&lt;=3,"Kaynak kontrolü şart",IF(Q151=4,"Kaynak kontrolü önerilir","Standart doğrulama"))</x:f>
        <x:v>Standart doğrulama</x:v>
      </x:c>
    </x:row>
    <x:row r="152" ht="24" customHeight="1">
      <x:c r="A152" s="48" t="n">
        <x:f>COUNTIF($R$2:$R$751,"&gt;"&amp;R152)+COUNTIF($R$2:R152,R152)</x:f>
        <x:v>151</x:v>
      </x:c>
      <x:c r="B152" s="48" t="n">
        <x:v>1752</x:v>
      </x:c>
      <x:c r="C152" s="46" t="str">
        <x:v>Sessizlik Antlaşması Nasıl Çözüldü?</x:v>
      </x:c>
      <x:c r="D152" s="34" t="str">
        <x:v>Tarih</x:v>
      </x:c>
      <x:c r="E152" s="34" t="str">
        <x:v>Tarih</x:v>
      </x:c>
      <x:c r="F152" s="34" t="str">
        <x:v>Say Nothing</x:v>
      </x:c>
      <x:c r="G152" s="34" t="str">
        <x:v>Patrick Radden Keefe</x:v>
      </x:c>
      <x:c r="H152" s="50" t="str">
        <x:v>2</x:v>
      </x:c>
      <x:c r="I152" s="50" t="str">
        <x:v>Zengin</x:v>
      </x:c>
      <x:c r="J152" s="51" t="n">
        <x:v>13</x:v>
      </x:c>
      <x:c r="K152" s="51" t="n">
        <x:v>8</x:v>
      </x:c>
      <x:c r="L152" s="51" t="n">
        <x:v>13</x:v>
      </x:c>
      <x:c r="M152" s="51" t="n">
        <x:v>11</x:v>
      </x:c>
      <x:c r="N152" s="51" t="n">
        <x:v>9</x:v>
      </x:c>
      <x:c r="O152" s="51" t="n">
        <x:v>7</x:v>
      </x:c>
      <x:c r="P152" s="51" t="n">
        <x:v>17</x:v>
      </x:c>
      <x:c r="Q152" s="51" t="n">
        <x:v>5</x:v>
      </x:c>
      <x:c r="R152" s="52" t="n">
        <x:f>SUM(J152:Q152)</x:f>
        <x:v>83</x:v>
      </x:c>
      <x:c r="S152" s="50" t="str">
        <x:f>IF(R152&gt;='Rubrik'!$B$17,"Öncelikli video",IF(R152&gt;='Rubrik'!$B$18,"Video kuyruğu",IF(R152&gt;='Rubrik'!$B$19,"Revize et",IF(R152&gt;='Rubrik'!$B$20,"Kartla test","Düşük öncelik"))))</x:f>
        <x:v>Revize et</x:v>
      </x:c>
      <x:c r="T152" s="50" t="str">
        <x:f>IF(AND(R152&gt;=85,P152&gt;=16,M152&gt;=12,L152&gt;=12),"Reel + Carousel",IF(AND(R152&gt;=85,P152&gt;=16,N152&gt;=8),"Soru odaklı Reel",IF(AND(R152&gt;=85,P152&gt;=16),"Reel / Short",IF(M152&gt;=11,"Carousel","Kart testi"))))</x:f>
        <x:v>Carousel</x:v>
      </x:c>
      <x:c r="U152" s="46" t="str">
        <x:v>Somut sahne ve sayısal ayrıntı güçlü bir video açılışı sağlıyor; olay örgüsü geliştirilmeli.</x:v>
      </x:c>
      <x:c r="V152" s="46" t="str">
        <x:f>IF(Q152&lt;=3,"Kaynak kontrolü şart",IF(Q152=4,"Kaynak kontrolü önerilir","Standart doğrulama"))</x:f>
        <x:v>Standart doğrulama</x:v>
      </x:c>
    </x:row>
    <x:row r="153" ht="24" customHeight="1">
      <x:c r="A153" s="48" t="n">
        <x:f>COUNTIF($R$2:$R$751,"&gt;"&amp;R153)+COUNTIF($R$2:R153,R153)</x:f>
        <x:v>152</x:v>
      </x:c>
      <x:c r="B153" s="48" t="n">
        <x:v>1758</x:v>
      </x:c>
      <x:c r="C153" s="46" t="str">
        <x:v>Bakterilerin Sakladığı Makas</x:v>
      </x:c>
      <x:c r="D153" s="34" t="str">
        <x:v>Psikoloji</x:v>
      </x:c>
      <x:c r="E153" s="34" t="str">
        <x:v>Psikoloji</x:v>
      </x:c>
      <x:c r="F153" s="34" t="str">
        <x:v>The Code Breaker</x:v>
      </x:c>
      <x:c r="G153" s="34" t="str">
        <x:v>Walter Isaacson</x:v>
      </x:c>
      <x:c r="H153" s="50" t="str">
        <x:v>2</x:v>
      </x:c>
      <x:c r="I153" s="50" t="str">
        <x:v>Zengin</x:v>
      </x:c>
      <x:c r="J153" s="51" t="n">
        <x:v>13</x:v>
      </x:c>
      <x:c r="K153" s="51" t="n">
        <x:v>7</x:v>
      </x:c>
      <x:c r="L153" s="51" t="n">
        <x:v>13</x:v>
      </x:c>
      <x:c r="M153" s="51" t="n">
        <x:v>12</x:v>
      </x:c>
      <x:c r="N153" s="51" t="n">
        <x:v>8</x:v>
      </x:c>
      <x:c r="O153" s="51" t="n">
        <x:v>8</x:v>
      </x:c>
      <x:c r="P153" s="51" t="n">
        <x:v>17</x:v>
      </x:c>
      <x:c r="Q153" s="51" t="n">
        <x:v>5</x:v>
      </x:c>
      <x:c r="R153" s="52" t="n">
        <x:f>SUM(J153:Q153)</x:f>
        <x:v>83</x:v>
      </x:c>
      <x:c r="S153" s="50" t="str">
        <x:f>IF(R153&gt;='Rubrik'!$B$17,"Öncelikli video",IF(R153&gt;='Rubrik'!$B$18,"Video kuyruğu",IF(R153&gt;='Rubrik'!$B$19,"Revize et",IF(R153&gt;='Rubrik'!$B$20,"Kartla test","Düşük öncelik"))))</x:f>
        <x:v>Revize et</x:v>
      </x:c>
      <x:c r="T153" s="50" t="str">
        <x:f>IF(AND(R153&gt;=85,P153&gt;=16,M153&gt;=12,L153&gt;=12),"Reel + Carousel",IF(AND(R153&gt;=85,P153&gt;=16,N153&gt;=8),"Soru odaklı Reel",IF(AND(R153&gt;=85,P153&gt;=16),"Reel / Short",IF(M153&gt;=11,"Carousel","Kart testi"))))</x:f>
        <x:v>Carousel</x:v>
      </x:c>
      <x:c r="U153" s="46" t="str">
        <x:v>Somut sahne ve sayısal ayrıntı güçlü bir video açılışı sağlıyor; olay örgüsü yeterli.</x:v>
      </x:c>
      <x:c r="V153" s="46" t="str">
        <x:f>IF(Q153&lt;=3,"Kaynak kontrolü şart",IF(Q153=4,"Kaynak kontrolü önerilir","Standart doğrulama"))</x:f>
        <x:v>Standart doğrulama</x:v>
      </x:c>
    </x:row>
    <x:row r="154" ht="24" customHeight="1">
      <x:c r="A154" s="48" t="n">
        <x:f>COUNTIF($R$2:$R$751,"&gt;"&amp;R154)+COUNTIF($R$2:R154,R154)</x:f>
        <x:v>153</x:v>
      </x:c>
      <x:c r="B154" s="48" t="n">
        <x:v>1193</x:v>
      </x:c>
      <x:c r="C154" s="46" t="str">
        <x:v>Edison'ın fabrika yangını</x:v>
      </x:c>
      <x:c r="D154" s="34" t="str">
        <x:v>Felsefe</x:v>
      </x:c>
      <x:c r="E154" s="34" t="str">
        <x:v>Felsefe</x:v>
      </x:c>
      <x:c r="F154" s="34" t="str">
        <x:v>Engel Yolu Açar</x:v>
      </x:c>
      <x:c r="G154" s="34" t="str">
        <x:v>Ryan Holiday</x:v>
      </x:c>
      <x:c r="H154" s="50" t="str">
        <x:v>1</x:v>
      </x:c>
      <x:c r="I154" s="50" t="str">
        <x:v>Temel</x:v>
      </x:c>
      <x:c r="J154" s="51" t="n">
        <x:v>15</x:v>
      </x:c>
      <x:c r="K154" s="51" t="n">
        <x:v>9</x:v>
      </x:c>
      <x:c r="L154" s="51" t="n">
        <x:v>12</x:v>
      </x:c>
      <x:c r="M154" s="51" t="n">
        <x:v>12</x:v>
      </x:c>
      <x:c r="N154" s="51" t="n">
        <x:v>9</x:v>
      </x:c>
      <x:c r="O154" s="51" t="n">
        <x:v>8</x:v>
      </x:c>
      <x:c r="P154" s="51" t="n">
        <x:v>17</x:v>
      </x:c>
      <x:c r="Q154" s="51" t="n">
        <x:v>1</x:v>
      </x:c>
      <x:c r="R154" s="52" t="n">
        <x:f>SUM(J154:Q154)</x:f>
        <x:v>83</x:v>
      </x:c>
      <x:c r="S154" s="50" t="str">
        <x:f>IF(R154&gt;='Rubrik'!$B$17,"Öncelikli video",IF(R154&gt;='Rubrik'!$B$18,"Video kuyruğu",IF(R154&gt;='Rubrik'!$B$19,"Revize et",IF(R154&gt;='Rubrik'!$B$20,"Kartla test","Düşük öncelik"))))</x:f>
        <x:v>Revize et</x:v>
      </x:c>
      <x:c r="T154" s="50" t="str">
        <x:f>IF(AND(R154&gt;=85,P154&gt;=16,M154&gt;=12,L154&gt;=12),"Reel + Carousel",IF(AND(R154&gt;=85,P154&gt;=16,N154&gt;=8),"Soru odaklı Reel",IF(AND(R154&gt;=85,P154&gt;=16),"Reel / Short",IF(M154&gt;=11,"Carousel","Kart testi"))))</x:f>
        <x:v>Carousel</x:v>
      </x:c>
      <x:c r="U154" s="46" t="str">
        <x:v>Yanan fabrikaya güzellik diye bakmak kusursuz video dönüşü; yaş ve alıntı ayrıntıları çelişkili.</x:v>
      </x:c>
      <x:c r="V154" s="46" t="str">
        <x:f>IF(Q154&lt;=3,"Kaynak kontrolü şart",IF(Q154=4,"Kaynak kontrolü önerilir","Standart doğrulama"))</x:f>
        <x:v>Kaynak kontrolü şart</x:v>
      </x:c>
    </x:row>
    <x:row r="155" ht="24" customHeight="1">
      <x:c r="A155" s="48" t="n">
        <x:f>COUNTIF($R$2:$R$751,"&gt;"&amp;R155)+COUNTIF($R$2:R155,R155)</x:f>
        <x:v>154</x:v>
      </x:c>
      <x:c r="B155" s="48" t="n">
        <x:v>1342</x:v>
      </x:c>
      <x:c r="C155" s="46" t="str">
        <x:v>Panik atağından meditasyona</x:v>
      </x:c>
      <x:c r="D155" s="34" t="str">
        <x:v>Psikoloji</x:v>
      </x:c>
      <x:c r="E155" s="34" t="str">
        <x:v>Farkındalık</x:v>
      </x:c>
      <x:c r="F155" s="34" t="str">
        <x:v>Meditasyon</x:v>
      </x:c>
      <x:c r="G155" s="34" t="str">
        <x:v>Dan Harris</x:v>
      </x:c>
      <x:c r="H155" s="50" t="str">
        <x:v>1</x:v>
      </x:c>
      <x:c r="I155" s="50" t="str">
        <x:v>Temel</x:v>
      </x:c>
      <x:c r="J155" s="51" t="n">
        <x:v>14</x:v>
      </x:c>
      <x:c r="K155" s="51" t="n">
        <x:v>8</x:v>
      </x:c>
      <x:c r="L155" s="51" t="n">
        <x:v>12</x:v>
      </x:c>
      <x:c r="M155" s="51" t="n">
        <x:v>10</x:v>
      </x:c>
      <x:c r="N155" s="51" t="n">
        <x:v>9</x:v>
      </x:c>
      <x:c r="O155" s="51" t="n">
        <x:v>9</x:v>
      </x:c>
      <x:c r="P155" s="51" t="n">
        <x:v>17</x:v>
      </x:c>
      <x:c r="Q155" s="51" t="n">
        <x:v>4</x:v>
      </x:c>
      <x:c r="R155" s="52" t="n">
        <x:f>SUM(J155:Q155)</x:f>
        <x:v>83</x:v>
      </x:c>
      <x:c r="S155" s="50" t="str">
        <x:f>IF(R155&gt;='Rubrik'!$B$17,"Öncelikli video",IF(R155&gt;='Rubrik'!$B$18,"Video kuyruğu",IF(R155&gt;='Rubrik'!$B$19,"Revize et",IF(R155&gt;='Rubrik'!$B$20,"Kartla test","Düşük öncelik"))))</x:f>
        <x:v>Revize et</x:v>
      </x:c>
      <x:c r="T155" s="50" t="str">
        <x:f>IF(AND(R155&gt;=85,P155&gt;=16,M155&gt;=12,L155&gt;=12),"Reel + Carousel",IF(AND(R155&gt;=85,P155&gt;=16,N155&gt;=8),"Soru odaklı Reel",IF(AND(R155&gt;=85,P155&gt;=16),"Reel / Short",IF(M155&gt;=11,"Carousel","Kart testi"))))</x:f>
        <x:v>Kart testi</x:v>
      </x:c>
      <x:c r="U155" s="46" t="str">
        <x:v>Canlı yayındaki panikten şüpheci meditasyon pratiğine dönüş kişisel, inandırıcı ve güçlü bir dramatik akış.</x:v>
      </x:c>
      <x:c r="V155" s="46" t="str">
        <x:f>IF(Q155&lt;=3,"Kaynak kontrolü şart",IF(Q155=4,"Kaynak kontrolü önerilir","Standart doğrulama"))</x:f>
        <x:v>Kaynak kontrolü önerilir</x:v>
      </x:c>
    </x:row>
    <x:row r="156" ht="24" customHeight="1">
      <x:c r="A156" s="48" t="n">
        <x:f>COUNTIF($R$2:$R$751,"&gt;"&amp;R156)+COUNTIF($R$2:R156,R156)</x:f>
        <x:v>155</x:v>
      </x:c>
      <x:c r="B156" s="48" t="n">
        <x:v>1375</x:v>
      </x:c>
      <x:c r="C156" s="46" t="str">
        <x:v>Marcus Aurelius'un gizli günlüğü</x:v>
      </x:c>
      <x:c r="D156" s="34" t="str">
        <x:v>Felsefe</x:v>
      </x:c>
      <x:c r="E156" s="34" t="str">
        <x:v>Felsefe</x:v>
      </x:c>
      <x:c r="F156" s="34" t="str">
        <x:v>Stoacılık</x:v>
      </x:c>
      <x:c r="G156" s="34" t="str">
        <x:v>Marcus Aurelius</x:v>
      </x:c>
      <x:c r="H156" s="50" t="str">
        <x:v>1</x:v>
      </x:c>
      <x:c r="I156" s="50" t="str">
        <x:v>Temel</x:v>
      </x:c>
      <x:c r="J156" s="51" t="n">
        <x:v>13</x:v>
      </x:c>
      <x:c r="K156" s="51" t="n">
        <x:v>8</x:v>
      </x:c>
      <x:c r="L156" s="51" t="n">
        <x:v>12</x:v>
      </x:c>
      <x:c r="M156" s="51" t="n">
        <x:v>11</x:v>
      </x:c>
      <x:c r="N156" s="51" t="n">
        <x:v>10</x:v>
      </x:c>
      <x:c r="O156" s="51" t="n">
        <x:v>8</x:v>
      </x:c>
      <x:c r="P156" s="51" t="n">
        <x:v>17</x:v>
      </x:c>
      <x:c r="Q156" s="51" t="n">
        <x:v>4</x:v>
      </x:c>
      <x:c r="R156" s="52" t="n">
        <x:f>SUM(J156:Q156)</x:f>
        <x:v>83</x:v>
      </x:c>
      <x:c r="S156" s="50" t="str">
        <x:f>IF(R156&gt;='Rubrik'!$B$17,"Öncelikli video",IF(R156&gt;='Rubrik'!$B$18,"Video kuyruğu",IF(R156&gt;='Rubrik'!$B$19,"Revize et",IF(R156&gt;='Rubrik'!$B$20,"Kartla test","Düşük öncelik"))))</x:f>
        <x:v>Revize et</x:v>
      </x:c>
      <x:c r="T156" s="50" t="str">
        <x:f>IF(AND(R156&gt;=85,P156&gt;=16,M156&gt;=12,L156&gt;=12),"Reel + Carousel",IF(AND(R156&gt;=85,P156&gt;=16,N156&gt;=8),"Soru odaklı Reel",IF(AND(R156&gt;=85,P156&gt;=16),"Reel / Short",IF(M156&gt;=11,"Carousel","Kart testi"))))</x:f>
        <x:v>Carousel</x:v>
      </x:c>
      <x:c r="U156" s="46" t="str">
        <x:v>Dünyanın en güçlü adamının gizli, kırılgan günlüğü güçlü yakınlık ve paylaşılabilir bir tarihsel ters köşe sunuyor.</x:v>
      </x:c>
      <x:c r="V156" s="46" t="str">
        <x:f>IF(Q156&lt;=3,"Kaynak kontrolü şart",IF(Q156=4,"Kaynak kontrolü önerilir","Standart doğrulama"))</x:f>
        <x:v>Kaynak kontrolü önerilir</x:v>
      </x:c>
    </x:row>
    <x:row r="157" ht="24" customHeight="1">
      <x:c r="A157" s="48" t="n">
        <x:f>COUNTIF($R$2:$R$751,"&gt;"&amp;R157)+COUNTIF($R$2:R157,R157)</x:f>
        <x:v>156</x:v>
      </x:c>
      <x:c r="B157" s="48" t="n">
        <x:v>1493</x:v>
      </x:c>
      <x:c r="C157" s="46" t="str">
        <x:v>İş ve anlam — Londra bankacısı</x:v>
      </x:c>
      <x:c r="D157" s="34" t="str">
        <x:v>Psikoloji</x:v>
      </x:c>
      <x:c r="E157" s="34" t="str">
        <x:v>Psikoloji</x:v>
      </x:c>
      <x:c r="F157" s="34" t="str">
        <x:v>Kayıp Bağlantılar</x:v>
      </x:c>
      <x:c r="G157" s="34" t="str">
        <x:v>Johann Hari</x:v>
      </x:c>
      <x:c r="H157" s="50" t="str">
        <x:v>1</x:v>
      </x:c>
      <x:c r="I157" s="50" t="str">
        <x:v>Temel</x:v>
      </x:c>
      <x:c r="J157" s="51" t="n">
        <x:v>13</x:v>
      </x:c>
      <x:c r="K157" s="51" t="n">
        <x:v>8</x:v>
      </x:c>
      <x:c r="L157" s="51" t="n">
        <x:v>13</x:v>
      </x:c>
      <x:c r="M157" s="51" t="n">
        <x:v>13</x:v>
      </x:c>
      <x:c r="N157" s="51" t="n">
        <x:v>9</x:v>
      </x:c>
      <x:c r="O157" s="51" t="n">
        <x:v>7</x:v>
      </x:c>
      <x:c r="P157" s="51" t="n">
        <x:v>16</x:v>
      </x:c>
      <x:c r="Q157" s="51" t="n">
        <x:v>4</x:v>
      </x:c>
      <x:c r="R157" s="52" t="n">
        <x:f>SUM(J157:Q157)</x:f>
        <x:v>83</x:v>
      </x:c>
      <x:c r="S157" s="50" t="str">
        <x:f>IF(R157&gt;='Rubrik'!$B$17,"Öncelikli video",IF(R157&gt;='Rubrik'!$B$18,"Video kuyruğu",IF(R157&gt;='Rubrik'!$B$19,"Revize et",IF(R157&gt;='Rubrik'!$B$20,"Kartla test","Düşük öncelik"))))</x:f>
        <x:v>Revize et</x:v>
      </x:c>
      <x:c r="T157" s="50" t="str">
        <x:f>IF(AND(R157&gt;=85,P157&gt;=16,M157&gt;=12,L157&gt;=12),"Reel + Carousel",IF(AND(R157&gt;=85,P157&gt;=16,N157&gt;=8),"Soru odaklı Reel",IF(AND(R157&gt;=85,P157&gt;=16),"Reel / Short",IF(M157&gt;=11,"Carousel","Kart testi"))))</x:f>
        <x:v>Carousel</x:v>
      </x:c>
      <x:c r="U157" s="46" t="str">
        <x:v>Başarılı bankacının anlamsızlık krizi statü ile mutluluk arasındaki çelişkiyi güçlü bir dönüşümle anlatıyor.</x:v>
      </x:c>
      <x:c r="V157" s="46" t="str">
        <x:f>IF(Q157&lt;=3,"Kaynak kontrolü şart",IF(Q157=4,"Kaynak kontrolü önerilir","Standart doğrulama"))</x:f>
        <x:v>Kaynak kontrolü önerilir</x:v>
      </x:c>
    </x:row>
    <x:row r="158" ht="24" customHeight="1">
      <x:c r="A158" s="48" t="n">
        <x:f>COUNTIF($R$2:$R$751,"&gt;"&amp;R158)+COUNTIF($R$2:R158,R158)</x:f>
        <x:v>157</x:v>
      </x:c>
      <x:c r="B158" s="48" t="n">
        <x:v>1538</x:v>
      </x:c>
      <x:c r="C158" s="46" t="str">
        <x:v>Tenis prodigisi ve fırsat ortamının gizli rolü</x:v>
      </x:c>
      <x:c r="D158" s="34" t="str">
        <x:v>Liderlik</x:v>
      </x:c>
      <x:c r="E158" s="34" t="str">
        <x:v>Başarı</x:v>
      </x:c>
      <x:c r="F158" s="34" t="str">
        <x:v>Sıçramak</x:v>
      </x:c>
      <x:c r="G158" s="34" t="str">
        <x:v>Matthew Syed</x:v>
      </x:c>
      <x:c r="H158" s="50" t="str">
        <x:v>1</x:v>
      </x:c>
      <x:c r="I158" s="50" t="str">
        <x:v>Temel</x:v>
      </x:c>
      <x:c r="J158" s="51" t="n">
        <x:v>13</x:v>
      </x:c>
      <x:c r="K158" s="51" t="n">
        <x:v>8</x:v>
      </x:c>
      <x:c r="L158" s="51" t="n">
        <x:v>13</x:v>
      </x:c>
      <x:c r="M158" s="51" t="n">
        <x:v>13</x:v>
      </x:c>
      <x:c r="N158" s="51" t="n">
        <x:v>9</x:v>
      </x:c>
      <x:c r="O158" s="51" t="n">
        <x:v>7</x:v>
      </x:c>
      <x:c r="P158" s="51" t="n">
        <x:v>16</x:v>
      </x:c>
      <x:c r="Q158" s="51" t="n">
        <x:v>4</x:v>
      </x:c>
      <x:c r="R158" s="52" t="n">
        <x:f>SUM(J158:Q158)</x:f>
        <x:v>83</x:v>
      </x:c>
      <x:c r="S158" s="50" t="str">
        <x:f>IF(R158&gt;='Rubrik'!$B$17,"Öncelikli video",IF(R158&gt;='Rubrik'!$B$18,"Video kuyruğu",IF(R158&gt;='Rubrik'!$B$19,"Revize et",IF(R158&gt;='Rubrik'!$B$20,"Kartla test","Düşük öncelik"))))</x:f>
        <x:v>Revize et</x:v>
      </x:c>
      <x:c r="T158" s="50" t="str">
        <x:f>IF(AND(R158&gt;=85,P158&gt;=16,M158&gt;=12,L158&gt;=12),"Reel + Carousel",IF(AND(R158&gt;=85,P158&gt;=16,N158&gt;=8),"Soru odaklı Reel",IF(AND(R158&gt;=85,P158&gt;=16),"Reel / Short",IF(M158&gt;=11,"Carousel","Kart testi"))))</x:f>
        <x:v>Carousel</x:v>
      </x:c>
      <x:c r="U158" s="46" t="str">
        <x:v>Yetenek posta kodu fikri başarıyı çevreyle ilişkilendirerek tartışma yaratır; insan örnekleri videoyu besler.</x:v>
      </x:c>
      <x:c r="V158" s="46" t="str">
        <x:f>IF(Q158&lt;=3,"Kaynak kontrolü şart",IF(Q158=4,"Kaynak kontrolü önerilir","Standart doğrulama"))</x:f>
        <x:v>Kaynak kontrolü önerilir</x:v>
      </x:c>
    </x:row>
    <x:row r="159" ht="24" customHeight="1">
      <x:c r="A159" s="48" t="n">
        <x:f>COUNTIF($R$2:$R$751,"&gt;"&amp;R159)+COUNTIF($R$2:R159,R159)</x:f>
        <x:v>158</x:v>
      </x:c>
      <x:c r="B159" s="48" t="n">
        <x:v>1543</x:v>
      </x:c>
      <x:c r="C159" s="46" t="str">
        <x:v>Sosyal kanıt — otelin havlu deneyi</x:v>
      </x:c>
      <x:c r="D159" s="34" t="str">
        <x:v>Psikoloji</x:v>
      </x:c>
      <x:c r="E159" s="34" t="str">
        <x:v>Psikoloji</x:v>
      </x:c>
      <x:c r="F159" s="34" t="str">
        <x:v>Evet Dedirtmek</x:v>
      </x:c>
      <x:c r="G159" s="34" t="str">
        <x:v>Noah Goldstein</x:v>
      </x:c>
      <x:c r="H159" s="50" t="str">
        <x:v>1</x:v>
      </x:c>
      <x:c r="I159" s="50" t="str">
        <x:v>Temel</x:v>
      </x:c>
      <x:c r="J159" s="51" t="n">
        <x:v>13</x:v>
      </x:c>
      <x:c r="K159" s="51" t="n">
        <x:v>7</x:v>
      </x:c>
      <x:c r="L159" s="51" t="n">
        <x:v>13</x:v>
      </x:c>
      <x:c r="M159" s="51" t="n">
        <x:v>13</x:v>
      </x:c>
      <x:c r="N159" s="51" t="n">
        <x:v>9</x:v>
      </x:c>
      <x:c r="O159" s="51" t="n">
        <x:v>7</x:v>
      </x:c>
      <x:c r="P159" s="51" t="n">
        <x:v>16</x:v>
      </x:c>
      <x:c r="Q159" s="51" t="n">
        <x:v>5</x:v>
      </x:c>
      <x:c r="R159" s="52" t="n">
        <x:f>SUM(J159:Q159)</x:f>
        <x:v>83</x:v>
      </x:c>
      <x:c r="S159" s="50" t="str">
        <x:f>IF(R159&gt;='Rubrik'!$B$17,"Öncelikli video",IF(R159&gt;='Rubrik'!$B$18,"Video kuyruğu",IF(R159&gt;='Rubrik'!$B$19,"Revize et",IF(R159&gt;='Rubrik'!$B$20,"Kartla test","Düşük öncelik"))))</x:f>
        <x:v>Revize et</x:v>
      </x:c>
      <x:c r="T159" s="50" t="str">
        <x:f>IF(AND(R159&gt;=85,P159&gt;=16,M159&gt;=12,L159&gt;=12),"Reel + Carousel",IF(AND(R159&gt;=85,P159&gt;=16,N159&gt;=8),"Soru odaklı Reel",IF(AND(R159&gt;=85,P159&gt;=16),"Reel / Short",IF(M159&gt;=11,"Carousel","Kart testi"))))</x:f>
        <x:v>Carousel</x:v>
      </x:c>
      <x:c r="U159" s="46" t="str">
        <x:v>Otel havlularındaki sosyal kanıt deneyi herkesin bildiği bir ortamda şaşırtıcı davranış farkı gösteriyor.</x:v>
      </x:c>
      <x:c r="V159" s="46" t="str">
        <x:f>IF(Q159&lt;=3,"Kaynak kontrolü şart",IF(Q159=4,"Kaynak kontrolü önerilir","Standart doğrulama"))</x:f>
        <x:v>Standart doğrulama</x:v>
      </x:c>
    </x:row>
    <x:row r="160" ht="24" customHeight="1">
      <x:c r="A160" s="48" t="n">
        <x:f>COUNTIF($R$2:$R$751,"&gt;"&amp;R160)+COUNTIF($R$2:R160,R160)</x:f>
        <x:v>159</x:v>
      </x:c>
      <x:c r="B160" s="48" t="n">
        <x:v>1568</x:v>
      </x:c>
      <x:c r="C160" s="46" t="str">
        <x:v>Tutuşma anı — motivasyonun kimliğe dönüştüğü an</x:v>
      </x:c>
      <x:c r="D160" s="34" t="str">
        <x:v>Liderlik</x:v>
      </x:c>
      <x:c r="E160" s="34" t="str">
        <x:v>Başarı</x:v>
      </x:c>
      <x:c r="F160" s="34" t="str">
        <x:v>Yetenek Kodu</x:v>
      </x:c>
      <x:c r="G160" s="34" t="str">
        <x:v>Daniel Coyle</x:v>
      </x:c>
      <x:c r="H160" s="50" t="str">
        <x:v>1</x:v>
      </x:c>
      <x:c r="I160" s="50" t="str">
        <x:v>Temel</x:v>
      </x:c>
      <x:c r="J160" s="51" t="n">
        <x:v>13</x:v>
      </x:c>
      <x:c r="K160" s="51" t="n">
        <x:v>8</x:v>
      </x:c>
      <x:c r="L160" s="51" t="n">
        <x:v>13</x:v>
      </x:c>
      <x:c r="M160" s="51" t="n">
        <x:v>13</x:v>
      </x:c>
      <x:c r="N160" s="51" t="n">
        <x:v>9</x:v>
      </x:c>
      <x:c r="O160" s="51" t="n">
        <x:v>7</x:v>
      </x:c>
      <x:c r="P160" s="51" t="n">
        <x:v>16</x:v>
      </x:c>
      <x:c r="Q160" s="51" t="n">
        <x:v>4</x:v>
      </x:c>
      <x:c r="R160" s="52" t="n">
        <x:f>SUM(J160:Q160)</x:f>
        <x:v>83</x:v>
      </x:c>
      <x:c r="S160" s="50" t="str">
        <x:f>IF(R160&gt;='Rubrik'!$B$17,"Öncelikli video",IF(R160&gt;='Rubrik'!$B$18,"Video kuyruğu",IF(R160&gt;='Rubrik'!$B$19,"Revize et",IF(R160&gt;='Rubrik'!$B$20,"Kartla test","Düşük öncelik"))))</x:f>
        <x:v>Revize et</x:v>
      </x:c>
      <x:c r="T160" s="50" t="str">
        <x:f>IF(AND(R160&gt;=85,P160&gt;=16,M160&gt;=12,L160&gt;=12),"Reel + Carousel",IF(AND(R160&gt;=85,P160&gt;=16,N160&gt;=8),"Soru odaklı Reel",IF(AND(R160&gt;=85,P160&gt;=16),"Reel / Short",IF(M160&gt;=11,"Carousel","Kart testi"))))</x:f>
        <x:v>Carousel</x:v>
      </x:c>
      <x:c r="U160" s="46" t="str">
        <x:v>Yakındaki rol modelin imkânsızı mümkün kılması umutlu ve paylaşılabilir; güçlü dönüşüm sahneleri sunuyor.</x:v>
      </x:c>
      <x:c r="V160" s="46" t="str">
        <x:f>IF(Q160&lt;=3,"Kaynak kontrolü şart",IF(Q160=4,"Kaynak kontrolü önerilir","Standart doğrulama"))</x:f>
        <x:v>Kaynak kontrolü önerilir</x:v>
      </x:c>
    </x:row>
    <x:row r="161" ht="24" customHeight="1">
      <x:c r="A161" s="48" t="n">
        <x:f>COUNTIF($R$2:$R$751,"&gt;"&amp;R161)+COUNTIF($R$2:R161,R161)</x:f>
        <x:v>160</x:v>
      </x:c>
      <x:c r="B161" s="48" t="n">
        <x:v>1574</x:v>
      </x:c>
      <x:c r="C161" s="46" t="str">
        <x:v>Bellek yanılsaması — hatırladıklarımız ne kadar gerçek</x:v>
      </x:c>
      <x:c r="D161" s="34" t="str">
        <x:v>Psikoloji</x:v>
      </x:c>
      <x:c r="E161" s="34" t="str">
        <x:v>Psikoloji</x:v>
      </x:c>
      <x:c r="F161" s="34" t="str">
        <x:v>Hataları Kucaklamak</x:v>
      </x:c>
      <x:c r="G161" s="34" t="str">
        <x:v>Carol Tavris</x:v>
      </x:c>
      <x:c r="H161" s="50" t="str">
        <x:v>1</x:v>
      </x:c>
      <x:c r="I161" s="50" t="str">
        <x:v>Temel</x:v>
      </x:c>
      <x:c r="J161" s="51" t="n">
        <x:v>13</x:v>
      </x:c>
      <x:c r="K161" s="51" t="n">
        <x:v>8</x:v>
      </x:c>
      <x:c r="L161" s="51" t="n">
        <x:v>13</x:v>
      </x:c>
      <x:c r="M161" s="51" t="n">
        <x:v>13</x:v>
      </x:c>
      <x:c r="N161" s="51" t="n">
        <x:v>9</x:v>
      </x:c>
      <x:c r="O161" s="51" t="n">
        <x:v>7</x:v>
      </x:c>
      <x:c r="P161" s="51" t="n">
        <x:v>16</x:v>
      </x:c>
      <x:c r="Q161" s="51" t="n">
        <x:v>4</x:v>
      </x:c>
      <x:c r="R161" s="52" t="n">
        <x:f>SUM(J161:Q161)</x:f>
        <x:v>83</x:v>
      </x:c>
      <x:c r="S161" s="50" t="str">
        <x:f>IF(R161&gt;='Rubrik'!$B$17,"Öncelikli video",IF(R161&gt;='Rubrik'!$B$18,"Video kuyruğu",IF(R161&gt;='Rubrik'!$B$19,"Revize et",IF(R161&gt;='Rubrik'!$B$20,"Kartla test","Düşük öncelik"))))</x:f>
        <x:v>Revize et</x:v>
      </x:c>
      <x:c r="T161" s="50" t="str">
        <x:f>IF(AND(R161&gt;=85,P161&gt;=16,M161&gt;=12,L161&gt;=12),"Reel + Carousel",IF(AND(R161&gt;=85,P161&gt;=16,N161&gt;=8),"Soru odaklı Reel",IF(AND(R161&gt;=85,P161&gt;=16),"Reel / Short",IF(M161&gt;=11,"Carousel","Kart testi"))))</x:f>
        <x:v>Carousel</x:v>
      </x:c>
      <x:c r="U161" s="46" t="str">
        <x:v>Hafızanın her hatırlamada yeniden yazılması kişisel kesinliği sarsıyor; canlandırmaya çok uygun bir fikir.</x:v>
      </x:c>
      <x:c r="V161" s="46" t="str">
        <x:f>IF(Q161&lt;=3,"Kaynak kontrolü şart",IF(Q161=4,"Kaynak kontrolü önerilir","Standart doğrulama"))</x:f>
        <x:v>Kaynak kontrolü önerilir</x:v>
      </x:c>
    </x:row>
    <x:row r="162" ht="24" customHeight="1">
      <x:c r="A162" s="48" t="n">
        <x:f>COUNTIF($R$2:$R$751,"&gt;"&amp;R162)+COUNTIF($R$2:R162,R162)</x:f>
        <x:v>161</x:v>
      </x:c>
      <x:c r="B162" s="48" t="n">
        <x:v>1577</x:v>
      </x:c>
      <x:c r="C162" s="46" t="str">
        <x:v>Özerklik — kontrol etmek değil yönlendirmek</x:v>
      </x:c>
      <x:c r="D162" s="34" t="str">
        <x:v>Büyüme</x:v>
      </x:c>
      <x:c r="E162" s="34" t="str">
        <x:v>Motivasyon</x:v>
      </x:c>
      <x:c r="F162" s="34" t="str">
        <x:v>İşte Anlam</x:v>
      </x:c>
      <x:c r="G162" s="34" t="str">
        <x:v>Daniel Pink</x:v>
      </x:c>
      <x:c r="H162" s="50" t="str">
        <x:v>1</x:v>
      </x:c>
      <x:c r="I162" s="50" t="str">
        <x:v>Temel</x:v>
      </x:c>
      <x:c r="J162" s="51" t="n">
        <x:v>13</x:v>
      </x:c>
      <x:c r="K162" s="51" t="n">
        <x:v>7</x:v>
      </x:c>
      <x:c r="L162" s="51" t="n">
        <x:v>13</x:v>
      </x:c>
      <x:c r="M162" s="51" t="n">
        <x:v>13</x:v>
      </x:c>
      <x:c r="N162" s="51" t="n">
        <x:v>9</x:v>
      </x:c>
      <x:c r="O162" s="51" t="n">
        <x:v>7</x:v>
      </x:c>
      <x:c r="P162" s="51" t="n">
        <x:v>16</x:v>
      </x:c>
      <x:c r="Q162" s="51" t="n">
        <x:v>5</x:v>
      </x:c>
      <x:c r="R162" s="52" t="n">
        <x:f>SUM(J162:Q162)</x:f>
        <x:v>83</x:v>
      </x:c>
      <x:c r="S162" s="50" t="str">
        <x:f>IF(R162&gt;='Rubrik'!$B$17,"Öncelikli video",IF(R162&gt;='Rubrik'!$B$18,"Video kuyruğu",IF(R162&gt;='Rubrik'!$B$19,"Revize et",IF(R162&gt;='Rubrik'!$B$20,"Kartla test","Düşük öncelik"))))</x:f>
        <x:v>Revize et</x:v>
      </x:c>
      <x:c r="T162" s="50" t="str">
        <x:f>IF(AND(R162&gt;=85,P162&gt;=16,M162&gt;=12,L162&gt;=12),"Reel + Carousel",IF(AND(R162&gt;=85,P162&gt;=16,N162&gt;=8),"Soru odaklı Reel",IF(AND(R162&gt;=85,P162&gt;=16),"Reel / Short",IF(M162&gt;=11,"Carousel","Kart testi"))))</x:f>
        <x:v>Carousel</x:v>
      </x:c>
      <x:c r="U162" s="46" t="str">
        <x:v>Atlassian'ın FedEx günleri özgür zamandan çıkan ürünlerle net dönüşüm sunuyor; yaratıcı ekipleri harekete geçirir.</x:v>
      </x:c>
      <x:c r="V162" s="46" t="str">
        <x:f>IF(Q162&lt;=3,"Kaynak kontrolü şart",IF(Q162=4,"Kaynak kontrolü önerilir","Standart doğrulama"))</x:f>
        <x:v>Standart doğrulama</x:v>
      </x:c>
    </x:row>
    <x:row r="163" ht="24" customHeight="1">
      <x:c r="A163" s="48" t="n">
        <x:f>COUNTIF($R$2:$R$751,"&gt;"&amp;R163)+COUNTIF($R$2:R163,R163)</x:f>
        <x:v>162</x:v>
      </x:c>
      <x:c r="B163" s="48" t="n">
        <x:v>1587</x:v>
      </x:c>
      <x:c r="C163" s="46" t="str">
        <x:v>Işık ve uyku — ekranların biyolojik bedeli</x:v>
      </x:c>
      <x:c r="D163" s="34" t="str">
        <x:v>Sağlık</x:v>
      </x:c>
      <x:c r="E163" s="34" t="str">
        <x:v>Sağlık</x:v>
      </x:c>
      <x:c r="F163" s="34" t="str">
        <x:v>Sirkadyen Kod</x:v>
      </x:c>
      <x:c r="G163" s="34" t="str">
        <x:v>Satchin Panda</x:v>
      </x:c>
      <x:c r="H163" s="50" t="str">
        <x:v>1</x:v>
      </x:c>
      <x:c r="I163" s="50" t="str">
        <x:v>Temel</x:v>
      </x:c>
      <x:c r="J163" s="51" t="n">
        <x:v>13</x:v>
      </x:c>
      <x:c r="K163" s="51" t="n">
        <x:v>7</x:v>
      </x:c>
      <x:c r="L163" s="51" t="n">
        <x:v>13</x:v>
      </x:c>
      <x:c r="M163" s="51" t="n">
        <x:v>14</x:v>
      </x:c>
      <x:c r="N163" s="51" t="n">
        <x:v>9</x:v>
      </x:c>
      <x:c r="O163" s="51" t="n">
        <x:v>7</x:v>
      </x:c>
      <x:c r="P163" s="51" t="n">
        <x:v>16</x:v>
      </x:c>
      <x:c r="Q163" s="51" t="n">
        <x:v>4</x:v>
      </x:c>
      <x:c r="R163" s="52" t="n">
        <x:f>SUM(J163:Q163)</x:f>
        <x:v>83</x:v>
      </x:c>
      <x:c r="S163" s="50" t="str">
        <x:f>IF(R163&gt;='Rubrik'!$B$17,"Öncelikli video",IF(R163&gt;='Rubrik'!$B$18,"Video kuyruğu",IF(R163&gt;='Rubrik'!$B$19,"Revize et",IF(R163&gt;='Rubrik'!$B$20,"Kartla test","Düşük öncelik"))))</x:f>
        <x:v>Revize et</x:v>
      </x:c>
      <x:c r="T163" s="50" t="str">
        <x:f>IF(AND(R163&gt;=85,P163&gt;=16,M163&gt;=12,L163&gt;=12),"Reel + Carousel",IF(AND(R163&gt;=85,P163&gt;=16,N163&gt;=8),"Soru odaklı Reel",IF(AND(R163&gt;=85,P163&gt;=16),"Reel / Short",IF(M163&gt;=11,"Carousel","Kart testi"))))</x:f>
        <x:v>Carousel</x:v>
      </x:c>
      <x:c r="U163" s="46" t="str">
        <x:v>Gece ekran ışığının biyolojik saati şaşırtması herkesin davranışına dokunur; telefon görselleri hemen çalışır.</x:v>
      </x:c>
      <x:c r="V163" s="46" t="str">
        <x:f>IF(Q163&lt;=3,"Kaynak kontrolü şart",IF(Q163=4,"Kaynak kontrolü önerilir","Standart doğrulama"))</x:f>
        <x:v>Kaynak kontrolü önerilir</x:v>
      </x:c>
    </x:row>
    <x:row r="164" ht="24" customHeight="1">
      <x:c r="A164" s="48" t="n">
        <x:f>COUNTIF($R$2:$R$751,"&gt;"&amp;R164)+COUNTIF($R$2:R164,R164)</x:f>
        <x:v>163</x:v>
      </x:c>
      <x:c r="B164" s="48" t="n">
        <x:v>1607</x:v>
      </x:c>
      <x:c r="C164" s="46" t="str">
        <x:v>Büyük kazançlara odaklanmak — latte faktörünün yanlışı</x:v>
      </x:c>
      <x:c r="D164" s="34" t="str">
        <x:v>Finans</x:v>
      </x:c>
      <x:c r="E164" s="34" t="str">
        <x:v>Finans</x:v>
      </x:c>
      <x:c r="F164" s="34" t="str">
        <x:v>Zengin Olmayı Öğrenmek</x:v>
      </x:c>
      <x:c r="G164" s="34" t="str">
        <x:v>Ramit Sethi</x:v>
      </x:c>
      <x:c r="H164" s="50" t="str">
        <x:v>1</x:v>
      </x:c>
      <x:c r="I164" s="50" t="str">
        <x:v>Temel</x:v>
      </x:c>
      <x:c r="J164" s="51" t="n">
        <x:v>13</x:v>
      </x:c>
      <x:c r="K164" s="51" t="n">
        <x:v>7</x:v>
      </x:c>
      <x:c r="L164" s="51" t="n">
        <x:v>13</x:v>
      </x:c>
      <x:c r="M164" s="51" t="n">
        <x:v>14</x:v>
      </x:c>
      <x:c r="N164" s="51" t="n">
        <x:v>9</x:v>
      </x:c>
      <x:c r="O164" s="51" t="n">
        <x:v>7</x:v>
      </x:c>
      <x:c r="P164" s="51" t="n">
        <x:v>16</x:v>
      </x:c>
      <x:c r="Q164" s="51" t="n">
        <x:v>4</x:v>
      </x:c>
      <x:c r="R164" s="52" t="n">
        <x:f>SUM(J164:Q164)</x:f>
        <x:v>83</x:v>
      </x:c>
      <x:c r="S164" s="50" t="str">
        <x:f>IF(R164&gt;='Rubrik'!$B$17,"Öncelikli video",IF(R164&gt;='Rubrik'!$B$18,"Video kuyruğu",IF(R164&gt;='Rubrik'!$B$19,"Revize et",IF(R164&gt;='Rubrik'!$B$20,"Kartla test","Düşük öncelik"))))</x:f>
        <x:v>Revize et</x:v>
      </x:c>
      <x:c r="T164" s="50" t="str">
        <x:f>IF(AND(R164&gt;=85,P164&gt;=16,M164&gt;=12,L164&gt;=12),"Reel + Carousel",IF(AND(R164&gt;=85,P164&gt;=16,N164&gt;=8),"Soru odaklı Reel",IF(AND(R164&gt;=85,P164&gt;=16),"Reel / Short",IF(M164&gt;=11,"Carousel","Kart testi"))))</x:f>
        <x:v>Carousel</x:v>
      </x:c>
      <x:c r="U164" s="46" t="str">
        <x:v>Latte faktörü küçük harcamanın yıllara yayılan etkisini görünür kılıyor; hesaplar bağlama göre belirtilmeli.</x:v>
      </x:c>
      <x:c r="V164" s="46" t="str">
        <x:f>IF(Q164&lt;=3,"Kaynak kontrolü şart",IF(Q164=4,"Kaynak kontrolü önerilir","Standart doğrulama"))</x:f>
        <x:v>Kaynak kontrolü önerilir</x:v>
      </x:c>
    </x:row>
    <x:row r="165" ht="24" customHeight="1">
      <x:c r="A165" s="48" t="n">
        <x:f>COUNTIF($R$2:$R$751,"&gt;"&amp;R165)+COUNTIF($R$2:R165,R165)</x:f>
        <x:v>164</x:v>
      </x:c>
      <x:c r="B165" s="48" t="n">
        <x:v>1166</x:v>
      </x:c>
      <x:c r="C165" s="46" t="str">
        <x:v>Doğum tarihi ve Kanada hokeyi</x:v>
      </x:c>
      <x:c r="D165" s="34" t="str">
        <x:v>Liderlik</x:v>
      </x:c>
      <x:c r="E165" s="34" t="str">
        <x:v>Başarı</x:v>
      </x:c>
      <x:c r="F165" s="34" t="str">
        <x:v>10.000 Saat Kuralı</x:v>
      </x:c>
      <x:c r="G165" s="34" t="str">
        <x:v>Malcolm Gladwell</x:v>
      </x:c>
      <x:c r="H165" s="50" t="str">
        <x:v>1</x:v>
      </x:c>
      <x:c r="I165" s="50" t="str">
        <x:v>Temel</x:v>
      </x:c>
      <x:c r="J165" s="51" t="n">
        <x:v>14</x:v>
      </x:c>
      <x:c r="K165" s="51" t="n">
        <x:v>8</x:v>
      </x:c>
      <x:c r="L165" s="51" t="n">
        <x:v>12</x:v>
      </x:c>
      <x:c r="M165" s="51" t="n">
        <x:v>13</x:v>
      </x:c>
      <x:c r="N165" s="51" t="n">
        <x:v>9</x:v>
      </x:c>
      <x:c r="O165" s="51" t="n">
        <x:v>7</x:v>
      </x:c>
      <x:c r="P165" s="51" t="n">
        <x:v>16</x:v>
      </x:c>
      <x:c r="Q165" s="51" t="n">
        <x:v>4</x:v>
      </x:c>
      <x:c r="R165" s="52" t="n">
        <x:f>SUM(J165:Q165)</x:f>
        <x:v>83</x:v>
      </x:c>
      <x:c r="S165" s="50" t="str">
        <x:f>IF(R165&gt;='Rubrik'!$B$17,"Öncelikli video",IF(R165&gt;='Rubrik'!$B$18,"Video kuyruğu",IF(R165&gt;='Rubrik'!$B$19,"Revize et",IF(R165&gt;='Rubrik'!$B$20,"Kartla test","Düşük öncelik"))))</x:f>
        <x:v>Revize et</x:v>
      </x:c>
      <x:c r="T165" s="50" t="str">
        <x:f>IF(AND(R165&gt;=85,P165&gt;=16,M165&gt;=12,L165&gt;=12),"Reel + Carousel",IF(AND(R165&gt;=85,P165&gt;=16,N165&gt;=8),"Soru odaklı Reel",IF(AND(R165&gt;=85,P165&gt;=16),"Reel / Short",IF(M165&gt;=11,"Carousel","Kart testi"))))</x:f>
        <x:v>Carousel</x:v>
      </x:c>
      <x:c r="U165" s="46" t="str">
        <x:v>Ocak ve Aralık çocuklarının bir yıllık farkı kümülatif avantajı şaşırtıcı ve görsel biçimde anlatıyor.</x:v>
      </x:c>
      <x:c r="V165" s="46" t="str">
        <x:f>IF(Q165&lt;=3,"Kaynak kontrolü şart",IF(Q165=4,"Kaynak kontrolü önerilir","Standart doğrulama"))</x:f>
        <x:v>Kaynak kontrolü önerilir</x:v>
      </x:c>
    </x:row>
    <x:row r="166" ht="24" customHeight="1">
      <x:c r="A166" s="48" t="n">
        <x:f>COUNTIF($R$2:$R$751,"&gt;"&amp;R166)+COUNTIF($R$2:R166,R166)</x:f>
        <x:v>165</x:v>
      </x:c>
      <x:c r="B166" s="48" t="n">
        <x:v>1200</x:v>
      </x:c>
      <x:c r="C166" s="46" t="str">
        <x:v>Öğle sarhoşluğu ve dinlenme bilimi</x:v>
      </x:c>
      <x:c r="D166" s="34" t="str">
        <x:v>Verimlilik</x:v>
      </x:c>
      <x:c r="E166" s="34" t="str">
        <x:v>Verimlilik</x:v>
      </x:c>
      <x:c r="F166" s="34" t="str">
        <x:v>Saatlerin Efendisi</x:v>
      </x:c>
      <x:c r="G166" s="34" t="str">
        <x:v>Daniel Pink</x:v>
      </x:c>
      <x:c r="H166" s="50" t="str">
        <x:v>1</x:v>
      </x:c>
      <x:c r="I166" s="50" t="str">
        <x:v>Temel</x:v>
      </x:c>
      <x:c r="J166" s="51" t="n">
        <x:v>14</x:v>
      </x:c>
      <x:c r="K166" s="51" t="n">
        <x:v>8</x:v>
      </x:c>
      <x:c r="L166" s="51" t="n">
        <x:v>12</x:v>
      </x:c>
      <x:c r="M166" s="51" t="n">
        <x:v>14</x:v>
      </x:c>
      <x:c r="N166" s="51" t="n">
        <x:v>9</x:v>
      </x:c>
      <x:c r="O166" s="51" t="n">
        <x:v>7</x:v>
      </x:c>
      <x:c r="P166" s="51" t="n">
        <x:v>16</x:v>
      </x:c>
      <x:c r="Q166" s="51" t="n">
        <x:v>3</x:v>
      </x:c>
      <x:c r="R166" s="52" t="n">
        <x:f>SUM(J166:Q166)</x:f>
        <x:v>83</x:v>
      </x:c>
      <x:c r="S166" s="50" t="str">
        <x:f>IF(R166&gt;='Rubrik'!$B$17,"Öncelikli video",IF(R166&gt;='Rubrik'!$B$18,"Video kuyruğu",IF(R166&gt;='Rubrik'!$B$19,"Revize et",IF(R166&gt;='Rubrik'!$B$20,"Kartla test","Düşük öncelik"))))</x:f>
        <x:v>Revize et</x:v>
      </x:c>
      <x:c r="T166" s="50" t="str">
        <x:f>IF(AND(R166&gt;=85,P166&gt;=16,M166&gt;=12,L166&gt;=12),"Reel + Carousel",IF(AND(R166&gt;=85,P166&gt;=16,N166&gt;=8),"Soru odaklı Reel",IF(AND(R166&gt;=85,P166&gt;=16),"Reel / Short",IF(M166&gt;=11,"Carousel","Kart testi"))))</x:f>
        <x:v>Carousel</x:v>
      </x:c>
      <x:c r="U166" s="46" t="str">
        <x:v>Öğle hataları ile 26 dakikalık NASA uykusu güçlü karşıtlık; oranlar ve evrensellik kaynaklandırılmalı.</x:v>
      </x:c>
      <x:c r="V166" s="46" t="str">
        <x:f>IF(Q166&lt;=3,"Kaynak kontrolü şart",IF(Q166=4,"Kaynak kontrolü önerilir","Standart doğrulama"))</x:f>
        <x:v>Kaynak kontrolü şart</x:v>
      </x:c>
    </x:row>
    <x:row r="167" ht="24" customHeight="1">
      <x:c r="A167" s="48" t="n">
        <x:f>COUNTIF($R$2:$R$751,"&gt;"&amp;R167)+COUNTIF($R$2:R167,R167)</x:f>
        <x:v>166</x:v>
      </x:c>
      <x:c r="B167" s="48" t="n">
        <x:v>1295</x:v>
      </x:c>
      <x:c r="C167" s="46" t="str">
        <x:v>Korkular listesi ve felsefeyi tersine çevirmek</x:v>
      </x:c>
      <x:c r="D167" s="34" t="str">
        <x:v>Verimlilik</x:v>
      </x:c>
      <x:c r="E167" s="34" t="str">
        <x:v>Verimlilik</x:v>
      </x:c>
      <x:c r="F167" s="34" t="str">
        <x:v>The 4-Hour Workweek</x:v>
      </x:c>
      <x:c r="G167" s="34" t="str">
        <x:v>Tim Ferriss</x:v>
      </x:c>
      <x:c r="H167" s="50" t="str">
        <x:v>1</x:v>
      </x:c>
      <x:c r="I167" s="50" t="str">
        <x:v>Temel</x:v>
      </x:c>
      <x:c r="J167" s="51" t="n">
        <x:v>13</x:v>
      </x:c>
      <x:c r="K167" s="51" t="n">
        <x:v>7</x:v>
      </x:c>
      <x:c r="L167" s="51" t="n">
        <x:v>12</x:v>
      </x:c>
      <x:c r="M167" s="51" t="n">
        <x:v>14</x:v>
      </x:c>
      <x:c r="N167" s="51" t="n">
        <x:v>10</x:v>
      </x:c>
      <x:c r="O167" s="51" t="n">
        <x:v>7</x:v>
      </x:c>
      <x:c r="P167" s="51" t="n">
        <x:v>16</x:v>
      </x:c>
      <x:c r="Q167" s="51" t="n">
        <x:v>4</x:v>
      </x:c>
      <x:c r="R167" s="52" t="n">
        <x:f>SUM(J167:Q167)</x:f>
        <x:v>83</x:v>
      </x:c>
      <x:c r="S167" s="50" t="str">
        <x:f>IF(R167&gt;='Rubrik'!$B$17,"Öncelikli video",IF(R167&gt;='Rubrik'!$B$18,"Video kuyruğu",IF(R167&gt;='Rubrik'!$B$19,"Revize et",IF(R167&gt;='Rubrik'!$B$20,"Kartla test","Düşük öncelik"))))</x:f>
        <x:v>Revize et</x:v>
      </x:c>
      <x:c r="T167" s="50" t="str">
        <x:f>IF(AND(R167&gt;=85,P167&gt;=16,M167&gt;=12,L167&gt;=12),"Reel + Carousel",IF(AND(R167&gt;=85,P167&gt;=16,N167&gt;=8),"Soru odaklı Reel",IF(AND(R167&gt;=85,P167&gt;=16),"Reel / Short",IF(M167&gt;=11,"Carousel","Kart testi"))))</x:f>
        <x:v>Carousel</x:v>
      </x:c>
      <x:c r="U167" s="46" t="str">
        <x:v>Yapmamanın beş yıllık maliyeti güçlü bir ters soru; egzersiz hemen uygulanabilir ve sesli yanıta çok uygun.</x:v>
      </x:c>
      <x:c r="V167" s="46" t="str">
        <x:f>IF(Q167&lt;=3,"Kaynak kontrolü şart",IF(Q167=4,"Kaynak kontrolü önerilir","Standart doğrulama"))</x:f>
        <x:v>Kaynak kontrolü önerilir</x:v>
      </x:c>
    </x:row>
    <x:row r="168" ht="24" customHeight="1">
      <x:c r="A168" s="48" t="n">
        <x:f>COUNTIF($R$2:$R$751,"&gt;"&amp;R168)+COUNTIF($R$2:R168,R168)</x:f>
        <x:v>167</x:v>
      </x:c>
      <x:c r="B168" s="48" t="n">
        <x:v>1318</x:v>
      </x:c>
      <x:c r="C168" s="46" t="str">
        <x:v>Rahatsızlıktan kaçma dürtüsü</x:v>
      </x:c>
      <x:c r="D168" s="34" t="str">
        <x:v>Verimlilik</x:v>
      </x:c>
      <x:c r="E168" s="34" t="str">
        <x:v>Verimlilik</x:v>
      </x:c>
      <x:c r="F168" s="34" t="str">
        <x:v>Indistractable</x:v>
      </x:c>
      <x:c r="G168" s="34" t="str">
        <x:v>Nir Eyal</x:v>
      </x:c>
      <x:c r="H168" s="50" t="str">
        <x:v>1</x:v>
      </x:c>
      <x:c r="I168" s="50" t="str">
        <x:v>Temel</x:v>
      </x:c>
      <x:c r="J168" s="51" t="n">
        <x:v>13</x:v>
      </x:c>
      <x:c r="K168" s="51" t="n">
        <x:v>7</x:v>
      </x:c>
      <x:c r="L168" s="51" t="n">
        <x:v>12</x:v>
      </x:c>
      <x:c r="M168" s="51" t="n">
        <x:v>13</x:v>
      </x:c>
      <x:c r="N168" s="51" t="n">
        <x:v>10</x:v>
      </x:c>
      <x:c r="O168" s="51" t="n">
        <x:v>8</x:v>
      </x:c>
      <x:c r="P168" s="51" t="n">
        <x:v>16</x:v>
      </x:c>
      <x:c r="Q168" s="51" t="n">
        <x:v>4</x:v>
      </x:c>
      <x:c r="R168" s="52" t="n">
        <x:f>SUM(J168:Q168)</x:f>
        <x:v>83</x:v>
      </x:c>
      <x:c r="S168" s="50" t="str">
        <x:f>IF(R168&gt;='Rubrik'!$B$17,"Öncelikli video",IF(R168&gt;='Rubrik'!$B$18,"Video kuyruğu",IF(R168&gt;='Rubrik'!$B$19,"Revize et",IF(R168&gt;='Rubrik'!$B$20,"Kartla test","Düşük öncelik"))))</x:f>
        <x:v>Revize et</x:v>
      </x:c>
      <x:c r="T168" s="50" t="str">
        <x:f>IF(AND(R168&gt;=85,P168&gt;=16,M168&gt;=12,L168&gt;=12),"Reel + Carousel",IF(AND(R168&gt;=85,P168&gt;=16,N168&gt;=8),"Soru odaklı Reel",IF(AND(R168&gt;=85,P168&gt;=16),"Reel / Short",IF(M168&gt;=11,"Carousel","Kart testi"))))</x:f>
        <x:v>Carousel</x:v>
      </x:c>
      <x:c r="U168" s="46" t="str">
        <x:v>Zor görevden e-postaya kaçış herkesçe tanınır; duyguyu adlandırma adımı hemen uygulanabilir.</x:v>
      </x:c>
      <x:c r="V168" s="46" t="str">
        <x:f>IF(Q168&lt;=3,"Kaynak kontrolü şart",IF(Q168=4,"Kaynak kontrolü önerilir","Standart doğrulama"))</x:f>
        <x:v>Kaynak kontrolü önerilir</x:v>
      </x:c>
    </x:row>
    <x:row r="169" ht="24" customHeight="1">
      <x:c r="A169" s="48" t="n">
        <x:f>COUNTIF($R$2:$R$751,"&gt;"&amp;R169)+COUNTIF($R$2:R169,R169)</x:f>
        <x:v>168</x:v>
      </x:c>
      <x:c r="B169" s="48" t="n">
        <x:v>1406</x:v>
      </x:c>
      <x:c r="C169" s="46" t="str">
        <x:v>İki dakika kuralı</x:v>
      </x:c>
      <x:c r="D169" s="34" t="str">
        <x:v>Verimlilik</x:v>
      </x:c>
      <x:c r="E169" s="34" t="str">
        <x:v>Verimlilik</x:v>
      </x:c>
      <x:c r="F169" s="34" t="str">
        <x:v>Nasıl Başarılı Olunur</x:v>
      </x:c>
      <x:c r="G169" s="34" t="str">
        <x:v>David Allen</x:v>
      </x:c>
      <x:c r="H169" s="50" t="str">
        <x:v>1</x:v>
      </x:c>
      <x:c r="I169" s="50" t="str">
        <x:v>Temel</x:v>
      </x:c>
      <x:c r="J169" s="51" t="n">
        <x:v>13</x:v>
      </x:c>
      <x:c r="K169" s="51" t="n">
        <x:v>7</x:v>
      </x:c>
      <x:c r="L169" s="51" t="n">
        <x:v>12</x:v>
      </x:c>
      <x:c r="M169" s="51" t="n">
        <x:v>14</x:v>
      </x:c>
      <x:c r="N169" s="51" t="n">
        <x:v>9</x:v>
      </x:c>
      <x:c r="O169" s="51" t="n">
        <x:v>8</x:v>
      </x:c>
      <x:c r="P169" s="51" t="n">
        <x:v>16</x:v>
      </x:c>
      <x:c r="Q169" s="51" t="n">
        <x:v>4</x:v>
      </x:c>
      <x:c r="R169" s="52" t="n">
        <x:f>SUM(J169:Q169)</x:f>
        <x:v>83</x:v>
      </x:c>
      <x:c r="S169" s="50" t="str">
        <x:f>IF(R169&gt;='Rubrik'!$B$17,"Öncelikli video",IF(R169&gt;='Rubrik'!$B$18,"Video kuyruğu",IF(R169&gt;='Rubrik'!$B$19,"Revize et",IF(R169&gt;='Rubrik'!$B$20,"Kartla test","Düşük öncelik"))))</x:f>
        <x:v>Revize et</x:v>
      </x:c>
      <x:c r="T169" s="50" t="str">
        <x:f>IF(AND(R169&gt;=85,P169&gt;=16,M169&gt;=12,L169&gt;=12),"Reel + Carousel",IF(AND(R169&gt;=85,P169&gt;=16,N169&gt;=8),"Soru odaklı Reel",IF(AND(R169&gt;=85,P169&gt;=16),"Reel / Short",IF(M169&gt;=11,"Carousel","Kart testi"))))</x:f>
        <x:v>Carousel</x:v>
      </x:c>
      <x:c r="U169" s="46" t="str">
        <x:v>Biriken e-postadan iki dakika kuralına geçiş anlaşılır, hemen uygulanabilir ve yüksek kaydetme değerinde.</x:v>
      </x:c>
      <x:c r="V169" s="46" t="str">
        <x:f>IF(Q169&lt;=3,"Kaynak kontrolü şart",IF(Q169=4,"Kaynak kontrolü önerilir","Standart doğrulama"))</x:f>
        <x:v>Kaynak kontrolü önerilir</x:v>
      </x:c>
    </x:row>
    <x:row r="170" ht="24" customHeight="1">
      <x:c r="A170" s="48" t="n">
        <x:f>COUNTIF($R$2:$R$751,"&gt;"&amp;R170)+COUNTIF($R$2:R170,R170)</x:f>
        <x:v>169</x:v>
      </x:c>
      <x:c r="B170" s="48" t="n">
        <x:v>1455</x:v>
      </x:c>
      <x:c r="C170" s="46" t="str">
        <x:v>Acı ve neşe bir arada</x:v>
      </x:c>
      <x:c r="D170" s="34" t="str">
        <x:v>Psikoloji</x:v>
      </x:c>
      <x:c r="E170" s="34" t="str">
        <x:v>Mutluluk</x:v>
      </x:c>
      <x:c r="F170" s="34" t="str">
        <x:v>Neşeyi Seç</x:v>
      </x:c>
      <x:c r="G170" s="34" t="str">
        <x:v>Dalai Lama</x:v>
      </x:c>
      <x:c r="H170" s="50" t="str">
        <x:v>1</x:v>
      </x:c>
      <x:c r="I170" s="50" t="str">
        <x:v>Temel</x:v>
      </x:c>
      <x:c r="J170" s="51" t="n">
        <x:v>12</x:v>
      </x:c>
      <x:c r="K170" s="51" t="n">
        <x:v>8</x:v>
      </x:c>
      <x:c r="L170" s="51" t="n">
        <x:v>13</x:v>
      </x:c>
      <x:c r="M170" s="51" t="n">
        <x:v>14</x:v>
      </x:c>
      <x:c r="N170" s="51" t="n">
        <x:v>9</x:v>
      </x:c>
      <x:c r="O170" s="51" t="n">
        <x:v>7</x:v>
      </x:c>
      <x:c r="P170" s="51" t="n">
        <x:v>15</x:v>
      </x:c>
      <x:c r="Q170" s="51" t="n">
        <x:v>5</x:v>
      </x:c>
      <x:c r="R170" s="52" t="n">
        <x:f>SUM(J170:Q170)</x:f>
        <x:v>83</x:v>
      </x:c>
      <x:c r="S170" s="50" t="str">
        <x:f>IF(R170&gt;='Rubrik'!$B$17,"Öncelikli video",IF(R170&gt;='Rubrik'!$B$18,"Video kuyruğu",IF(R170&gt;='Rubrik'!$B$19,"Revize et",IF(R170&gt;='Rubrik'!$B$20,"Kartla test","Düşük öncelik"))))</x:f>
        <x:v>Revize et</x:v>
      </x:c>
      <x:c r="T170" s="50" t="str">
        <x:f>IF(AND(R170&gt;=85,P170&gt;=16,M170&gt;=12,L170&gt;=12),"Reel + Carousel",IF(AND(R170&gt;=85,P170&gt;=16,N170&gt;=8),"Soru odaklı Reel",IF(AND(R170&gt;=85,P170&gt;=16),"Reel / Short",IF(M170&gt;=11,"Carousel","Kart testi"))))</x:f>
        <x:v>Carousel</x:v>
      </x:c>
      <x:c r="U170" s="46" t="str">
        <x:v>Acı ve neşenin aynı anda var olabileceği mesajı evrensel, duygulu ve paylaşılmaya çok uygun.</x:v>
      </x:c>
      <x:c r="V170" s="46" t="str">
        <x:f>IF(Q170&lt;=3,"Kaynak kontrolü şart",IF(Q170=4,"Kaynak kontrolü önerilir","Standart doğrulama"))</x:f>
        <x:v>Standart doğrulama</x:v>
      </x:c>
    </x:row>
    <x:row r="171" ht="24" customHeight="1">
      <x:c r="A171" s="48" t="n">
        <x:f>COUNTIF($R$2:$R$751,"&gt;"&amp;R171)+COUNTIF($R$2:R171,R171)</x:f>
        <x:v>170</x:v>
      </x:c>
      <x:c r="B171" s="48" t="n">
        <x:v>1511</x:v>
      </x:c>
      <x:c r="C171" s="46" t="str">
        <x:v>Kontrol dışındaki şeylerle barışmak</x:v>
      </x:c>
      <x:c r="D171" s="34" t="str">
        <x:v>Felsefe</x:v>
      </x:c>
      <x:c r="E171" s="34" t="str">
        <x:v>Felsefe</x:v>
      </x:c>
      <x:c r="F171" s="34" t="str">
        <x:v>Pratik Stoacılık</x:v>
      </x:c>
      <x:c r="G171" s="34" t="str">
        <x:v>William Irvine</x:v>
      </x:c>
      <x:c r="H171" s="50" t="str">
        <x:v>1</x:v>
      </x:c>
      <x:c r="I171" s="50" t="str">
        <x:v>Temel</x:v>
      </x:c>
      <x:c r="J171" s="51" t="n">
        <x:v>12</x:v>
      </x:c>
      <x:c r="K171" s="51" t="n">
        <x:v>7</x:v>
      </x:c>
      <x:c r="L171" s="51" t="n">
        <x:v>13</x:v>
      </x:c>
      <x:c r="M171" s="51" t="n">
        <x:v>15</x:v>
      </x:c>
      <x:c r="N171" s="51" t="n">
        <x:v>9</x:v>
      </x:c>
      <x:c r="O171" s="51" t="n">
        <x:v>7</x:v>
      </x:c>
      <x:c r="P171" s="51" t="n">
        <x:v>15</x:v>
      </x:c>
      <x:c r="Q171" s="51" t="n">
        <x:v>5</x:v>
      </x:c>
      <x:c r="R171" s="52" t="n">
        <x:f>SUM(J171:Q171)</x:f>
        <x:v>83</x:v>
      </x:c>
      <x:c r="S171" s="50" t="str">
        <x:f>IF(R171&gt;='Rubrik'!$B$17,"Öncelikli video",IF(R171&gt;='Rubrik'!$B$18,"Video kuyruğu",IF(R171&gt;='Rubrik'!$B$19,"Revize et",IF(R171&gt;='Rubrik'!$B$20,"Kartla test","Düşük öncelik"))))</x:f>
        <x:v>Revize et</x:v>
      </x:c>
      <x:c r="T171" s="50" t="str">
        <x:f>IF(AND(R171&gt;=85,P171&gt;=16,M171&gt;=12,L171&gt;=12),"Reel + Carousel",IF(AND(R171&gt;=85,P171&gt;=16,N171&gt;=8),"Soru odaklı Reel",IF(AND(R171&gt;=85,P171&gt;=16),"Reel / Short",IF(M171&gt;=11,"Carousel","Kart testi"))))</x:f>
        <x:v>Carousel</x:v>
      </x:c>
      <x:c r="U171" s="46" t="str">
        <x:v>Kontrol ikilemi kaygıyı iki kutuya ayıran kalıcı bir araç; sesli not ve kaydetme için çok uygun.</x:v>
      </x:c>
      <x:c r="V171" s="46" t="str">
        <x:f>IF(Q171&lt;=3,"Kaynak kontrolü şart",IF(Q171=4,"Kaynak kontrolü önerilir","Standart doğrulama"))</x:f>
        <x:v>Standart doğrulama</x:v>
      </x:c>
    </x:row>
    <x:row r="172" ht="24" customHeight="1">
      <x:c r="A172" s="48" t="n">
        <x:f>COUNTIF($R$2:$R$751,"&gt;"&amp;R172)+COUNTIF($R$2:R172,R172)</x:f>
        <x:v>171</x:v>
      </x:c>
      <x:c r="B172" s="48" t="n">
        <x:v>1198</x:v>
      </x:c>
      <x:c r="C172" s="46" t="str">
        <x:v>Güvenli beden ve iyileşme</x:v>
      </x:c>
      <x:c r="D172" s="34" t="str">
        <x:v>Sağlık</x:v>
      </x:c>
      <x:c r="E172" s="34" t="str">
        <x:v>Sağlık</x:v>
      </x:c>
      <x:c r="F172" s="34" t="str">
        <x:v>Bedenin Sesi</x:v>
      </x:c>
      <x:c r="G172" s="34" t="str">
        <x:v>Bessel van der Kolk</x:v>
      </x:c>
      <x:c r="H172" s="50" t="str">
        <x:v>1</x:v>
      </x:c>
      <x:c r="I172" s="50" t="str">
        <x:v>Temel</x:v>
      </x:c>
      <x:c r="J172" s="51" t="n">
        <x:v>14</x:v>
      </x:c>
      <x:c r="K172" s="51" t="n">
        <x:v>9</x:v>
      </x:c>
      <x:c r="L172" s="51" t="n">
        <x:v>11</x:v>
      </x:c>
      <x:c r="M172" s="51" t="n">
        <x:v>13</x:v>
      </x:c>
      <x:c r="N172" s="51" t="n">
        <x:v>10</x:v>
      </x:c>
      <x:c r="O172" s="51" t="n">
        <x:v>7</x:v>
      </x:c>
      <x:c r="P172" s="51" t="n">
        <x:v>15</x:v>
      </x:c>
      <x:c r="Q172" s="51" t="n">
        <x:v>4</x:v>
      </x:c>
      <x:c r="R172" s="52" t="n">
        <x:f>SUM(J172:Q172)</x:f>
        <x:v>83</x:v>
      </x:c>
      <x:c r="S172" s="50" t="str">
        <x:f>IF(R172&gt;='Rubrik'!$B$17,"Öncelikli video",IF(R172&gt;='Rubrik'!$B$18,"Video kuyruğu",IF(R172&gt;='Rubrik'!$B$19,"Revize et",IF(R172&gt;='Rubrik'!$B$20,"Kartla test","Düşük öncelik"))))</x:f>
        <x:v>Revize et</x:v>
      </x:c>
      <x:c r="T172" s="50" t="str">
        <x:f>IF(AND(R172&gt;=85,P172&gt;=16,M172&gt;=12,L172&gt;=12),"Reel + Carousel",IF(AND(R172&gt;=85,P172&gt;=16,N172&gt;=8),"Soru odaklı Reel",IF(AND(R172&gt;=85,P172&gt;=16),"Reel / Short",IF(M172&gt;=11,"Carousel","Kart testi"))))</x:f>
        <x:v>Carousel</x:v>
      </x:c>
      <x:c r="U172" s="46" t="str">
        <x:v>Bedenimi geri aldım cümlesi duygusal zirve yaratıyor; terapi seçenekleri dikkatli ve güvenli anlatılmalı.</x:v>
      </x:c>
      <x:c r="V172" s="46" t="str">
        <x:f>IF(Q172&lt;=3,"Kaynak kontrolü şart",IF(Q172=4,"Kaynak kontrolü önerilir","Standart doğrulama"))</x:f>
        <x:v>Kaynak kontrolü önerilir</x:v>
      </x:c>
    </x:row>
    <x:row r="173" ht="24" customHeight="1">
      <x:c r="A173" s="48" t="n">
        <x:f>COUNTIF($R$2:$R$751,"&gt;"&amp;R173)+COUNTIF($R$2:R173,R173)</x:f>
        <x:v>172</x:v>
      </x:c>
      <x:c r="B173" s="48" t="n">
        <x:v>1214</x:v>
      </x:c>
      <x:c r="C173" s="46" t="str">
        <x:v>Korkular listesi ve olumsuz canlandırma</x:v>
      </x:c>
      <x:c r="D173" s="34" t="str">
        <x:v>Verimlilik</x:v>
      </x:c>
      <x:c r="E173" s="34" t="str">
        <x:v>Verimlilik</x:v>
      </x:c>
      <x:c r="F173" s="34" t="str">
        <x:v>The 4-Hour Workweek</x:v>
      </x:c>
      <x:c r="G173" s="34" t="str">
        <x:v>Tim Ferriss</x:v>
      </x:c>
      <x:c r="H173" s="50" t="str">
        <x:v>1</x:v>
      </x:c>
      <x:c r="I173" s="50" t="str">
        <x:v>Temel</x:v>
      </x:c>
      <x:c r="J173" s="51" t="n">
        <x:v>13</x:v>
      </x:c>
      <x:c r="K173" s="51" t="n">
        <x:v>8</x:v>
      </x:c>
      <x:c r="L173" s="51" t="n">
        <x:v>11</x:v>
      </x:c>
      <x:c r="M173" s="51" t="n">
        <x:v>15</x:v>
      </x:c>
      <x:c r="N173" s="51" t="n">
        <x:v>10</x:v>
      </x:c>
      <x:c r="O173" s="51" t="n">
        <x:v>7</x:v>
      </x:c>
      <x:c r="P173" s="51" t="n">
        <x:v>15</x:v>
      </x:c>
      <x:c r="Q173" s="51" t="n">
        <x:v>4</x:v>
      </x:c>
      <x:c r="R173" s="52" t="n">
        <x:f>SUM(J173:Q173)</x:f>
        <x:v>83</x:v>
      </x:c>
      <x:c r="S173" s="50" t="str">
        <x:f>IF(R173&gt;='Rubrik'!$B$17,"Öncelikli video",IF(R173&gt;='Rubrik'!$B$18,"Video kuyruğu",IF(R173&gt;='Rubrik'!$B$19,"Revize et",IF(R173&gt;='Rubrik'!$B$20,"Kartla test","Düşük öncelik"))))</x:f>
        <x:v>Revize et</x:v>
      </x:c>
      <x:c r="T173" s="50" t="str">
        <x:f>IF(AND(R173&gt;=85,P173&gt;=16,M173&gt;=12,L173&gt;=12),"Reel + Carousel",IF(AND(R173&gt;=85,P173&gt;=16,N173&gt;=8),"Soru odaklı Reel",IF(AND(R173&gt;=85,P173&gt;=16),"Reel / Short",IF(M173&gt;=11,"Carousel","Kart testi"))))</x:f>
        <x:v>Carousel</x:v>
      </x:c>
      <x:c r="U173" s="46" t="str">
        <x:v>Korkuyu olasılık ve onarım adımlarına bölmek son derece kaydedilebilir, anlatılabilir ve uygulanabilir.</x:v>
      </x:c>
      <x:c r="V173" s="46" t="str">
        <x:f>IF(Q173&lt;=3,"Kaynak kontrolü şart",IF(Q173=4,"Kaynak kontrolü önerilir","Standart doğrulama"))</x:f>
        <x:v>Kaynak kontrolü önerilir</x:v>
      </x:c>
    </x:row>
    <x:row r="174" ht="24" customHeight="1">
      <x:c r="A174" s="48" t="n">
        <x:f>COUNTIF($R$2:$R$751,"&gt;"&amp;R174)+COUNTIF($R$2:R174,R174)</x:f>
        <x:v>173</x:v>
      </x:c>
      <x:c r="B174" s="48" t="n">
        <x:v>1095</x:v>
      </x:c>
      <x:c r="C174" s="46" t="str">
        <x:v>Cenaze töreni egzersizi</x:v>
      </x:c>
      <x:c r="D174" s="34" t="str">
        <x:v>Büyüme</x:v>
      </x:c>
      <x:c r="E174" s="34" t="str">
        <x:v>Kişisel Gelişim</x:v>
      </x:c>
      <x:c r="F174" s="34" t="str">
        <x:v>The 7 Habits of Highly Effective People</x:v>
      </x:c>
      <x:c r="G174" s="34" t="str">
        <x:v>Stephen Covey</x:v>
      </x:c>
      <x:c r="H174" s="50" t="str">
        <x:v>1</x:v>
      </x:c>
      <x:c r="I174" s="50" t="str">
        <x:v>Temel</x:v>
      </x:c>
      <x:c r="J174" s="51" t="n">
        <x:v>14</x:v>
      </x:c>
      <x:c r="K174" s="51" t="n">
        <x:v>9</x:v>
      </x:c>
      <x:c r="L174" s="51" t="n">
        <x:v>11</x:v>
      </x:c>
      <x:c r="M174" s="51" t="n">
        <x:v>14</x:v>
      </x:c>
      <x:c r="N174" s="51" t="n">
        <x:v>10</x:v>
      </x:c>
      <x:c r="O174" s="51" t="n">
        <x:v>7</x:v>
      </x:c>
      <x:c r="P174" s="51" t="n">
        <x:v>14</x:v>
      </x:c>
      <x:c r="Q174" s="51" t="n">
        <x:v>4</x:v>
      </x:c>
      <x:c r="R174" s="52" t="n">
        <x:f>SUM(J174:Q174)</x:f>
        <x:v>83</x:v>
      </x:c>
      <x:c r="S174" s="50" t="str">
        <x:f>IF(R174&gt;='Rubrik'!$B$17,"Öncelikli video",IF(R174&gt;='Rubrik'!$B$18,"Video kuyruğu",IF(R174&gt;='Rubrik'!$B$19,"Revize et",IF(R174&gt;='Rubrik'!$B$20,"Kartla test","Düşük öncelik"))))</x:f>
        <x:v>Revize et</x:v>
      </x:c>
      <x:c r="T174" s="50" t="str">
        <x:f>IF(AND(R174&gt;=85,P174&gt;=16,M174&gt;=12,L174&gt;=12),"Reel + Carousel",IF(AND(R174&gt;=85,P174&gt;=16,N174&gt;=8),"Soru odaklı Reel",IF(AND(R174&gt;=85,P174&gt;=16),"Reel / Short",IF(M174&gt;=11,"Carousel","Kart testi"))))</x:f>
        <x:v>Carousel</x:v>
      </x:c>
      <x:c r="U174" s="46" t="str">
        <x:v>Kendi cenazeni hayal etmek sarsıcı ve kişisel; değerleri görünür kılan güçlü bir kayıt sorusu taşıyor.</x:v>
      </x:c>
      <x:c r="V174" s="46" t="str">
        <x:f>IF(Q174&lt;=3,"Kaynak kontrolü şart",IF(Q174=4,"Kaynak kontrolü önerilir","Standart doğrulama"))</x:f>
        <x:v>Kaynak kontrolü önerilir</x:v>
      </x:c>
    </x:row>
    <x:row r="175" ht="24" customHeight="1">
      <x:c r="A175" s="48" t="n">
        <x:f>COUNTIF($R$2:$R$751,"&gt;"&amp;R175)+COUNTIF($R$2:R175,R175)</x:f>
        <x:v>174</x:v>
      </x:c>
      <x:c r="B175" s="48" t="n">
        <x:v>1763</x:v>
      </x:c>
      <x:c r="C175" s="46" t="str">
        <x:v>Elinde Eriyen Kaşık</x:v>
      </x:c>
      <x:c r="D175" s="34" t="str">
        <x:v>Psikoloji</x:v>
      </x:c>
      <x:c r="E175" s="34" t="str">
        <x:v>Psikoloji</x:v>
      </x:c>
      <x:c r="F175" s="34" t="str">
        <x:v>The Disappearing Spoon</x:v>
      </x:c>
      <x:c r="G175" s="34" t="str">
        <x:v>Sam Kean</x:v>
      </x:c>
      <x:c r="H175" s="50" t="str">
        <x:v>2</x:v>
      </x:c>
      <x:c r="I175" s="50" t="str">
        <x:v>Zengin</x:v>
      </x:c>
      <x:c r="J175" s="51" t="n">
        <x:v>12</x:v>
      </x:c>
      <x:c r="K175" s="51" t="n">
        <x:v>8</x:v>
      </x:c>
      <x:c r="L175" s="51" t="n">
        <x:v>14</x:v>
      </x:c>
      <x:c r="M175" s="51" t="n">
        <x:v>8</x:v>
      </x:c>
      <x:c r="N175" s="51" t="n">
        <x:v>9</x:v>
      </x:c>
      <x:c r="O175" s="51" t="n">
        <x:v>8</x:v>
      </x:c>
      <x:c r="P175" s="51" t="n">
        <x:v>19</x:v>
      </x:c>
      <x:c r="Q175" s="51" t="n">
        <x:v>4</x:v>
      </x:c>
      <x:c r="R175" s="52" t="n">
        <x:f>SUM(J175:Q175)</x:f>
        <x:v>82</x:v>
      </x:c>
      <x:c r="S175" s="50" t="str">
        <x:f>IF(R175&gt;='Rubrik'!$B$17,"Öncelikli video",IF(R175&gt;='Rubrik'!$B$18,"Video kuyruğu",IF(R175&gt;='Rubrik'!$B$19,"Revize et",IF(R175&gt;='Rubrik'!$B$20,"Kartla test","Düşük öncelik"))))</x:f>
        <x:v>Revize et</x:v>
      </x:c>
      <x:c r="T175" s="50" t="str">
        <x:f>IF(AND(R175&gt;=85,P175&gt;=16,M175&gt;=12,L175&gt;=12),"Reel + Carousel",IF(AND(R175&gt;=85,P175&gt;=16,N175&gt;=8),"Soru odaklı Reel",IF(AND(R175&gt;=85,P175&gt;=16),"Reel / Short",IF(M175&gt;=11,"Carousel","Kart testi"))))</x:f>
        <x:v>Kart testi</x:v>
      </x:c>
      <x:c r="U175" s="46" t="str">
        <x:v>Duygusal karşıtlık paylaşma ve kişisel anlatma isteğini yükseltiyor; olay örgüsü yeterli.</x:v>
      </x:c>
      <x:c r="V175" s="46" t="str">
        <x:f>IF(Q175&lt;=3,"Kaynak kontrolü şart",IF(Q175=4,"Kaynak kontrolü önerilir","Standart doğrulama"))</x:f>
        <x:v>Kaynak kontrolü önerilir</x:v>
      </x:c>
    </x:row>
    <x:row r="176" ht="24" customHeight="1">
      <x:c r="A176" s="48" t="n">
        <x:f>COUNTIF($R$2:$R$751,"&gt;"&amp;R176)+COUNTIF($R$2:R176,R176)</x:f>
        <x:v>175</x:v>
      </x:c>
      <x:c r="B176" s="48" t="n">
        <x:v>1791</x:v>
      </x:c>
      <x:c r="C176" s="46" t="str">
        <x:v>Aynı Elektrik, İki Farklı Sıçan</x:v>
      </x:c>
      <x:c r="D176" s="34" t="str">
        <x:v>Sağlık</x:v>
      </x:c>
      <x:c r="E176" s="34" t="str">
        <x:v>Sağlık</x:v>
      </x:c>
      <x:c r="F176" s="34" t="str">
        <x:v>Why Zebras Don't Get Ulcers</x:v>
      </x:c>
      <x:c r="G176" s="34" t="str">
        <x:v>Robert M. Sapolsky</x:v>
      </x:c>
      <x:c r="H176" s="50" t="str">
        <x:v>F6</x:v>
      </x:c>
      <x:c r="I176" s="50" t="str">
        <x:v>Zengin</x:v>
      </x:c>
      <x:c r="J176" s="51" t="n">
        <x:v>13</x:v>
      </x:c>
      <x:c r="K176" s="51" t="n">
        <x:v>6</x:v>
      </x:c>
      <x:c r="L176" s="51" t="n">
        <x:v>14</x:v>
      </x:c>
      <x:c r="M176" s="51" t="n">
        <x:v>10</x:v>
      </x:c>
      <x:c r="N176" s="51" t="n">
        <x:v>9</x:v>
      </x:c>
      <x:c r="O176" s="51" t="n">
        <x:v>8</x:v>
      </x:c>
      <x:c r="P176" s="51" t="n">
        <x:v>19</x:v>
      </x:c>
      <x:c r="Q176" s="51" t="n">
        <x:v>3</x:v>
      </x:c>
      <x:c r="R176" s="52" t="n">
        <x:f>SUM(J176:Q176)</x:f>
        <x:v>82</x:v>
      </x:c>
      <x:c r="S176" s="50" t="str">
        <x:f>IF(R176&gt;='Rubrik'!$B$17,"Öncelikli video",IF(R176&gt;='Rubrik'!$B$18,"Video kuyruğu",IF(R176&gt;='Rubrik'!$B$19,"Revize et",IF(R176&gt;='Rubrik'!$B$20,"Kartla test","Düşük öncelik"))))</x:f>
        <x:v>Revize et</x:v>
      </x:c>
      <x:c r="T176" s="50" t="str">
        <x:f>IF(AND(R176&gt;=85,P176&gt;=16,M176&gt;=12,L176&gt;=12),"Reel + Carousel",IF(AND(R176&gt;=85,P176&gt;=16,N176&gt;=8),"Soru odaklı Reel",IF(AND(R176&gt;=85,P176&gt;=16),"Reel / Short",IF(M176&gt;=11,"Carousel","Kart testi"))))</x:f>
        <x:v>Kart testi</x:v>
      </x:c>
      <x:c r="U176" s="46" t="str">
        <x:v>Duygusal karşıtlık paylaşma ve kişisel anlatma isteğini yükseltiyor; olay örgüsü yeterli.</x:v>
      </x:c>
      <x:c r="V176" s="46" t="str">
        <x:f>IF(Q176&lt;=3,"Kaynak kontrolü şart",IF(Q176=4,"Kaynak kontrolü önerilir","Standart doğrulama"))</x:f>
        <x:v>Kaynak kontrolü şart</x:v>
      </x:c>
    </x:row>
    <x:row r="177" ht="24" customHeight="1">
      <x:c r="A177" s="48" t="n">
        <x:f>COUNTIF($R$2:$R$751,"&gt;"&amp;R177)+COUNTIF($R$2:R177,R177)</x:f>
        <x:v>176</x:v>
      </x:c>
      <x:c r="B177" s="48" t="n">
        <x:v>1770</x:v>
      </x:c>
      <x:c r="C177" s="46" t="str">
        <x:v>İyi İnsanları Değiştiren Rol</x:v>
      </x:c>
      <x:c r="D177" s="34" t="str">
        <x:v>Finans</x:v>
      </x:c>
      <x:c r="E177" s="34" t="str">
        <x:v>İş &amp; Girişim</x:v>
      </x:c>
      <x:c r="F177" s="34" t="str">
        <x:v>The Lucifer Effect</x:v>
      </x:c>
      <x:c r="G177" s="34" t="str">
        <x:v>Philip Zimbardo</x:v>
      </x:c>
      <x:c r="H177" s="50" t="str">
        <x:v>2</x:v>
      </x:c>
      <x:c r="I177" s="50" t="str">
        <x:v>Zengin</x:v>
      </x:c>
      <x:c r="J177" s="51" t="n">
        <x:v>13</x:v>
      </x:c>
      <x:c r="K177" s="51" t="n">
        <x:v>5</x:v>
      </x:c>
      <x:c r="L177" s="51" t="n">
        <x:v>13</x:v>
      </x:c>
      <x:c r="M177" s="51" t="n">
        <x:v>11</x:v>
      </x:c>
      <x:c r="N177" s="51" t="n">
        <x:v>8</x:v>
      </x:c>
      <x:c r="O177" s="51" t="n">
        <x:v>9</x:v>
      </x:c>
      <x:c r="P177" s="51" t="n">
        <x:v>18</x:v>
      </x:c>
      <x:c r="Q177" s="51" t="n">
        <x:v>5</x:v>
      </x:c>
      <x:c r="R177" s="52" t="n">
        <x:f>SUM(J177:Q177)</x:f>
        <x:v>82</x:v>
      </x:c>
      <x:c r="S177" s="50" t="str">
        <x:f>IF(R177&gt;='Rubrik'!$B$17,"Öncelikli video",IF(R177&gt;='Rubrik'!$B$18,"Video kuyruğu",IF(R177&gt;='Rubrik'!$B$19,"Revize et",IF(R177&gt;='Rubrik'!$B$20,"Kartla test","Düşük öncelik"))))</x:f>
        <x:v>Revize et</x:v>
      </x:c>
      <x:c r="T177" s="50" t="str">
        <x:f>IF(AND(R177&gt;=85,P177&gt;=16,M177&gt;=12,L177&gt;=12),"Reel + Carousel",IF(AND(R177&gt;=85,P177&gt;=16,N177&gt;=8),"Soru odaklı Reel",IF(AND(R177&gt;=85,P177&gt;=16),"Reel / Short",IF(M177&gt;=11,"Carousel","Kart testi"))))</x:f>
        <x:v>Carousel</x:v>
      </x:c>
      <x:c r="U177" s="46" t="str">
        <x:v>Somut sahne ve sayısal ayrıntı güçlü bir video açılışı sağlıyor; paylaşılabilirlik yeterli.</x:v>
      </x:c>
      <x:c r="V177" s="46" t="str">
        <x:f>IF(Q177&lt;=3,"Kaynak kontrolü şart",IF(Q177=4,"Kaynak kontrolü önerilir","Standart doğrulama"))</x:f>
        <x:v>Standart doğrulama</x:v>
      </x:c>
    </x:row>
    <x:row r="178" ht="24" customHeight="1">
      <x:c r="A178" s="48" t="n">
        <x:f>COUNTIF($R$2:$R$751,"&gt;"&amp;R178)+COUNTIF($R$2:R178,R178)</x:f>
        <x:v>177</x:v>
      </x:c>
      <x:c r="B178" s="48" t="n">
        <x:v>1239</x:v>
      </x:c>
      <x:c r="C178" s="46" t="str">
        <x:v>İnsan-makine entegrasyonu</x:v>
      </x:c>
      <x:c r="D178" s="34" t="str">
        <x:v>Bilim</x:v>
      </x:c>
      <x:c r="E178" s="34" t="str">
        <x:v>Teknoloji</x:v>
      </x:c>
      <x:c r="F178" s="34" t="str">
        <x:v>Doğrusal Olmayan Gelecek</x:v>
      </x:c>
      <x:c r="G178" s="34" t="str">
        <x:v>Ray Kurzweil</x:v>
      </x:c>
      <x:c r="H178" s="50" t="str">
        <x:v>1</x:v>
      </x:c>
      <x:c r="I178" s="50" t="str">
        <x:v>Temel</x:v>
      </x:c>
      <x:c r="J178" s="51" t="n">
        <x:v>15</x:v>
      </x:c>
      <x:c r="K178" s="51" t="n">
        <x:v>8</x:v>
      </x:c>
      <x:c r="L178" s="51" t="n">
        <x:v>13</x:v>
      </x:c>
      <x:c r="M178" s="51" t="n">
        <x:v>12</x:v>
      </x:c>
      <x:c r="N178" s="51" t="n">
        <x:v>10</x:v>
      </x:c>
      <x:c r="O178" s="51" t="n">
        <x:v>6</x:v>
      </x:c>
      <x:c r="P178" s="51" t="n">
        <x:v>17</x:v>
      </x:c>
      <x:c r="Q178" s="51" t="n">
        <x:v>1</x:v>
      </x:c>
      <x:c r="R178" s="52" t="n">
        <x:f>SUM(J178:Q178)</x:f>
        <x:v>82</x:v>
      </x:c>
      <x:c r="S178" s="50" t="str">
        <x:f>IF(R178&gt;='Rubrik'!$B$17,"Öncelikli video",IF(R178&gt;='Rubrik'!$B$18,"Video kuyruğu",IF(R178&gt;='Rubrik'!$B$19,"Revize et",IF(R178&gt;='Rubrik'!$B$20,"Kartla test","Düşük öncelik"))))</x:f>
        <x:v>Revize et</x:v>
      </x:c>
      <x:c r="T178" s="50" t="str">
        <x:f>IF(AND(R178&gt;=85,P178&gt;=16,M178&gt;=12,L178&gt;=12),"Reel + Carousel",IF(AND(R178&gt;=85,P178&gt;=16,N178&gt;=8),"Soru odaklı Reel",IF(AND(R178&gt;=85,P178&gt;=16),"Reel / Short",IF(M178&gt;=11,"Carousel","Kart testi"))))</x:f>
        <x:v>Carousel</x:v>
      </x:c>
      <x:c r="U178" s="46" t="str">
        <x:v>İnsan-yapay zekâ birleşimi güncel ve çok tartışılır; geçmiş başarı ve tarihli öngörüler fazla kesin.</x:v>
      </x:c>
      <x:c r="V178" s="46" t="str">
        <x:f>IF(Q178&lt;=3,"Kaynak kontrolü şart",IF(Q178=4,"Kaynak kontrolü önerilir","Standart doğrulama"))</x:f>
        <x:v>Kaynak kontrolü şart</x:v>
      </x:c>
    </x:row>
    <x:row r="179" ht="24" customHeight="1">
      <x:c r="A179" s="48" t="n">
        <x:f>COUNTIF($R$2:$R$751,"&gt;"&amp;R179)+COUNTIF($R$2:R179,R179)</x:f>
        <x:v>178</x:v>
      </x:c>
      <x:c r="B179" s="48" t="n">
        <x:v>1267</x:v>
      </x:c>
      <x:c r="C179" s="46" t="str">
        <x:v>Roger Federer'in 12 saat uyku sırrı</x:v>
      </x:c>
      <x:c r="D179" s="34" t="str">
        <x:v>Sağlık</x:v>
      </x:c>
      <x:c r="E179" s="34" t="str">
        <x:v>Sağlık</x:v>
      </x:c>
      <x:c r="F179" s="34" t="str">
        <x:v>Neden Uyuyoruz</x:v>
      </x:c>
      <x:c r="G179" s="34" t="str">
        <x:v>Matthew Walker</x:v>
      </x:c>
      <x:c r="H179" s="50" t="str">
        <x:v>1</x:v>
      </x:c>
      <x:c r="I179" s="50" t="str">
        <x:v>Temel</x:v>
      </x:c>
      <x:c r="J179" s="51" t="n">
        <x:v>14</x:v>
      </x:c>
      <x:c r="K179" s="51" t="n">
        <x:v>7</x:v>
      </x:c>
      <x:c r="L179" s="51" t="n">
        <x:v>13</x:v>
      </x:c>
      <x:c r="M179" s="51" t="n">
        <x:v>13</x:v>
      </x:c>
      <x:c r="N179" s="51" t="n">
        <x:v>8</x:v>
      </x:c>
      <x:c r="O179" s="51" t="n">
        <x:v>8</x:v>
      </x:c>
      <x:c r="P179" s="51" t="n">
        <x:v>17</x:v>
      </x:c>
      <x:c r="Q179" s="51" t="n">
        <x:v>2</x:v>
      </x:c>
      <x:c r="R179" s="52" t="n">
        <x:f>SUM(J179:Q179)</x:f>
        <x:v>82</x:v>
      </x:c>
      <x:c r="S179" s="50" t="str">
        <x:f>IF(R179&gt;='Rubrik'!$B$17,"Öncelikli video",IF(R179&gt;='Rubrik'!$B$18,"Video kuyruğu",IF(R179&gt;='Rubrik'!$B$19,"Revize et",IF(R179&gt;='Rubrik'!$B$20,"Kartla test","Düşük öncelik"))))</x:f>
        <x:v>Revize et</x:v>
      </x:c>
      <x:c r="T179" s="50" t="str">
        <x:f>IF(AND(R179&gt;=85,P179&gt;=16,M179&gt;=12,L179&gt;=12),"Reel + Carousel",IF(AND(R179&gt;=85,P179&gt;=16,N179&gt;=8),"Soru odaklı Reel",IF(AND(R179&gt;=85,P179&gt;=16),"Reel / Short",IF(M179&gt;=11,"Carousel","Kart testi"))))</x:f>
        <x:v>Carousel</x:v>
      </x:c>
      <x:c r="U179" s="46" t="str">
        <x:v>Ünlü sporcular ve “ucuz doping” sözü yüksek dikkat yaratıyor; 12 saat ve genelleme iddiaları teyit istiyor.</x:v>
      </x:c>
      <x:c r="V179" s="46" t="str">
        <x:f>IF(Q179&lt;=3,"Kaynak kontrolü şart",IF(Q179=4,"Kaynak kontrolü önerilir","Standart doğrulama"))</x:f>
        <x:v>Kaynak kontrolü şart</x:v>
      </x:c>
    </x:row>
    <x:row r="180" ht="24" customHeight="1">
      <x:c r="A180" s="48" t="n">
        <x:f>COUNTIF($R$2:$R$751,"&gt;"&amp;R180)+COUNTIF($R$2:R180,R180)</x:f>
        <x:v>179</x:v>
      </x:c>
      <x:c r="B180" s="48" t="n">
        <x:v>1317</x:v>
      </x:c>
      <x:c r="C180" s="46" t="str">
        <x:v>Değişken ödül ve kumar psikolojisi</x:v>
      </x:c>
      <x:c r="D180" s="34" t="str">
        <x:v>Bilim</x:v>
      </x:c>
      <x:c r="E180" s="34" t="str">
        <x:v>Ürün</x:v>
      </x:c>
      <x:c r="F180" s="34" t="str">
        <x:v>Müşteriyi Anlamak</x:v>
      </x:c>
      <x:c r="G180" s="34" t="str">
        <x:v>Nir Eyal</x:v>
      </x:c>
      <x:c r="H180" s="50" t="str">
        <x:v>1</x:v>
      </x:c>
      <x:c r="I180" s="50" t="str">
        <x:v>Temel</x:v>
      </x:c>
      <x:c r="J180" s="51" t="n">
        <x:v>14</x:v>
      </x:c>
      <x:c r="K180" s="51" t="n">
        <x:v>7</x:v>
      </x:c>
      <x:c r="L180" s="51" t="n">
        <x:v>13</x:v>
      </x:c>
      <x:c r="M180" s="51" t="n">
        <x:v>11</x:v>
      </x:c>
      <x:c r="N180" s="51" t="n">
        <x:v>9</x:v>
      </x:c>
      <x:c r="O180" s="51" t="n">
        <x:v>8</x:v>
      </x:c>
      <x:c r="P180" s="51" t="n">
        <x:v>17</x:v>
      </x:c>
      <x:c r="Q180" s="51" t="n">
        <x:v>3</x:v>
      </x:c>
      <x:c r="R180" s="52" t="n">
        <x:f>SUM(J180:Q180)</x:f>
        <x:v>82</x:v>
      </x:c>
      <x:c r="S180" s="50" t="str">
        <x:f>IF(R180&gt;='Rubrik'!$B$17,"Öncelikli video",IF(R180&gt;='Rubrik'!$B$18,"Video kuyruğu",IF(R180&gt;='Rubrik'!$B$19,"Revize et",IF(R180&gt;='Rubrik'!$B$20,"Kartla test","Düşük öncelik"))))</x:f>
        <x:v>Revize et</x:v>
      </x:c>
      <x:c r="T180" s="50" t="str">
        <x:f>IF(AND(R180&gt;=85,P180&gt;=16,M180&gt;=12,L180&gt;=12),"Reel + Carousel",IF(AND(R180&gt;=85,P180&gt;=16,N180&gt;=8),"Soru odaklı Reel",IF(AND(R180&gt;=85,P180&gt;=16),"Reel / Short",IF(M180&gt;=11,"Carousel","Kart testi"))))</x:f>
        <x:v>Carousel</x:v>
      </x:c>
      <x:c r="U180" s="46" t="str">
        <x:v>Farenin rastgele ödülde takıntılılaşması güçlü görüntü ve merak yaratıyor; deney anlatımı nüanslandırılmalı.</x:v>
      </x:c>
      <x:c r="V180" s="46" t="str">
        <x:f>IF(Q180&lt;=3,"Kaynak kontrolü şart",IF(Q180=4,"Kaynak kontrolü önerilir","Standart doğrulama"))</x:f>
        <x:v>Kaynak kontrolü şart</x:v>
      </x:c>
    </x:row>
    <x:row r="181" ht="24" customHeight="1">
      <x:c r="A181" s="48" t="n">
        <x:f>COUNTIF($R$2:$R$751,"&gt;"&amp;R181)+COUNTIF($R$2:R181,R181)</x:f>
        <x:v>180</x:v>
      </x:c>
      <x:c r="B181" s="48" t="n">
        <x:v>1355</x:v>
      </x:c>
      <x:c r="C181" s="46" t="str">
        <x:v>Beş büyük pişmanlık</x:v>
      </x:c>
      <x:c r="D181" s="34" t="str">
        <x:v>Büyüme</x:v>
      </x:c>
      <x:c r="E181" s="34" t="str">
        <x:v>İlham</x:v>
      </x:c>
      <x:c r="F181" s="34" t="str">
        <x:v>Lider Yok Köle Yok</x:v>
      </x:c>
      <x:c r="G181" s="34" t="str">
        <x:v>Robin Sharma</x:v>
      </x:c>
      <x:c r="H181" s="50" t="str">
        <x:v>1</x:v>
      </x:c>
      <x:c r="I181" s="50" t="str">
        <x:v>Temel</x:v>
      </x:c>
      <x:c r="J181" s="51" t="n">
        <x:v>14</x:v>
      </x:c>
      <x:c r="K181" s="51" t="n">
        <x:v>8</x:v>
      </x:c>
      <x:c r="L181" s="51" t="n">
        <x:v>13</x:v>
      </x:c>
      <x:c r="M181" s="51" t="n">
        <x:v>12</x:v>
      </x:c>
      <x:c r="N181" s="51" t="n">
        <x:v>10</x:v>
      </x:c>
      <x:c r="O181" s="51" t="n">
        <x:v>7</x:v>
      </x:c>
      <x:c r="P181" s="51" t="n">
        <x:v>17</x:v>
      </x:c>
      <x:c r="Q181" s="51" t="n">
        <x:v>1</x:v>
      </x:c>
      <x:c r="R181" s="52" t="n">
        <x:f>SUM(J181:Q181)</x:f>
        <x:v>82</x:v>
      </x:c>
      <x:c r="S181" s="50" t="str">
        <x:f>IF(R181&gt;='Rubrik'!$B$17,"Öncelikli video",IF(R181&gt;='Rubrik'!$B$18,"Video kuyruğu",IF(R181&gt;='Rubrik'!$B$19,"Revize et",IF(R181&gt;='Rubrik'!$B$20,"Kartla test","Düşük öncelik"))))</x:f>
        <x:v>Revize et</x:v>
      </x:c>
      <x:c r="T181" s="50" t="str">
        <x:f>IF(AND(R181&gt;=85,P181&gt;=16,M181&gt;=12,L181&gt;=12),"Reel + Carousel",IF(AND(R181&gt;=85,P181&gt;=16,N181&gt;=8),"Soru odaklı Reel",IF(AND(R181&gt;=85,P181&gt;=16),"Reel / Short",IF(M181&gt;=11,"Carousel","Kart testi"))))</x:f>
        <x:v>Carousel</x:v>
      </x:c>
      <x:c r="U181" s="46" t="str">
        <x:v>Ölüm döşeği sorusu çok güçlü paylaşım ve öz değerlendirme üretir; bulgular yanlış kişiye atfedilmiş görünüyor.</x:v>
      </x:c>
      <x:c r="V181" s="46" t="str">
        <x:f>IF(Q181&lt;=3,"Kaynak kontrolü şart",IF(Q181=4,"Kaynak kontrolü önerilir","Standart doğrulama"))</x:f>
        <x:v>Kaynak kontrolü şart</x:v>
      </x:c>
    </x:row>
    <x:row r="182" ht="24" customHeight="1">
      <x:c r="A182" s="48" t="n">
        <x:f>COUNTIF($R$2:$R$751,"&gt;"&amp;R182)+COUNTIF($R$2:R182,R182)</x:f>
        <x:v>181</x:v>
      </x:c>
      <x:c r="B182" s="48" t="n">
        <x:v>1699</x:v>
      </x:c>
      <x:c r="C182" s="46" t="str">
        <x:v>PayPal'ın Rakip Kurucuları Nasıl Takım Oldu?</x:v>
      </x:c>
      <x:c r="D182" s="34" t="str">
        <x:v>Liderlik</x:v>
      </x:c>
      <x:c r="E182" s="34" t="str">
        <x:v>Liderlik</x:v>
      </x:c>
      <x:c r="F182" s="34" t="str">
        <x:v>The Founders</x:v>
      </x:c>
      <x:c r="G182" s="34" t="str">
        <x:v>Jimmy Soni</x:v>
      </x:c>
      <x:c r="H182" s="50" t="str">
        <x:v>2</x:v>
      </x:c>
      <x:c r="I182" s="50" t="str">
        <x:v>Zengin</x:v>
      </x:c>
      <x:c r="J182" s="51" t="n">
        <x:v>13</x:v>
      </x:c>
      <x:c r="K182" s="51" t="n">
        <x:v>6</x:v>
      </x:c>
      <x:c r="L182" s="51" t="n">
        <x:v>13</x:v>
      </x:c>
      <x:c r="M182" s="51" t="n">
        <x:v>11</x:v>
      </x:c>
      <x:c r="N182" s="51" t="n">
        <x:v>8</x:v>
      </x:c>
      <x:c r="O182" s="51" t="n">
        <x:v>9</x:v>
      </x:c>
      <x:c r="P182" s="51" t="n">
        <x:v>17</x:v>
      </x:c>
      <x:c r="Q182" s="51" t="n">
        <x:v>5</x:v>
      </x:c>
      <x:c r="R182" s="52" t="n">
        <x:f>SUM(J182:Q182)</x:f>
        <x:v>82</x:v>
      </x:c>
      <x:c r="S182" s="50" t="str">
        <x:f>IF(R182&gt;='Rubrik'!$B$17,"Öncelikli video",IF(R182&gt;='Rubrik'!$B$18,"Video kuyruğu",IF(R182&gt;='Rubrik'!$B$19,"Revize et",IF(R182&gt;='Rubrik'!$B$20,"Kartla test","Düşük öncelik"))))</x:f>
        <x:v>Revize et</x:v>
      </x:c>
      <x:c r="T182" s="50" t="str">
        <x:f>IF(AND(R182&gt;=85,P182&gt;=16,M182&gt;=12,L182&gt;=12),"Reel + Carousel",IF(AND(R182&gt;=85,P182&gt;=16,N182&gt;=8),"Soru odaklı Reel",IF(AND(R182&gt;=85,P182&gt;=16),"Reel / Short",IF(M182&gt;=11,"Carousel","Kart testi"))))</x:f>
        <x:v>Carousel</x:v>
      </x:c>
      <x:c r="U182" s="46" t="str">
        <x:v>Somut sahne ve sayısal ayrıntı güçlü bir video açılışı sağlıyor; görselleştirme yeterli.</x:v>
      </x:c>
      <x:c r="V182" s="46" t="str">
        <x:f>IF(Q182&lt;=3,"Kaynak kontrolü şart",IF(Q182=4,"Kaynak kontrolü önerilir","Standart doğrulama"))</x:f>
        <x:v>Standart doğrulama</x:v>
      </x:c>
    </x:row>
    <x:row r="183" ht="24" customHeight="1">
      <x:c r="A183" s="48" t="n">
        <x:f>COUNTIF($R$2:$R$751,"&gt;"&amp;R183)+COUNTIF($R$2:R183,R183)</x:f>
        <x:v>182</x:v>
      </x:c>
      <x:c r="B183" s="48" t="n">
        <x:v>1715</x:v>
      </x:c>
      <x:c r="C183" s="46" t="str">
        <x:v>Nir Eyal’i Kendi Kızıyla Kaçırdığı An Durdurdu</x:v>
      </x:c>
      <x:c r="D183" s="34" t="str">
        <x:v>Verimlilik</x:v>
      </x:c>
      <x:c r="E183" s="34" t="str">
        <x:v>Verimlilik</x:v>
      </x:c>
      <x:c r="F183" s="34" t="str">
        <x:v>Indistractable</x:v>
      </x:c>
      <x:c r="G183" s="34" t="str">
        <x:v>Nir Eyal</x:v>
      </x:c>
      <x:c r="H183" s="50" t="str">
        <x:v>2</x:v>
      </x:c>
      <x:c r="I183" s="50" t="str">
        <x:v>Zengin</x:v>
      </x:c>
      <x:c r="J183" s="51" t="n">
        <x:v>12</x:v>
      </x:c>
      <x:c r="K183" s="51" t="n">
        <x:v>8</x:v>
      </x:c>
      <x:c r="L183" s="51" t="n">
        <x:v>13</x:v>
      </x:c>
      <x:c r="M183" s="51" t="n">
        <x:v>11</x:v>
      </x:c>
      <x:c r="N183" s="51" t="n">
        <x:v>9</x:v>
      </x:c>
      <x:c r="O183" s="51" t="n">
        <x:v>8</x:v>
      </x:c>
      <x:c r="P183" s="51" t="n">
        <x:v>17</x:v>
      </x:c>
      <x:c r="Q183" s="51" t="n">
        <x:v>4</x:v>
      </x:c>
      <x:c r="R183" s="52" t="n">
        <x:f>SUM(J183:Q183)</x:f>
        <x:v>82</x:v>
      </x:c>
      <x:c r="S183" s="50" t="str">
        <x:f>IF(R183&gt;='Rubrik'!$B$17,"Öncelikli video",IF(R183&gt;='Rubrik'!$B$18,"Video kuyruğu",IF(R183&gt;='Rubrik'!$B$19,"Revize et",IF(R183&gt;='Rubrik'!$B$20,"Kartla test","Düşük öncelik"))))</x:f>
        <x:v>Revize et</x:v>
      </x:c>
      <x:c r="T183" s="50" t="str">
        <x:f>IF(AND(R183&gt;=85,P183&gt;=16,M183&gt;=12,L183&gt;=12),"Reel + Carousel",IF(AND(R183&gt;=85,P183&gt;=16,N183&gt;=8),"Soru odaklı Reel",IF(AND(R183&gt;=85,P183&gt;=16),"Reel / Short",IF(M183&gt;=11,"Carousel","Kart testi"))))</x:f>
        <x:v>Carousel</x:v>
      </x:c>
      <x:c r="U183" s="46" t="str">
        <x:v>Duygusal karşıtlık paylaşma ve kişisel anlatma isteğini yükseltiyor; olay örgüsü yeterli.</x:v>
      </x:c>
      <x:c r="V183" s="46" t="str">
        <x:f>IF(Q183&lt;=3,"Kaynak kontrolü şart",IF(Q183=4,"Kaynak kontrolü önerilir","Standart doğrulama"))</x:f>
        <x:v>Kaynak kontrolü önerilir</x:v>
      </x:c>
    </x:row>
    <x:row r="184" ht="24" customHeight="1">
      <x:c r="A184" s="48" t="n">
        <x:f>COUNTIF($R$2:$R$751,"&gt;"&amp;R184)+COUNTIF($R$2:R184,R184)</x:f>
        <x:v>183</x:v>
      </x:c>
      <x:c r="B184" s="48" t="n">
        <x:v>1719</x:v>
      </x:c>
      <x:c r="C184" s="46" t="str">
        <x:v>Uykusuz Bir Cerrah Ne Zaman Yardım İstemeli?</x:v>
      </x:c>
      <x:c r="D184" s="34" t="str">
        <x:v>Finans</x:v>
      </x:c>
      <x:c r="E184" s="34" t="str">
        <x:v>Satış</x:v>
      </x:c>
      <x:c r="F184" s="34" t="str">
        <x:v>Complications</x:v>
      </x:c>
      <x:c r="G184" s="34" t="str">
        <x:v>Atul Gawande</x:v>
      </x:c>
      <x:c r="H184" s="50" t="str">
        <x:v>2</x:v>
      </x:c>
      <x:c r="I184" s="50" t="str">
        <x:v>Zengin</x:v>
      </x:c>
      <x:c r="J184" s="51" t="n">
        <x:v>12</x:v>
      </x:c>
      <x:c r="K184" s="51" t="n">
        <x:v>9</x:v>
      </x:c>
      <x:c r="L184" s="51" t="n">
        <x:v>13</x:v>
      </x:c>
      <x:c r="M184" s="51" t="n">
        <x:v>11</x:v>
      </x:c>
      <x:c r="N184" s="51" t="n">
        <x:v>8</x:v>
      </x:c>
      <x:c r="O184" s="51" t="n">
        <x:v>8</x:v>
      </x:c>
      <x:c r="P184" s="51" t="n">
        <x:v>17</x:v>
      </x:c>
      <x:c r="Q184" s="51" t="n">
        <x:v>4</x:v>
      </x:c>
      <x:c r="R184" s="52" t="n">
        <x:f>SUM(J184:Q184)</x:f>
        <x:v>82</x:v>
      </x:c>
      <x:c r="S184" s="50" t="str">
        <x:f>IF(R184&gt;='Rubrik'!$B$17,"Öncelikli video",IF(R184&gt;='Rubrik'!$B$18,"Video kuyruğu",IF(R184&gt;='Rubrik'!$B$19,"Revize et",IF(R184&gt;='Rubrik'!$B$20,"Kartla test","Düşük öncelik"))))</x:f>
        <x:v>Revize et</x:v>
      </x:c>
      <x:c r="T184" s="50" t="str">
        <x:f>IF(AND(R184&gt;=85,P184&gt;=16,M184&gt;=12,L184&gt;=12),"Reel + Carousel",IF(AND(R184&gt;=85,P184&gt;=16,N184&gt;=8),"Soru odaklı Reel",IF(AND(R184&gt;=85,P184&gt;=16),"Reel / Short",IF(M184&gt;=11,"Carousel","Kart testi"))))</x:f>
        <x:v>Carousel</x:v>
      </x:c>
      <x:c r="U184" s="46" t="str">
        <x:v>Duygusal karşıtlık paylaşma ve kişisel anlatma isteğini yükseltiyor; olay örgüsü yeterli.</x:v>
      </x:c>
      <x:c r="V184" s="46" t="str">
        <x:f>IF(Q184&lt;=3,"Kaynak kontrolü şart",IF(Q184=4,"Kaynak kontrolü önerilir","Standart doğrulama"))</x:f>
        <x:v>Kaynak kontrolü önerilir</x:v>
      </x:c>
    </x:row>
    <x:row r="185" ht="24" customHeight="1">
      <x:c r="A185" s="48" t="n">
        <x:f>COUNTIF($R$2:$R$751,"&gt;"&amp;R185)+COUNTIF($R$2:R185,R185)</x:f>
        <x:v>184</x:v>
      </x:c>
      <x:c r="B185" s="48" t="n">
        <x:v>1723</x:v>
      </x:c>
      <x:c r="C185" s="46" t="str">
        <x:v>Bir Gölü Kurtarmak Neden Musluğu Kapatmak Kadar Hızlı Değildir?</x:v>
      </x:c>
      <x:c r="D185" s="34" t="str">
        <x:v>Felsefe</x:v>
      </x:c>
      <x:c r="E185" s="34" t="str">
        <x:v>Düşünme</x:v>
      </x:c>
      <x:c r="F185" s="34" t="str">
        <x:v>Thinking in Systems</x:v>
      </x:c>
      <x:c r="G185" s="34" t="str">
        <x:v>Donella Meadows</x:v>
      </x:c>
      <x:c r="H185" s="50" t="str">
        <x:v>2</x:v>
      </x:c>
      <x:c r="I185" s="50" t="str">
        <x:v>Zengin</x:v>
      </x:c>
      <x:c r="J185" s="51" t="n">
        <x:v>12</x:v>
      </x:c>
      <x:c r="K185" s="51" t="n">
        <x:v>8</x:v>
      </x:c>
      <x:c r="L185" s="51" t="n">
        <x:v>13</x:v>
      </x:c>
      <x:c r="M185" s="51" t="n">
        <x:v>11</x:v>
      </x:c>
      <x:c r="N185" s="51" t="n">
        <x:v>9</x:v>
      </x:c>
      <x:c r="O185" s="51" t="n">
        <x:v>8</x:v>
      </x:c>
      <x:c r="P185" s="51" t="n">
        <x:v>17</x:v>
      </x:c>
      <x:c r="Q185" s="51" t="n">
        <x:v>4</x:v>
      </x:c>
      <x:c r="R185" s="52" t="n">
        <x:f>SUM(J185:Q185)</x:f>
        <x:v>82</x:v>
      </x:c>
      <x:c r="S185" s="50" t="str">
        <x:f>IF(R185&gt;='Rubrik'!$B$17,"Öncelikli video",IF(R185&gt;='Rubrik'!$B$18,"Video kuyruğu",IF(R185&gt;='Rubrik'!$B$19,"Revize et",IF(R185&gt;='Rubrik'!$B$20,"Kartla test","Düşük öncelik"))))</x:f>
        <x:v>Revize et</x:v>
      </x:c>
      <x:c r="T185" s="50" t="str">
        <x:f>IF(AND(R185&gt;=85,P185&gt;=16,M185&gt;=12,L185&gt;=12),"Reel + Carousel",IF(AND(R185&gt;=85,P185&gt;=16,N185&gt;=8),"Soru odaklı Reel",IF(AND(R185&gt;=85,P185&gt;=16),"Reel / Short",IF(M185&gt;=11,"Carousel","Kart testi"))))</x:f>
        <x:v>Carousel</x:v>
      </x:c>
      <x:c r="U185" s="46" t="str">
        <x:v>Duygusal karşıtlık paylaşma ve kişisel anlatma isteğini yükseltiyor; olay örgüsü yeterli.</x:v>
      </x:c>
      <x:c r="V185" s="46" t="str">
        <x:f>IF(Q185&lt;=3,"Kaynak kontrolü şart",IF(Q185=4,"Kaynak kontrolü önerilir","Standart doğrulama"))</x:f>
        <x:v>Kaynak kontrolü önerilir</x:v>
      </x:c>
    </x:row>
    <x:row r="186" ht="24" customHeight="1">
      <x:c r="A186" s="48" t="n">
        <x:f>COUNTIF($R$2:$R$751,"&gt;"&amp;R186)+COUNTIF($R$2:R186,R186)</x:f>
        <x:v>185</x:v>
      </x:c>
      <x:c r="B186" s="48" t="n">
        <x:v>1724</x:v>
      </x:c>
      <x:c r="C186" s="46" t="str">
        <x:v>Darwin Smith Neden Şirketinin Fabrikalarını Sattı?</x:v>
      </x:c>
      <x:c r="D186" s="34" t="str">
        <x:v>Verimlilik</x:v>
      </x:c>
      <x:c r="E186" s="34" t="str">
        <x:v>İş Dünyası</x:v>
      </x:c>
      <x:c r="F186" s="34" t="str">
        <x:v>Good to Great</x:v>
      </x:c>
      <x:c r="G186" s="34" t="str">
        <x:v>Jim Collins</x:v>
      </x:c>
      <x:c r="H186" s="50" t="str">
        <x:v>2</x:v>
      </x:c>
      <x:c r="I186" s="50" t="str">
        <x:v>Zengin</x:v>
      </x:c>
      <x:c r="J186" s="51" t="n">
        <x:v>12</x:v>
      </x:c>
      <x:c r="K186" s="51" t="n">
        <x:v>8</x:v>
      </x:c>
      <x:c r="L186" s="51" t="n">
        <x:v>13</x:v>
      </x:c>
      <x:c r="M186" s="51" t="n">
        <x:v>11</x:v>
      </x:c>
      <x:c r="N186" s="51" t="n">
        <x:v>9</x:v>
      </x:c>
      <x:c r="O186" s="51" t="n">
        <x:v>8</x:v>
      </x:c>
      <x:c r="P186" s="51" t="n">
        <x:v>17</x:v>
      </x:c>
      <x:c r="Q186" s="51" t="n">
        <x:v>4</x:v>
      </x:c>
      <x:c r="R186" s="52" t="n">
        <x:f>SUM(J186:Q186)</x:f>
        <x:v>82</x:v>
      </x:c>
      <x:c r="S186" s="50" t="str">
        <x:f>IF(R186&gt;='Rubrik'!$B$17,"Öncelikli video",IF(R186&gt;='Rubrik'!$B$18,"Video kuyruğu",IF(R186&gt;='Rubrik'!$B$19,"Revize et",IF(R186&gt;='Rubrik'!$B$20,"Kartla test","Düşük öncelik"))))</x:f>
        <x:v>Revize et</x:v>
      </x:c>
      <x:c r="T186" s="50" t="str">
        <x:f>IF(AND(R186&gt;=85,P186&gt;=16,M186&gt;=12,L186&gt;=12),"Reel + Carousel",IF(AND(R186&gt;=85,P186&gt;=16,N186&gt;=8),"Soru odaklı Reel",IF(AND(R186&gt;=85,P186&gt;=16),"Reel / Short",IF(M186&gt;=11,"Carousel","Kart testi"))))</x:f>
        <x:v>Carousel</x:v>
      </x:c>
      <x:c r="U186" s="46" t="str">
        <x:v>Duygusal karşıtlık paylaşma ve kişisel anlatma isteğini yükseltiyor; olay örgüsü yeterli.</x:v>
      </x:c>
      <x:c r="V186" s="46" t="str">
        <x:f>IF(Q186&lt;=3,"Kaynak kontrolü şart",IF(Q186=4,"Kaynak kontrolü önerilir","Standart doğrulama"))</x:f>
        <x:v>Kaynak kontrolü önerilir</x:v>
      </x:c>
    </x:row>
    <x:row r="187" ht="24" customHeight="1">
      <x:c r="A187" s="48" t="n">
        <x:f>COUNTIF($R$2:$R$751,"&gt;"&amp;R187)+COUNTIF($R$2:R187,R187)</x:f>
        <x:v>186</x:v>
      </x:c>
      <x:c r="B187" s="48" t="n">
        <x:v>1728</x:v>
      </x:c>
      <x:c r="C187" s="46" t="str">
        <x:v>David Goggins Aynadaki Adamla Neden Konuştu?</x:v>
      </x:c>
      <x:c r="D187" s="34" t="str">
        <x:v>Büyüme</x:v>
      </x:c>
      <x:c r="E187" s="34" t="str">
        <x:v>Motivasyon</x:v>
      </x:c>
      <x:c r="F187" s="34" t="str">
        <x:v>Can't Hurt Me</x:v>
      </x:c>
      <x:c r="G187" s="34" t="str">
        <x:v>David Goggins</x:v>
      </x:c>
      <x:c r="H187" s="50" t="str">
        <x:v>2</x:v>
      </x:c>
      <x:c r="I187" s="50" t="str">
        <x:v>Zengin</x:v>
      </x:c>
      <x:c r="J187" s="51" t="n">
        <x:v>13</x:v>
      </x:c>
      <x:c r="K187" s="51" t="n">
        <x:v>7</x:v>
      </x:c>
      <x:c r="L187" s="51" t="n">
        <x:v>13</x:v>
      </x:c>
      <x:c r="M187" s="51" t="n">
        <x:v>10</x:v>
      </x:c>
      <x:c r="N187" s="51" t="n">
        <x:v>9</x:v>
      </x:c>
      <x:c r="O187" s="51" t="n">
        <x:v>8</x:v>
      </x:c>
      <x:c r="P187" s="51" t="n">
        <x:v>17</x:v>
      </x:c>
      <x:c r="Q187" s="51" t="n">
        <x:v>5</x:v>
      </x:c>
      <x:c r="R187" s="52" t="n">
        <x:f>SUM(J187:Q187)</x:f>
        <x:v>82</x:v>
      </x:c>
      <x:c r="S187" s="50" t="str">
        <x:f>IF(R187&gt;='Rubrik'!$B$17,"Öncelikli video",IF(R187&gt;='Rubrik'!$B$18,"Video kuyruğu",IF(R187&gt;='Rubrik'!$B$19,"Revize et",IF(R187&gt;='Rubrik'!$B$20,"Kartla test","Düşük öncelik"))))</x:f>
        <x:v>Revize et</x:v>
      </x:c>
      <x:c r="T187" s="50" t="str">
        <x:f>IF(AND(R187&gt;=85,P187&gt;=16,M187&gt;=12,L187&gt;=12),"Reel + Carousel",IF(AND(R187&gt;=85,P187&gt;=16,N187&gt;=8),"Soru odaklı Reel",IF(AND(R187&gt;=85,P187&gt;=16),"Reel / Short",IF(M187&gt;=11,"Carousel","Kart testi"))))</x:f>
        <x:v>Kart testi</x:v>
      </x:c>
      <x:c r="U187" s="46" t="str">
        <x:v>Somut sahne ve sayısal ayrıntı güçlü bir video açılışı sağlıyor; olay örgüsü yeterli.</x:v>
      </x:c>
      <x:c r="V187" s="46" t="str">
        <x:f>IF(Q187&lt;=3,"Kaynak kontrolü şart",IF(Q187=4,"Kaynak kontrolü önerilir","Standart doğrulama"))</x:f>
        <x:v>Standart doğrulama</x:v>
      </x:c>
    </x:row>
    <x:row r="188" ht="24" customHeight="1">
      <x:c r="A188" s="48" t="n">
        <x:f>COUNTIF($R$2:$R$751,"&gt;"&amp;R188)+COUNTIF($R$2:R188,R188)</x:f>
        <x:v>187</x:v>
      </x:c>
      <x:c r="B188" s="48" t="n">
        <x:v>1739</x:v>
      </x:c>
      <x:c r="C188" s="46" t="str">
        <x:v>Seth Godin Neden Mor Bir İnek Aradı?</x:v>
      </x:c>
      <x:c r="D188" s="34" t="str">
        <x:v>Finans</x:v>
      </x:c>
      <x:c r="E188" s="34" t="str">
        <x:v>Pazarlama</x:v>
      </x:c>
      <x:c r="F188" s="34" t="str">
        <x:v>Purple Cow</x:v>
      </x:c>
      <x:c r="G188" s="34" t="str">
        <x:v>Seth Godin</x:v>
      </x:c>
      <x:c r="H188" s="50" t="str">
        <x:v>2</x:v>
      </x:c>
      <x:c r="I188" s="50" t="str">
        <x:v>Zengin</x:v>
      </x:c>
      <x:c r="J188" s="51" t="n">
        <x:v>12</x:v>
      </x:c>
      <x:c r="K188" s="51" t="n">
        <x:v>9</x:v>
      </x:c>
      <x:c r="L188" s="51" t="n">
        <x:v>13</x:v>
      </x:c>
      <x:c r="M188" s="51" t="n">
        <x:v>11</x:v>
      </x:c>
      <x:c r="N188" s="51" t="n">
        <x:v>8</x:v>
      </x:c>
      <x:c r="O188" s="51" t="n">
        <x:v>8</x:v>
      </x:c>
      <x:c r="P188" s="51" t="n">
        <x:v>17</x:v>
      </x:c>
      <x:c r="Q188" s="51" t="n">
        <x:v>4</x:v>
      </x:c>
      <x:c r="R188" s="52" t="n">
        <x:f>SUM(J188:Q188)</x:f>
        <x:v>82</x:v>
      </x:c>
      <x:c r="S188" s="50" t="str">
        <x:f>IF(R188&gt;='Rubrik'!$B$17,"Öncelikli video",IF(R188&gt;='Rubrik'!$B$18,"Video kuyruğu",IF(R188&gt;='Rubrik'!$B$19,"Revize et",IF(R188&gt;='Rubrik'!$B$20,"Kartla test","Düşük öncelik"))))</x:f>
        <x:v>Revize et</x:v>
      </x:c>
      <x:c r="T188" s="50" t="str">
        <x:f>IF(AND(R188&gt;=85,P188&gt;=16,M188&gt;=12,L188&gt;=12),"Reel + Carousel",IF(AND(R188&gt;=85,P188&gt;=16,N188&gt;=8),"Soru odaklı Reel",IF(AND(R188&gt;=85,P188&gt;=16),"Reel / Short",IF(M188&gt;=11,"Carousel","Kart testi"))))</x:f>
        <x:v>Carousel</x:v>
      </x:c>
      <x:c r="U188" s="46" t="str">
        <x:v>Duygusal karşıtlık paylaşma ve kişisel anlatma isteğini yükseltiyor; olay örgüsü yeterli.</x:v>
      </x:c>
      <x:c r="V188" s="46" t="str">
        <x:f>IF(Q188&lt;=3,"Kaynak kontrolü şart",IF(Q188=4,"Kaynak kontrolü önerilir","Standart doğrulama"))</x:f>
        <x:v>Kaynak kontrolü önerilir</x:v>
      </x:c>
    </x:row>
    <x:row r="189" ht="24" customHeight="1">
      <x:c r="A189" s="48" t="n">
        <x:f>COUNTIF($R$2:$R$751,"&gt;"&amp;R189)+COUNTIF($R$2:R189,R189)</x:f>
        <x:v>188</x:v>
      </x:c>
      <x:c r="B189" s="48" t="n">
        <x:v>1746</x:v>
      </x:c>
      <x:c r="C189" s="46" t="str">
        <x:v>Roma'yı Büyüten Sıra Dışı Karar</x:v>
      </x:c>
      <x:c r="D189" s="34" t="str">
        <x:v>Tarih</x:v>
      </x:c>
      <x:c r="E189" s="34" t="str">
        <x:v>Tarih</x:v>
      </x:c>
      <x:c r="F189" s="34" t="str">
        <x:v>SPQR</x:v>
      </x:c>
      <x:c r="G189" s="34" t="str">
        <x:v>Mary Beard</x:v>
      </x:c>
      <x:c r="H189" s="50" t="str">
        <x:v>2</x:v>
      </x:c>
      <x:c r="I189" s="50" t="str">
        <x:v>Zengin</x:v>
      </x:c>
      <x:c r="J189" s="51" t="n">
        <x:v>13</x:v>
      </x:c>
      <x:c r="K189" s="51" t="n">
        <x:v>8</x:v>
      </x:c>
      <x:c r="L189" s="51" t="n">
        <x:v>13</x:v>
      </x:c>
      <x:c r="M189" s="51" t="n">
        <x:v>10</x:v>
      </x:c>
      <x:c r="N189" s="51" t="n">
        <x:v>9</x:v>
      </x:c>
      <x:c r="O189" s="51" t="n">
        <x:v>9</x:v>
      </x:c>
      <x:c r="P189" s="51" t="n">
        <x:v>17</x:v>
      </x:c>
      <x:c r="Q189" s="51" t="n">
        <x:v>3</x:v>
      </x:c>
      <x:c r="R189" s="52" t="n">
        <x:f>SUM(J189:Q189)</x:f>
        <x:v>82</x:v>
      </x:c>
      <x:c r="S189" s="50" t="str">
        <x:f>IF(R189&gt;='Rubrik'!$B$17,"Öncelikli video",IF(R189&gt;='Rubrik'!$B$18,"Video kuyruğu",IF(R189&gt;='Rubrik'!$B$19,"Revize et",IF(R189&gt;='Rubrik'!$B$20,"Kartla test","Düşük öncelik"))))</x:f>
        <x:v>Revize et</x:v>
      </x:c>
      <x:c r="T189" s="50" t="str">
        <x:f>IF(AND(R189&gt;=85,P189&gt;=16,M189&gt;=12,L189&gt;=12),"Reel + Carousel",IF(AND(R189&gt;=85,P189&gt;=16,N189&gt;=8),"Soru odaklı Reel",IF(AND(R189&gt;=85,P189&gt;=16),"Reel / Short",IF(M189&gt;=11,"Carousel","Kart testi"))))</x:f>
        <x:v>Kart testi</x:v>
      </x:c>
      <x:c r="U189" s="46" t="str">
        <x:v>Somut sahne ve sayısal ayrıntı güçlü bir video açılışı sağlıyor; görselleştirme yeterli.</x:v>
      </x:c>
      <x:c r="V189" s="46" t="str">
        <x:f>IF(Q189&lt;=3,"Kaynak kontrolü şart",IF(Q189=4,"Kaynak kontrolü önerilir","Standart doğrulama"))</x:f>
        <x:v>Kaynak kontrolü şart</x:v>
      </x:c>
    </x:row>
    <x:row r="190" ht="24" customHeight="1">
      <x:c r="A190" s="48" t="n">
        <x:f>COUNTIF($R$2:$R$751,"&gt;"&amp;R190)+COUNTIF($R$2:R190,R190)</x:f>
        <x:v>189</x:v>
      </x:c>
      <x:c r="B190" s="48" t="n">
        <x:v>1768</x:v>
      </x:c>
      <x:c r="C190" s="46" t="str">
        <x:v>Oyun Bahçesinden Ekrana Geçiş</x:v>
      </x:c>
      <x:c r="D190" s="34" t="str">
        <x:v>Finans</x:v>
      </x:c>
      <x:c r="E190" s="34" t="str">
        <x:v>İş &amp; Girişim</x:v>
      </x:c>
      <x:c r="F190" s="34" t="str">
        <x:v>The Anxious Generation</x:v>
      </x:c>
      <x:c r="G190" s="34" t="str">
        <x:v>Jonathan Haidt</x:v>
      </x:c>
      <x:c r="H190" s="50" t="str">
        <x:v>2</x:v>
      </x:c>
      <x:c r="I190" s="50" t="str">
        <x:v>Zengin</x:v>
      </x:c>
      <x:c r="J190" s="51" t="n">
        <x:v>13</x:v>
      </x:c>
      <x:c r="K190" s="51" t="n">
        <x:v>7</x:v>
      </x:c>
      <x:c r="L190" s="51" t="n">
        <x:v>13</x:v>
      </x:c>
      <x:c r="M190" s="51" t="n">
        <x:v>11</x:v>
      </x:c>
      <x:c r="N190" s="51" t="n">
        <x:v>9</x:v>
      </x:c>
      <x:c r="O190" s="51" t="n">
        <x:v>7</x:v>
      </x:c>
      <x:c r="P190" s="51" t="n">
        <x:v>17</x:v>
      </x:c>
      <x:c r="Q190" s="51" t="n">
        <x:v>5</x:v>
      </x:c>
      <x:c r="R190" s="52" t="n">
        <x:f>SUM(J190:Q190)</x:f>
        <x:v>82</x:v>
      </x:c>
      <x:c r="S190" s="50" t="str">
        <x:f>IF(R190&gt;='Rubrik'!$B$17,"Öncelikli video",IF(R190&gt;='Rubrik'!$B$18,"Video kuyruğu",IF(R190&gt;='Rubrik'!$B$19,"Revize et",IF(R190&gt;='Rubrik'!$B$20,"Kartla test","Düşük öncelik"))))</x:f>
        <x:v>Revize et</x:v>
      </x:c>
      <x:c r="T190" s="50" t="str">
        <x:f>IF(AND(R190&gt;=85,P190&gt;=16,M190&gt;=12,L190&gt;=12),"Reel + Carousel",IF(AND(R190&gt;=85,P190&gt;=16,N190&gt;=8),"Soru odaklı Reel",IF(AND(R190&gt;=85,P190&gt;=16),"Reel / Short",IF(M190&gt;=11,"Carousel","Kart testi"))))</x:f>
        <x:v>Carousel</x:v>
      </x:c>
      <x:c r="U190" s="46" t="str">
        <x:v>Somut sahne ve sayısal ayrıntı güçlü bir video açılışı sağlıyor; olay örgüsü geliştirilmeli.</x:v>
      </x:c>
      <x:c r="V190" s="46" t="str">
        <x:f>IF(Q190&lt;=3,"Kaynak kontrolü şart",IF(Q190=4,"Kaynak kontrolü önerilir","Standart doğrulama"))</x:f>
        <x:v>Standart doğrulama</x:v>
      </x:c>
    </x:row>
    <x:row r="191" ht="24" customHeight="1">
      <x:c r="A191" s="48" t="n">
        <x:f>COUNTIF($R$2:$R$751,"&gt;"&amp;R191)+COUNTIF($R$2:R191,R191)</x:f>
        <x:v>190</x:v>
      </x:c>
      <x:c r="B191" s="48" t="n">
        <x:v>1253</x:v>
      </x:c>
      <x:c r="C191" s="46" t="str">
        <x:v>Hafıza şampiyonlarının tekniği</x:v>
      </x:c>
      <x:c r="D191" s="34" t="str">
        <x:v>Felsefe</x:v>
      </x:c>
      <x:c r="E191" s="34" t="str">
        <x:v>Öğrenme</x:v>
      </x:c>
      <x:c r="F191" s="34" t="str">
        <x:v>Zihin Haritası</x:v>
      </x:c>
      <x:c r="G191" s="34" t="str">
        <x:v>Tony Buzan</x:v>
      </x:c>
      <x:c r="H191" s="50" t="str">
        <x:v>1</x:v>
      </x:c>
      <x:c r="I191" s="50" t="str">
        <x:v>Temel</x:v>
      </x:c>
      <x:c r="J191" s="51" t="n">
        <x:v>13</x:v>
      </x:c>
      <x:c r="K191" s="51" t="n">
        <x:v>7</x:v>
      </x:c>
      <x:c r="L191" s="51" t="n">
        <x:v>12</x:v>
      </x:c>
      <x:c r="M191" s="51" t="n">
        <x:v>13</x:v>
      </x:c>
      <x:c r="N191" s="51" t="n">
        <x:v>8</x:v>
      </x:c>
      <x:c r="O191" s="51" t="n">
        <x:v>8</x:v>
      </x:c>
      <x:c r="P191" s="51" t="n">
        <x:v>17</x:v>
      </x:c>
      <x:c r="Q191" s="51" t="n">
        <x:v>4</x:v>
      </x:c>
      <x:c r="R191" s="52" t="n">
        <x:f>SUM(J191:Q191)</x:f>
        <x:v>82</x:v>
      </x:c>
      <x:c r="S191" s="50" t="str">
        <x:f>IF(R191&gt;='Rubrik'!$B$17,"Öncelikli video",IF(R191&gt;='Rubrik'!$B$18,"Video kuyruğu",IF(R191&gt;='Rubrik'!$B$19,"Revize et",IF(R191&gt;='Rubrik'!$B$20,"Kartla test","Düşük öncelik"))))</x:f>
        <x:v>Revize et</x:v>
      </x:c>
      <x:c r="T191" s="50" t="str">
        <x:f>IF(AND(R191&gt;=85,P191&gt;=16,M191&gt;=12,L191&gt;=12),"Reel + Carousel",IF(AND(R191&gt;=85,P191&gt;=16,N191&gt;=8),"Soru odaklı Reel",IF(AND(R191&gt;=85,P191&gt;=16),"Reel / Short",IF(M191&gt;=11,"Carousel","Kart testi"))))</x:f>
        <x:v>Carousel</x:v>
      </x:c>
      <x:c r="U191" s="46" t="str">
        <x:v>Hafıza şampiyonları ve saray tekniği somut, görselleştirilebilir ve izleyicinin hemen deneyebileceği kadar pratik.</x:v>
      </x:c>
      <x:c r="V191" s="46" t="str">
        <x:f>IF(Q191&lt;=3,"Kaynak kontrolü şart",IF(Q191=4,"Kaynak kontrolü önerilir","Standart doğrulama"))</x:f>
        <x:v>Kaynak kontrolü önerilir</x:v>
      </x:c>
    </x:row>
    <x:row r="192" ht="24" customHeight="1">
      <x:c r="A192" s="48" t="n">
        <x:f>COUNTIF($R$2:$R$751,"&gt;"&amp;R192)+COUNTIF($R$2:R192,R192)</x:f>
        <x:v>191</x:v>
      </x:c>
      <x:c r="B192" s="48" t="n">
        <x:v>1427</x:v>
      </x:c>
      <x:c r="C192" s="46" t="str">
        <x:v>Kasıtlı pratik ile rutin pratik arasındaki derin uçurum</x:v>
      </x:c>
      <x:c r="D192" s="34" t="str">
        <x:v>Liderlik</x:v>
      </x:c>
      <x:c r="E192" s="34" t="str">
        <x:v>Başarı</x:v>
      </x:c>
      <x:c r="F192" s="34" t="str">
        <x:v>Yetenek Yanılgısı</x:v>
      </x:c>
      <x:c r="G192" s="34" t="str">
        <x:v>Geoff Colvin</x:v>
      </x:c>
      <x:c r="H192" s="50" t="str">
        <x:v>1</x:v>
      </x:c>
      <x:c r="I192" s="50" t="str">
        <x:v>Temel</x:v>
      </x:c>
      <x:c r="J192" s="51" t="n">
        <x:v>13</x:v>
      </x:c>
      <x:c r="K192" s="51" t="n">
        <x:v>7</x:v>
      </x:c>
      <x:c r="L192" s="51" t="n">
        <x:v>12</x:v>
      </x:c>
      <x:c r="M192" s="51" t="n">
        <x:v>13</x:v>
      </x:c>
      <x:c r="N192" s="51" t="n">
        <x:v>9</x:v>
      </x:c>
      <x:c r="O192" s="51" t="n">
        <x:v>8</x:v>
      </x:c>
      <x:c r="P192" s="51" t="n">
        <x:v>17</x:v>
      </x:c>
      <x:c r="Q192" s="51" t="n">
        <x:v>3</x:v>
      </x:c>
      <x:c r="R192" s="52" t="n">
        <x:f>SUM(J192:Q192)</x:f>
        <x:v>82</x:v>
      </x:c>
      <x:c r="S192" s="50" t="str">
        <x:f>IF(R192&gt;='Rubrik'!$B$17,"Öncelikli video",IF(R192&gt;='Rubrik'!$B$18,"Video kuyruğu",IF(R192&gt;='Rubrik'!$B$19,"Revize et",IF(R192&gt;='Rubrik'!$B$20,"Kartla test","Düşük öncelik"))))</x:f>
        <x:v>Revize et</x:v>
      </x:c>
      <x:c r="T192" s="50" t="str">
        <x:f>IF(AND(R192&gt;=85,P192&gt;=16,M192&gt;=12,L192&gt;=12),"Reel + Carousel",IF(AND(R192&gt;=85,P192&gt;=16,N192&gt;=8),"Soru odaklı Reel",IF(AND(R192&gt;=85,P192&gt;=16),"Reel / Short",IF(M192&gt;=11,"Carousel","Kart testi"))))</x:f>
        <x:v>Carousel</x:v>
      </x:c>
      <x:c r="U192" s="46" t="str">
        <x:v>Yirmi yıllık doktorun gençten geride kalması güçlü ters köşe; kasıtlı pratik ayrımı hemen kullanılabilir.</x:v>
      </x:c>
      <x:c r="V192" s="46" t="str">
        <x:f>IF(Q192&lt;=3,"Kaynak kontrolü şart",IF(Q192=4,"Kaynak kontrolü önerilir","Standart doğrulama"))</x:f>
        <x:v>Kaynak kontrolü şart</x:v>
      </x:c>
    </x:row>
    <x:row r="193" ht="24" customHeight="1">
      <x:c r="A193" s="48" t="n">
        <x:f>COUNTIF($R$2:$R$751,"&gt;"&amp;R193)+COUNTIF($R$2:R193,R193)</x:f>
        <x:v>192</x:v>
      </x:c>
      <x:c r="B193" s="48" t="n">
        <x:v>1247</x:v>
      </x:c>
      <x:c r="C193" s="46" t="str">
        <x:v>Korkunun yolcu olması</x:v>
      </x:c>
      <x:c r="D193" s="34" t="str">
        <x:v>Verimlilik</x:v>
      </x:c>
      <x:c r="E193" s="34" t="str">
        <x:v>Yaratıcılık</x:v>
      </x:c>
      <x:c r="F193" s="34" t="str">
        <x:v>Yaratıcı Olmak</x:v>
      </x:c>
      <x:c r="G193" s="34" t="str">
        <x:v>Elizabeth Gilbert</x:v>
      </x:c>
      <x:c r="H193" s="50" t="str">
        <x:v>1</x:v>
      </x:c>
      <x:c r="I193" s="50" t="str">
        <x:v>Temel</x:v>
      </x:c>
      <x:c r="J193" s="51" t="n">
        <x:v>13</x:v>
      </x:c>
      <x:c r="K193" s="51" t="n">
        <x:v>8</x:v>
      </x:c>
      <x:c r="L193" s="51" t="n">
        <x:v>13</x:v>
      </x:c>
      <x:c r="M193" s="51" t="n">
        <x:v>11</x:v>
      </x:c>
      <x:c r="N193" s="51" t="n">
        <x:v>9</x:v>
      </x:c>
      <x:c r="O193" s="51" t="n">
        <x:v>8</x:v>
      </x:c>
      <x:c r="P193" s="51" t="n">
        <x:v>16</x:v>
      </x:c>
      <x:c r="Q193" s="51" t="n">
        <x:v>4</x:v>
      </x:c>
      <x:c r="R193" s="52" t="n">
        <x:f>SUM(J193:Q193)</x:f>
        <x:v>82</x:v>
      </x:c>
      <x:c r="S193" s="50" t="str">
        <x:f>IF(R193&gt;='Rubrik'!$B$17,"Öncelikli video",IF(R193&gt;='Rubrik'!$B$18,"Video kuyruğu",IF(R193&gt;='Rubrik'!$B$19,"Revize et",IF(R193&gt;='Rubrik'!$B$20,"Kartla test","Düşük öncelik"))))</x:f>
        <x:v>Revize et</x:v>
      </x:c>
      <x:c r="T193" s="50" t="str">
        <x:f>IF(AND(R193&gt;=85,P193&gt;=16,M193&gt;=12,L193&gt;=12),"Reel + Carousel",IF(AND(R193&gt;=85,P193&gt;=16,N193&gt;=8),"Soru odaklı Reel",IF(AND(R193&gt;=85,P193&gt;=16),"Reel / Short",IF(M193&gt;=11,"Carousel","Kart testi"))))</x:f>
        <x:v>Carousel</x:v>
      </x:c>
      <x:c r="U193" s="46" t="str">
        <x:v>Korkuyu arka koltuğa oturtan güçlü metafor hemen anlaşılır, akılda kalır ve paylaşma dürtüsü yaratır.</x:v>
      </x:c>
      <x:c r="V193" s="46" t="str">
        <x:f>IF(Q193&lt;=3,"Kaynak kontrolü şart",IF(Q193=4,"Kaynak kontrolü önerilir","Standart doğrulama"))</x:f>
        <x:v>Kaynak kontrolü önerilir</x:v>
      </x:c>
    </x:row>
    <x:row r="194" ht="24" customHeight="1">
      <x:c r="A194" s="48" t="n">
        <x:f>COUNTIF($R$2:$R$751,"&gt;"&amp;R194)+COUNTIF($R$2:R194,R194)</x:f>
        <x:v>193</x:v>
      </x:c>
      <x:c r="B194" s="48" t="n">
        <x:v>1268</x:v>
      </x:c>
      <x:c r="C194" s="46" t="str">
        <x:v>Uyku yoksunluğu ve tıbbi hatalar</x:v>
      </x:c>
      <x:c r="D194" s="34" t="str">
        <x:v>Sağlık</x:v>
      </x:c>
      <x:c r="E194" s="34" t="str">
        <x:v>Sağlık</x:v>
      </x:c>
      <x:c r="F194" s="34" t="str">
        <x:v>Neden Uyuyoruz</x:v>
      </x:c>
      <x:c r="G194" s="34" t="str">
        <x:v>Matthew Walker</x:v>
      </x:c>
      <x:c r="H194" s="50" t="str">
        <x:v>1</x:v>
      </x:c>
      <x:c r="I194" s="50" t="str">
        <x:v>Temel</x:v>
      </x:c>
      <x:c r="J194" s="51" t="n">
        <x:v>14</x:v>
      </x:c>
      <x:c r="K194" s="51" t="n">
        <x:v>8</x:v>
      </x:c>
      <x:c r="L194" s="51" t="n">
        <x:v>13</x:v>
      </x:c>
      <x:c r="M194" s="51" t="n">
        <x:v>13</x:v>
      </x:c>
      <x:c r="N194" s="51" t="n">
        <x:v>9</x:v>
      </x:c>
      <x:c r="O194" s="51" t="n">
        <x:v>7</x:v>
      </x:c>
      <x:c r="P194" s="51" t="n">
        <x:v>16</x:v>
      </x:c>
      <x:c r="Q194" s="51" t="n">
        <x:v>2</x:v>
      </x:c>
      <x:c r="R194" s="52" t="n">
        <x:f>SUM(J194:Q194)</x:f>
        <x:v>82</x:v>
      </x:c>
      <x:c r="S194" s="50" t="str">
        <x:f>IF(R194&gt;='Rubrik'!$B$17,"Öncelikli video",IF(R194&gt;='Rubrik'!$B$18,"Video kuyruğu",IF(R194&gt;='Rubrik'!$B$19,"Revize et",IF(R194&gt;='Rubrik'!$B$20,"Kartla test","Düşük öncelik"))))</x:f>
        <x:v>Revize et</x:v>
      </x:c>
      <x:c r="T194" s="50" t="str">
        <x:f>IF(AND(R194&gt;=85,P194&gt;=16,M194&gt;=12,L194&gt;=12),"Reel + Carousel",IF(AND(R194&gt;=85,P194&gt;=16,N194&gt;=8),"Soru odaklı Reel",IF(AND(R194&gt;=85,P194&gt;=16),"Reel / Short",IF(M194&gt;=11,"Carousel","Kart testi"))))</x:f>
        <x:v>Carousel</x:v>
      </x:c>
      <x:c r="U194" s="46" t="str">
        <x:v>Sarhoş cerrah karşılaştırması sarsıcı ve çok paylaşılır; sağlık riskleri ile oranlar hassas biçimde kaynaklanmalı.</x:v>
      </x:c>
      <x:c r="V194" s="46" t="str">
        <x:f>IF(Q194&lt;=3,"Kaynak kontrolü şart",IF(Q194=4,"Kaynak kontrolü önerilir","Standart doğrulama"))</x:f>
        <x:v>Kaynak kontrolü şart</x:v>
      </x:c>
    </x:row>
    <x:row r="195" ht="24" customHeight="1">
      <x:c r="A195" s="48" t="n">
        <x:f>COUNTIF($R$2:$R$751,"&gt;"&amp;R195)+COUNTIF($R$2:R195,R195)</x:f>
        <x:v>194</x:v>
      </x:c>
      <x:c r="B195" s="48" t="n">
        <x:v>1357</x:v>
      </x:c>
      <x:c r="C195" s="46" t="str">
        <x:v>Müşteri kim sorusu</x:v>
      </x:c>
      <x:c r="D195" s="34" t="str">
        <x:v>Finans</x:v>
      </x:c>
      <x:c r="E195" s="34" t="str">
        <x:v>Pazarlama</x:v>
      </x:c>
      <x:c r="F195" s="34" t="str">
        <x:v>Unutulmaz Markalar</x:v>
      </x:c>
      <x:c r="G195" s="34" t="str">
        <x:v>Seth Godin</x:v>
      </x:c>
      <x:c r="H195" s="50" t="str">
        <x:v>1</x:v>
      </x:c>
      <x:c r="I195" s="50" t="str">
        <x:v>Temel</x:v>
      </x:c>
      <x:c r="J195" s="51" t="n">
        <x:v>13</x:v>
      </x:c>
      <x:c r="K195" s="51" t="n">
        <x:v>7</x:v>
      </x:c>
      <x:c r="L195" s="51" t="n">
        <x:v>13</x:v>
      </x:c>
      <x:c r="M195" s="51" t="n">
        <x:v>13</x:v>
      </x:c>
      <x:c r="N195" s="51" t="n">
        <x:v>9</x:v>
      </x:c>
      <x:c r="O195" s="51" t="n">
        <x:v>7</x:v>
      </x:c>
      <x:c r="P195" s="51" t="n">
        <x:v>16</x:v>
      </x:c>
      <x:c r="Q195" s="51" t="n">
        <x:v>4</x:v>
      </x:c>
      <x:c r="R195" s="52" t="n">
        <x:f>SUM(J195:Q195)</x:f>
        <x:v>82</x:v>
      </x:c>
      <x:c r="S195" s="50" t="str">
        <x:f>IF(R195&gt;='Rubrik'!$B$17,"Öncelikli video",IF(R195&gt;='Rubrik'!$B$18,"Video kuyruğu",IF(R195&gt;='Rubrik'!$B$19,"Revize et",IF(R195&gt;='Rubrik'!$B$20,"Kartla test","Düşük öncelik"))))</x:f>
        <x:v>Revize et</x:v>
      </x:c>
      <x:c r="T195" s="50" t="str">
        <x:f>IF(AND(R195&gt;=85,P195&gt;=16,M195&gt;=12,L195&gt;=12),"Reel + Carousel",IF(AND(R195&gt;=85,P195&gt;=16,N195&gt;=8),"Soru odaklı Reel",IF(AND(R195&gt;=85,P195&gt;=16),"Reel / Short",IF(M195&gt;=11,"Carousel","Kart testi"))))</x:f>
        <x:v>Carousel</x:v>
      </x:c>
      <x:c r="U195" s="46" t="str">
        <x:v>“Herkes için, kimse için” karşıtlığı keskin; küçük ve tutkulu kitle odağı doğrudan eyleme dönüşüyor.</x:v>
      </x:c>
      <x:c r="V195" s="46" t="str">
        <x:f>IF(Q195&lt;=3,"Kaynak kontrolü şart",IF(Q195=4,"Kaynak kontrolü önerilir","Standart doğrulama"))</x:f>
        <x:v>Kaynak kontrolü önerilir</x:v>
      </x:c>
    </x:row>
    <x:row r="196" ht="24" customHeight="1">
      <x:c r="A196" s="48" t="n">
        <x:f>COUNTIF($R$2:$R$751,"&gt;"&amp;R196)+COUNTIF($R$2:R196,R196)</x:f>
        <x:v>195</x:v>
      </x:c>
      <x:c r="B196" s="48" t="n">
        <x:v>1490</x:v>
      </x:c>
      <x:c r="C196" s="46" t="str">
        <x:v>Uyuşturucu savaşının paradoksu</x:v>
      </x:c>
      <x:c r="D196" s="34" t="str">
        <x:v>Felsefe</x:v>
      </x:c>
      <x:c r="E196" s="34" t="str">
        <x:v>Toplum</x:v>
      </x:c>
      <x:c r="F196" s="34" t="str">
        <x:v>Bağımlılık Çağı</x:v>
      </x:c>
      <x:c r="G196" s="34" t="str">
        <x:v>Johann Hari</x:v>
      </x:c>
      <x:c r="H196" s="50" t="str">
        <x:v>1</x:v>
      </x:c>
      <x:c r="I196" s="50" t="str">
        <x:v>Temel</x:v>
      </x:c>
      <x:c r="J196" s="51" t="n">
        <x:v>13</x:v>
      </x:c>
      <x:c r="K196" s="51" t="n">
        <x:v>8</x:v>
      </x:c>
      <x:c r="L196" s="51" t="n">
        <x:v>13</x:v>
      </x:c>
      <x:c r="M196" s="51" t="n">
        <x:v>13</x:v>
      </x:c>
      <x:c r="N196" s="51" t="n">
        <x:v>9</x:v>
      </x:c>
      <x:c r="O196" s="51" t="n">
        <x:v>7</x:v>
      </x:c>
      <x:c r="P196" s="51" t="n">
        <x:v>16</x:v>
      </x:c>
      <x:c r="Q196" s="51" t="n">
        <x:v>3</x:v>
      </x:c>
      <x:c r="R196" s="52" t="n">
        <x:f>SUM(J196:Q196)</x:f>
        <x:v>82</x:v>
      </x:c>
      <x:c r="S196" s="50" t="str">
        <x:f>IF(R196&gt;='Rubrik'!$B$17,"Öncelikli video",IF(R196&gt;='Rubrik'!$B$18,"Video kuyruğu",IF(R196&gt;='Rubrik'!$B$19,"Revize et",IF(R196&gt;='Rubrik'!$B$20,"Kartla test","Düşük öncelik"))))</x:f>
        <x:v>Revize et</x:v>
      </x:c>
      <x:c r="T196" s="50" t="str">
        <x:f>IF(AND(R196&gt;=85,P196&gt;=16,M196&gt;=12,L196&gt;=12),"Reel + Carousel",IF(AND(R196&gt;=85,P196&gt;=16,N196&gt;=8),"Soru odaklı Reel",IF(AND(R196&gt;=85,P196&gt;=16),"Reel / Short",IF(M196&gt;=11,"Carousel","Kart testi"))))</x:f>
        <x:v>Carousel</x:v>
      </x:c>
      <x:c r="U196" s="46" t="str">
        <x:v>Portekiz'in ceza yerine destek yaklaşımı umutlu bir toplum dönüşümü anlatıyor; sonuç oranları doğrulanmalı.</x:v>
      </x:c>
      <x:c r="V196" s="46" t="str">
        <x:f>IF(Q196&lt;=3,"Kaynak kontrolü şart",IF(Q196=4,"Kaynak kontrolü önerilir","Standart doğrulama"))</x:f>
        <x:v>Kaynak kontrolü şart</x:v>
      </x:c>
    </x:row>
    <x:row r="197" ht="24" customHeight="1">
      <x:c r="A197" s="48" t="n">
        <x:f>COUNTIF($R$2:$R$751,"&gt;"&amp;R197)+COUNTIF($R$2:R197,R197)</x:f>
        <x:v>196</x:v>
      </x:c>
      <x:c r="B197" s="48" t="n">
        <x:v>1513</x:v>
      </x:c>
      <x:c r="C197" s="46" t="str">
        <x:v>Sabit disk sanayisinin dersi</x:v>
      </x:c>
      <x:c r="D197" s="34" t="str">
        <x:v>Verimlilik</x:v>
      </x:c>
      <x:c r="E197" s="34" t="str">
        <x:v>İş Dünyası</x:v>
      </x:c>
      <x:c r="F197" s="34" t="str">
        <x:v>Yıkıcı İnovasyon</x:v>
      </x:c>
      <x:c r="G197" s="34" t="str">
        <x:v>Clayton Christensen</x:v>
      </x:c>
      <x:c r="H197" s="50" t="str">
        <x:v>1</x:v>
      </x:c>
      <x:c r="I197" s="50" t="str">
        <x:v>Temel</x:v>
      </x:c>
      <x:c r="J197" s="51" t="n">
        <x:v>13</x:v>
      </x:c>
      <x:c r="K197" s="51" t="n">
        <x:v>7</x:v>
      </x:c>
      <x:c r="L197" s="51" t="n">
        <x:v>13</x:v>
      </x:c>
      <x:c r="M197" s="51" t="n">
        <x:v>12</x:v>
      </x:c>
      <x:c r="N197" s="51" t="n">
        <x:v>9</x:v>
      </x:c>
      <x:c r="O197" s="51" t="n">
        <x:v>7</x:v>
      </x:c>
      <x:c r="P197" s="51" t="n">
        <x:v>16</x:v>
      </x:c>
      <x:c r="Q197" s="51" t="n">
        <x:v>5</x:v>
      </x:c>
      <x:c r="R197" s="52" t="n">
        <x:f>SUM(J197:Q197)</x:f>
        <x:v>82</x:v>
      </x:c>
      <x:c r="S197" s="50" t="str">
        <x:f>IF(R197&gt;='Rubrik'!$B$17,"Öncelikli video",IF(R197&gt;='Rubrik'!$B$18,"Video kuyruğu",IF(R197&gt;='Rubrik'!$B$19,"Revize et",IF(R197&gt;='Rubrik'!$B$20,"Kartla test","Düşük öncelik"))))</x:f>
        <x:v>Revize et</x:v>
      </x:c>
      <x:c r="T197" s="50" t="str">
        <x:f>IF(AND(R197&gt;=85,P197&gt;=16,M197&gt;=12,L197&gt;=12),"Reel + Carousel",IF(AND(R197&gt;=85,P197&gt;=16,N197&gt;=8),"Soru odaklı Reel",IF(AND(R197&gt;=85,P197&gt;=16),"Reel / Short",IF(M197&gt;=11,"Carousel","Kart testi"))))</x:f>
        <x:v>Carousel</x:v>
      </x:c>
      <x:c r="U197" s="46" t="str">
        <x:v>İyi yöneticinin Disk işini batırması çarpıcı paradoks ve gerçek şirket gerilimiyle güçlü bir iş hikâyesi.</x:v>
      </x:c>
      <x:c r="V197" s="46" t="str">
        <x:f>IF(Q197&lt;=3,"Kaynak kontrolü şart",IF(Q197=4,"Kaynak kontrolü önerilir","Standart doğrulama"))</x:f>
        <x:v>Standart doğrulama</x:v>
      </x:c>
    </x:row>
    <x:row r="198" ht="24" customHeight="1">
      <x:c r="A198" s="48" t="n">
        <x:f>COUNTIF($R$2:$R$751,"&gt;"&amp;R198)+COUNTIF($R$2:R198,R198)</x:f>
        <x:v>197</x:v>
      </x:c>
      <x:c r="B198" s="48" t="n">
        <x:v>1539</x:v>
      </x:c>
      <x:c r="C198" s="46" t="str">
        <x:v>Placebo etkisi ve zihnin performans üzerindeki gücü</x:v>
      </x:c>
      <x:c r="D198" s="34" t="str">
        <x:v>Liderlik</x:v>
      </x:c>
      <x:c r="E198" s="34" t="str">
        <x:v>Başarı</x:v>
      </x:c>
      <x:c r="F198" s="34" t="str">
        <x:v>Sıçramak</x:v>
      </x:c>
      <x:c r="G198" s="34" t="str">
        <x:v>Matthew Syed</x:v>
      </x:c>
      <x:c r="H198" s="50" t="str">
        <x:v>1</x:v>
      </x:c>
      <x:c r="I198" s="50" t="str">
        <x:v>Temel</x:v>
      </x:c>
      <x:c r="J198" s="51" t="n">
        <x:v>13</x:v>
      </x:c>
      <x:c r="K198" s="51" t="n">
        <x:v>8</x:v>
      </x:c>
      <x:c r="L198" s="51" t="n">
        <x:v>13</x:v>
      </x:c>
      <x:c r="M198" s="51" t="n">
        <x:v>13</x:v>
      </x:c>
      <x:c r="N198" s="51" t="n">
        <x:v>9</x:v>
      </x:c>
      <x:c r="O198" s="51" t="n">
        <x:v>7</x:v>
      </x:c>
      <x:c r="P198" s="51" t="n">
        <x:v>16</x:v>
      </x:c>
      <x:c r="Q198" s="51" t="n">
        <x:v>3</x:v>
      </x:c>
      <x:c r="R198" s="52" t="n">
        <x:f>SUM(J198:Q198)</x:f>
        <x:v>82</x:v>
      </x:c>
      <x:c r="S198" s="50" t="str">
        <x:f>IF(R198&gt;='Rubrik'!$B$17,"Öncelikli video",IF(R198&gt;='Rubrik'!$B$18,"Video kuyruğu",IF(R198&gt;='Rubrik'!$B$19,"Revize et",IF(R198&gt;='Rubrik'!$B$20,"Kartla test","Düşük öncelik"))))</x:f>
        <x:v>Revize et</x:v>
      </x:c>
      <x:c r="T198" s="50" t="str">
        <x:f>IF(AND(R198&gt;=85,P198&gt;=16,M198&gt;=12,L198&gt;=12),"Reel + Carousel",IF(AND(R198&gt;=85,P198&gt;=16,N198&gt;=8),"Soru odaklı Reel",IF(AND(R198&gt;=85,P198&gt;=16),"Reel / Short",IF(M198&gt;=11,"Carousel","Kart testi"))))</x:f>
        <x:v>Carousel</x:v>
      </x:c>
      <x:c r="U198" s="46" t="str">
        <x:v>Plasebo dart örneği beklentinin performansı bozmasını çarpıcı anlatır; oran ve deney ayrıntısı doğrulanmalı.</x:v>
      </x:c>
      <x:c r="V198" s="46" t="str">
        <x:f>IF(Q198&lt;=3,"Kaynak kontrolü şart",IF(Q198=4,"Kaynak kontrolü önerilir","Standart doğrulama"))</x:f>
        <x:v>Kaynak kontrolü şart</x:v>
      </x:c>
    </x:row>
    <x:row r="199" ht="24" customHeight="1">
      <x:c r="A199" s="48" t="n">
        <x:f>COUNTIF($R$2:$R$751,"&gt;"&amp;R199)+COUNTIF($R$2:R199,R199)</x:f>
        <x:v>198</x:v>
      </x:c>
      <x:c r="B199" s="48" t="n">
        <x:v>1599</x:v>
      </x:c>
      <x:c r="C199" s="46" t="str">
        <x:v>Lif — mikrobiyomun birincil yakıtı ve modern diyetin en büyük eksikliği</x:v>
      </x:c>
      <x:c r="D199" s="34" t="str">
        <x:v>Sağlık</x:v>
      </x:c>
      <x:c r="E199" s="34" t="str">
        <x:v>Sağlık</x:v>
      </x:c>
      <x:c r="F199" s="34" t="str">
        <x:v>İyi Bağırsak</x:v>
      </x:c>
      <x:c r="G199" s="34" t="str">
        <x:v>Justin Sonnenburg</x:v>
      </x:c>
      <x:c r="H199" s="50" t="str">
        <x:v>1</x:v>
      </x:c>
      <x:c r="I199" s="50" t="str">
        <x:v>Temel</x:v>
      </x:c>
      <x:c r="J199" s="51" t="n">
        <x:v>13</x:v>
      </x:c>
      <x:c r="K199" s="51" t="n">
        <x:v>7</x:v>
      </x:c>
      <x:c r="L199" s="51" t="n">
        <x:v>13</x:v>
      </x:c>
      <x:c r="M199" s="51" t="n">
        <x:v>14</x:v>
      </x:c>
      <x:c r="N199" s="51" t="n">
        <x:v>9</x:v>
      </x:c>
      <x:c r="O199" s="51" t="n">
        <x:v>7</x:v>
      </x:c>
      <x:c r="P199" s="51" t="n">
        <x:v>16</x:v>
      </x:c>
      <x:c r="Q199" s="51" t="n">
        <x:v>3</x:v>
      </x:c>
      <x:c r="R199" s="52" t="n">
        <x:f>SUM(J199:Q199)</x:f>
        <x:v>82</x:v>
      </x:c>
      <x:c r="S199" s="50" t="str">
        <x:f>IF(R199&gt;='Rubrik'!$B$17,"Öncelikli video",IF(R199&gt;='Rubrik'!$B$18,"Video kuyruğu",IF(R199&gt;='Rubrik'!$B$19,"Revize et",IF(R199&gt;='Rubrik'!$B$20,"Kartla test","Düşük öncelik"))))</x:f>
        <x:v>Revize et</x:v>
      </x:c>
      <x:c r="T199" s="50" t="str">
        <x:f>IF(AND(R199&gt;=85,P199&gt;=16,M199&gt;=12,L199&gt;=12),"Reel + Carousel",IF(AND(R199&gt;=85,P199&gt;=16,N199&gt;=8),"Soru odaklı Reel",IF(AND(R199&gt;=85,P199&gt;=16),"Reel / Short",IF(M199&gt;=11,"Carousel","Kart testi"))))</x:f>
        <x:v>Carousel</x:v>
      </x:c>
      <x:c r="U199" s="46" t="str">
        <x:v>Hadza beslenmesi ve lif çeşitliliği renkli kültür sahneleri sunuyor; neden-sonuç dili dikkatle kurulmalı.</x:v>
      </x:c>
      <x:c r="V199" s="46" t="str">
        <x:f>IF(Q199&lt;=3,"Kaynak kontrolü şart",IF(Q199=4,"Kaynak kontrolü önerilir","Standart doğrulama"))</x:f>
        <x:v>Kaynak kontrolü şart</x:v>
      </x:c>
    </x:row>
    <x:row r="200" ht="24" customHeight="1">
      <x:c r="A200" s="48" t="n">
        <x:f>COUNTIF($R$2:$R$751,"&gt;"&amp;R200)+COUNTIF($R$2:R200,R200)</x:f>
        <x:v>199</x:v>
      </x:c>
      <x:c r="B200" s="48" t="n">
        <x:v>1195</x:v>
      </x:c>
      <x:c r="C200" s="46" t="str">
        <x:v>Uyku ve beyin temizliği</x:v>
      </x:c>
      <x:c r="D200" s="34" t="str">
        <x:v>Sağlık</x:v>
      </x:c>
      <x:c r="E200" s="34" t="str">
        <x:v>Sağlık</x:v>
      </x:c>
      <x:c r="F200" s="34" t="str">
        <x:v>Neden Uyuyoruz</x:v>
      </x:c>
      <x:c r="G200" s="34" t="str">
        <x:v>Matthew Walker</x:v>
      </x:c>
      <x:c r="H200" s="50" t="str">
        <x:v>1</x:v>
      </x:c>
      <x:c r="I200" s="50" t="str">
        <x:v>Temel</x:v>
      </x:c>
      <x:c r="J200" s="51" t="n">
        <x:v>15</x:v>
      </x:c>
      <x:c r="K200" s="51" t="n">
        <x:v>8</x:v>
      </x:c>
      <x:c r="L200" s="51" t="n">
        <x:v>12</x:v>
      </x:c>
      <x:c r="M200" s="51" t="n">
        <x:v>14</x:v>
      </x:c>
      <x:c r="N200" s="51" t="n">
        <x:v>8</x:v>
      </x:c>
      <x:c r="O200" s="51" t="n">
        <x:v>7</x:v>
      </x:c>
      <x:c r="P200" s="51" t="n">
        <x:v>16</x:v>
      </x:c>
      <x:c r="Q200" s="51" t="n">
        <x:v>2</x:v>
      </x:c>
      <x:c r="R200" s="52" t="n">
        <x:f>SUM(J200:Q200)</x:f>
        <x:v>82</x:v>
      </x:c>
      <x:c r="S200" s="50" t="str">
        <x:f>IF(R200&gt;='Rubrik'!$B$17,"Öncelikli video",IF(R200&gt;='Rubrik'!$B$18,"Video kuyruğu",IF(R200&gt;='Rubrik'!$B$19,"Revize et",IF(R200&gt;='Rubrik'!$B$20,"Kartla test","Düşük öncelik"))))</x:f>
        <x:v>Revize et</x:v>
      </x:c>
      <x:c r="T200" s="50" t="str">
        <x:f>IF(AND(R200&gt;=85,P200&gt;=16,M200&gt;=12,L200&gt;=12),"Reel + Carousel",IF(AND(R200&gt;=85,P200&gt;=16,N200&gt;=8),"Soru odaklı Reel",IF(AND(R200&gt;=85,P200&gt;=16),"Reel / Short",IF(M200&gt;=11,"Carousel","Kart testi"))))</x:f>
        <x:v>Carousel</x:v>
      </x:c>
      <x:c r="U200" s="46" t="str">
        <x:v>Gece beynin yıkanması çok görsel ve önemli; Alzheimer ile diğer hastalık bağları fazla kesin kuruluyor.</x:v>
      </x:c>
      <x:c r="V200" s="46" t="str">
        <x:f>IF(Q200&lt;=3,"Kaynak kontrolü şart",IF(Q200=4,"Kaynak kontrolü önerilir","Standart doğrulama"))</x:f>
        <x:v>Kaynak kontrolü şart</x:v>
      </x:c>
    </x:row>
    <x:row r="201" ht="24" customHeight="1">
      <x:c r="A201" s="48" t="n">
        <x:f>COUNTIF($R$2:$R$751,"&gt;"&amp;R201)+COUNTIF($R$2:R201,R201)</x:f>
        <x:v>200</x:v>
      </x:c>
      <x:c r="B201" s="48" t="n">
        <x:v>1325</x:v>
      </x:c>
      <x:c r="C201" s="46" t="str">
        <x:v>İçsel eleştirmenin sesi</x:v>
      </x:c>
      <x:c r="D201" s="34" t="str">
        <x:v>Verimlilik</x:v>
      </x:c>
      <x:c r="E201" s="34" t="str">
        <x:v>Yaratıcılık</x:v>
      </x:c>
      <x:c r="F201" s="34" t="str">
        <x:v>Yaratıcı Beyin</x:v>
      </x:c>
      <x:c r="G201" s="34" t="str">
        <x:v>Julia Cameron</x:v>
      </x:c>
      <x:c r="H201" s="50" t="str">
        <x:v>1</x:v>
      </x:c>
      <x:c r="I201" s="50" t="str">
        <x:v>Temel</x:v>
      </x:c>
      <x:c r="J201" s="51" t="n">
        <x:v>13</x:v>
      </x:c>
      <x:c r="K201" s="51" t="n">
        <x:v>8</x:v>
      </x:c>
      <x:c r="L201" s="51" t="n">
        <x:v>12</x:v>
      </x:c>
      <x:c r="M201" s="51" t="n">
        <x:v>11</x:v>
      </x:c>
      <x:c r="N201" s="51" t="n">
        <x:v>10</x:v>
      </x:c>
      <x:c r="O201" s="51" t="n">
        <x:v>8</x:v>
      </x:c>
      <x:c r="P201" s="51" t="n">
        <x:v>16</x:v>
      </x:c>
      <x:c r="Q201" s="51" t="n">
        <x:v>4</x:v>
      </x:c>
      <x:c r="R201" s="52" t="n">
        <x:f>SUM(J201:Q201)</x:f>
        <x:v>82</x:v>
      </x:c>
      <x:c r="S201" s="50" t="str">
        <x:f>IF(R201&gt;='Rubrik'!$B$17,"Öncelikli video",IF(R201&gt;='Rubrik'!$B$18,"Video kuyruğu",IF(R201&gt;='Rubrik'!$B$19,"Revize et",IF(R201&gt;='Rubrik'!$B$20,"Kartla test","Düşük öncelik"))))</x:f>
        <x:v>Revize et</x:v>
      </x:c>
      <x:c r="T201" s="50" t="str">
        <x:f>IF(AND(R201&gt;=85,P201&gt;=16,M201&gt;=12,L201&gt;=12),"Reel + Carousel",IF(AND(R201&gt;=85,P201&gt;=16,N201&gt;=8),"Soru odaklı Reel",IF(AND(R201&gt;=85,P201&gt;=16),"Reel / Short",IF(M201&gt;=11,"Carousel","Kart testi"))))</x:f>
        <x:v>Carousel</x:v>
      </x:c>
      <x:c r="U201" s="46" t="str">
        <x:v>Tuval önünde donan ressam sahnesi çok tanıdık; eleştirmenin kökenini sorması kişisel anlatıyı tetikliyor.</x:v>
      </x:c>
      <x:c r="V201" s="46" t="str">
        <x:f>IF(Q201&lt;=3,"Kaynak kontrolü şart",IF(Q201=4,"Kaynak kontrolü önerilir","Standart doğrulama"))</x:f>
        <x:v>Kaynak kontrolü önerilir</x:v>
      </x:c>
    </x:row>
    <x:row r="202" ht="24" customHeight="1">
      <x:c r="A202" s="48" t="n">
        <x:f>COUNTIF($R$2:$R$751,"&gt;"&amp;R202)+COUNTIF($R$2:R202,R202)</x:f>
        <x:v>201</x:v>
      </x:c>
      <x:c r="B202" s="48" t="n">
        <x:v>1372</x:v>
      </x:c>
      <x:c r="C202" s="46" t="str">
        <x:v>Neşe tetikleyici yöntemi</x:v>
      </x:c>
      <x:c r="D202" s="34" t="str">
        <x:v>Felsefe</x:v>
      </x:c>
      <x:c r="E202" s="34" t="str">
        <x:v>Yaşam</x:v>
      </x:c>
      <x:c r="F202" s="34" t="str">
        <x:v>The Life-Changing Magic of Tidying Up</x:v>
      </x:c>
      <x:c r="G202" s="34" t="str">
        <x:v>Marie Kondo</x:v>
      </x:c>
      <x:c r="H202" s="50" t="str">
        <x:v>1</x:v>
      </x:c>
      <x:c r="I202" s="50" t="str">
        <x:v>Temel</x:v>
      </x:c>
      <x:c r="J202" s="51" t="n">
        <x:v>13</x:v>
      </x:c>
      <x:c r="K202" s="51" t="n">
        <x:v>7</x:v>
      </x:c>
      <x:c r="L202" s="51" t="n">
        <x:v>12</x:v>
      </x:c>
      <x:c r="M202" s="51" t="n">
        <x:v>13</x:v>
      </x:c>
      <x:c r="N202" s="51" t="n">
        <x:v>9</x:v>
      </x:c>
      <x:c r="O202" s="51" t="n">
        <x:v>8</x:v>
      </x:c>
      <x:c r="P202" s="51" t="n">
        <x:v>16</x:v>
      </x:c>
      <x:c r="Q202" s="51" t="n">
        <x:v>4</x:v>
      </x:c>
      <x:c r="R202" s="52" t="n">
        <x:f>SUM(J202:Q202)</x:f>
        <x:v>82</x:v>
      </x:c>
      <x:c r="S202" s="50" t="str">
        <x:f>IF(R202&gt;='Rubrik'!$B$17,"Öncelikli video",IF(R202&gt;='Rubrik'!$B$18,"Video kuyruğu",IF(R202&gt;='Rubrik'!$B$19,"Revize et",IF(R202&gt;='Rubrik'!$B$20,"Kartla test","Düşük öncelik"))))</x:f>
        <x:v>Revize et</x:v>
      </x:c>
      <x:c r="T202" s="50" t="str">
        <x:f>IF(AND(R202&gt;=85,P202&gt;=16,M202&gt;=12,L202&gt;=12),"Reel + Carousel",IF(AND(R202&gt;=85,P202&gt;=16,N202&gt;=8),"Soru odaklı Reel",IF(AND(R202&gt;=85,P202&gt;=16),"Reel / Short",IF(M202&gt;=11,"Carousel","Kart testi"))))</x:f>
        <x:v>Carousel</x:v>
      </x:c>
      <x:c r="U202" s="46" t="str">
        <x:v>Bluz sahnesi batık maliyeti sıcak biçimde görünür kılıyor; teşekkür edip bırakma ritüeli akılda kalıyor.</x:v>
      </x:c>
      <x:c r="V202" s="46" t="str">
        <x:f>IF(Q202&lt;=3,"Kaynak kontrolü şart",IF(Q202=4,"Kaynak kontrolü önerilir","Standart doğrulama"))</x:f>
        <x:v>Kaynak kontrolü önerilir</x:v>
      </x:c>
    </x:row>
    <x:row r="203" ht="24" customHeight="1">
      <x:c r="A203" s="48" t="n">
        <x:f>COUNTIF($R$2:$R$751,"&gt;"&amp;R203)+COUNTIF($R$2:R203,R203)</x:f>
        <x:v>202</x:v>
      </x:c>
      <x:c r="B203" s="48" t="n">
        <x:v>1431</x:v>
      </x:c>
      <x:c r="C203" s="46" t="str">
        <x:v>Hikaye anlatımı ve kendini kurban etmek</x:v>
      </x:c>
      <x:c r="D203" s="34" t="str">
        <x:v>Psikoloji</x:v>
      </x:c>
      <x:c r="E203" s="34" t="str">
        <x:v>Psikoloji</x:v>
      </x:c>
      <x:c r="F203" s="34" t="str">
        <x:v>Terapi</x:v>
      </x:c>
      <x:c r="G203" s="34" t="str">
        <x:v>Lori Gottlieb</x:v>
      </x:c>
      <x:c r="H203" s="50" t="str">
        <x:v>1</x:v>
      </x:c>
      <x:c r="I203" s="50" t="str">
        <x:v>Temel</x:v>
      </x:c>
      <x:c r="J203" s="51" t="n">
        <x:v>13</x:v>
      </x:c>
      <x:c r="K203" s="51" t="n">
        <x:v>8</x:v>
      </x:c>
      <x:c r="L203" s="51" t="n">
        <x:v>12</x:v>
      </x:c>
      <x:c r="M203" s="51" t="n">
        <x:v>12</x:v>
      </x:c>
      <x:c r="N203" s="51" t="n">
        <x:v>10</x:v>
      </x:c>
      <x:c r="O203" s="51" t="n">
        <x:v>8</x:v>
      </x:c>
      <x:c r="P203" s="51" t="n">
        <x:v>16</x:v>
      </x:c>
      <x:c r="Q203" s="51" t="n">
        <x:v>3</x:v>
      </x:c>
      <x:c r="R203" s="52" t="n">
        <x:f>SUM(J203:Q203)</x:f>
        <x:v>82</x:v>
      </x:c>
      <x:c r="S203" s="50" t="str">
        <x:f>IF(R203&gt;='Rubrik'!$B$17,"Öncelikli video",IF(R203&gt;='Rubrik'!$B$18,"Video kuyruğu",IF(R203&gt;='Rubrik'!$B$19,"Revize et",IF(R203&gt;='Rubrik'!$B$20,"Kartla test","Düşük öncelik"))))</x:f>
        <x:v>Revize et</x:v>
      </x:c>
      <x:c r="T203" s="50" t="str">
        <x:f>IF(AND(R203&gt;=85,P203&gt;=16,M203&gt;=12,L203&gt;=12),"Reel + Carousel",IF(AND(R203&gt;=85,P203&gt;=16,N203&gt;=8),"Soru odaklı Reel",IF(AND(R203&gt;=85,P203&gt;=16),"Reel / Short",IF(M203&gt;=11,"Carousel","Kart testi"))))</x:f>
        <x:v>Carousel</x:v>
      </x:c>
      <x:c r="U203" s="46" t="str">
        <x:v>Kendi hikâyesinin hem mahkûmu hem yazarı olma fikri derin; kurbanlık dili hassas bağlamda kullanılmalı.</x:v>
      </x:c>
      <x:c r="V203" s="46" t="str">
        <x:f>IF(Q203&lt;=3,"Kaynak kontrolü şart",IF(Q203=4,"Kaynak kontrolü önerilir","Standart doğrulama"))</x:f>
        <x:v>Kaynak kontrolü şart</x:v>
      </x:c>
    </x:row>
    <x:row r="204" ht="24" customHeight="1">
      <x:c r="A204" s="48" t="n">
        <x:f>COUNTIF($R$2:$R$751,"&gt;"&amp;R204)+COUNTIF($R$2:R204,R204)</x:f>
        <x:v>203</x:v>
      </x:c>
      <x:c r="B204" s="48" t="n">
        <x:v>1527</x:v>
      </x:c>
      <x:c r="C204" s="46" t="str">
        <x:v>İçsel eleştirmen ve radyo istasyonları</x:v>
      </x:c>
      <x:c r="D204" s="34" t="str">
        <x:v>Finans</x:v>
      </x:c>
      <x:c r="E204" s="34" t="str">
        <x:v>Finans</x:v>
      </x:c>
      <x:c r="F204" s="34" t="str">
        <x:v>Parça Parça Yazmak</x:v>
      </x:c>
      <x:c r="G204" s="34" t="str">
        <x:v>Anne Lamott</x:v>
      </x:c>
      <x:c r="H204" s="50" t="str">
        <x:v>1</x:v>
      </x:c>
      <x:c r="I204" s="50" t="str">
        <x:v>Temel</x:v>
      </x:c>
      <x:c r="J204" s="51" t="n">
        <x:v>12</x:v>
      </x:c>
      <x:c r="K204" s="51" t="n">
        <x:v>8</x:v>
      </x:c>
      <x:c r="L204" s="51" t="n">
        <x:v>12</x:v>
      </x:c>
      <x:c r="M204" s="51" t="n">
        <x:v>14</x:v>
      </x:c>
      <x:c r="N204" s="51" t="n">
        <x:v>9</x:v>
      </x:c>
      <x:c r="O204" s="51" t="n">
        <x:v>7</x:v>
      </x:c>
      <x:c r="P204" s="51" t="n">
        <x:v>16</x:v>
      </x:c>
      <x:c r="Q204" s="51" t="n">
        <x:v>4</x:v>
      </x:c>
      <x:c r="R204" s="52" t="n">
        <x:f>SUM(J204:Q204)</x:f>
        <x:v>82</x:v>
      </x:c>
      <x:c r="S204" s="50" t="str">
        <x:f>IF(R204&gt;='Rubrik'!$B$17,"Öncelikli video",IF(R204&gt;='Rubrik'!$B$18,"Video kuyruğu",IF(R204&gt;='Rubrik'!$B$19,"Revize et",IF(R204&gt;='Rubrik'!$B$20,"Kartla test","Düşük öncelik"))))</x:f>
        <x:v>Revize et</x:v>
      </x:c>
      <x:c r="T204" s="50" t="str">
        <x:f>IF(AND(R204&gt;=85,P204&gt;=16,M204&gt;=12,L204&gt;=12),"Reel + Carousel",IF(AND(R204&gt;=85,P204&gt;=16,N204&gt;=8),"Soru odaklı Reel",IF(AND(R204&gt;=85,P204&gt;=16),"Reel / Short",IF(M204&gt;=11,"Carousel","Kart testi"))))</x:f>
        <x:v>Carousel</x:v>
      </x:c>
      <x:c r="U204" s="46" t="str">
        <x:v>İç eleştirmeni radyo kanalına çevirmek eğlenceli, duygusal ve uygulanabilir; sesli anlatı formatına çok uygun.</x:v>
      </x:c>
      <x:c r="V204" s="46" t="str">
        <x:f>IF(Q204&lt;=3,"Kaynak kontrolü şart",IF(Q204=4,"Kaynak kontrolü önerilir","Standart doğrulama"))</x:f>
        <x:v>Kaynak kontrolü önerilir</x:v>
      </x:c>
    </x:row>
    <x:row r="205" ht="24" customHeight="1">
      <x:c r="A205" s="48" t="n">
        <x:f>COUNTIF($R$2:$R$751,"&gt;"&amp;R205)+COUNTIF($R$2:R205,R205)</x:f>
        <x:v>204</x:v>
      </x:c>
      <x:c r="B205" s="48" t="n">
        <x:v>1364</x:v>
      </x:c>
      <x:c r="C205" s="46" t="str">
        <x:v>3P tuzağı — kalıcılık, yaygınlık, kişiselleştirme</x:v>
      </x:c>
      <x:c r="D205" s="34" t="str">
        <x:v>Büyüme</x:v>
      </x:c>
      <x:c r="E205" s="34" t="str">
        <x:v>Dayanıklılık</x:v>
      </x:c>
      <x:c r="F205" s="34" t="str">
        <x:v>Zihinsel Dayanıklılık</x:v>
      </x:c>
      <x:c r="G205" s="34" t="str">
        <x:v>Sheryl Sandberg</x:v>
      </x:c>
      <x:c r="H205" s="50" t="str">
        <x:v>1</x:v>
      </x:c>
      <x:c r="I205" s="50" t="str">
        <x:v>Temel</x:v>
      </x:c>
      <x:c r="J205" s="51" t="n">
        <x:v>12</x:v>
      </x:c>
      <x:c r="K205" s="51" t="n">
        <x:v>8</x:v>
      </x:c>
      <x:c r="L205" s="51" t="n">
        <x:v>11</x:v>
      </x:c>
      <x:c r="M205" s="51" t="n">
        <x:v>13</x:v>
      </x:c>
      <x:c r="N205" s="51" t="n">
        <x:v>10</x:v>
      </x:c>
      <x:c r="O205" s="51" t="n">
        <x:v>8</x:v>
      </x:c>
      <x:c r="P205" s="51" t="n">
        <x:v>16</x:v>
      </x:c>
      <x:c r="Q205" s="51" t="n">
        <x:v>4</x:v>
      </x:c>
      <x:c r="R205" s="52" t="n">
        <x:f>SUM(J205:Q205)</x:f>
        <x:v>82</x:v>
      </x:c>
      <x:c r="S205" s="50" t="str">
        <x:f>IF(R205&gt;='Rubrik'!$B$17,"Öncelikli video",IF(R205&gt;='Rubrik'!$B$18,"Video kuyruğu",IF(R205&gt;='Rubrik'!$B$19,"Revize et",IF(R205&gt;='Rubrik'!$B$20,"Kartla test","Düşük öncelik"))))</x:f>
        <x:v>Revize et</x:v>
      </x:c>
      <x:c r="T205" s="50" t="str">
        <x:f>IF(AND(R205&gt;=85,P205&gt;=16,M205&gt;=12,L205&gt;=12),"Reel + Carousel",IF(AND(R205&gt;=85,P205&gt;=16,N205&gt;=8),"Soru odaklı Reel",IF(AND(R205&gt;=85,P205&gt;=16),"Reel / Short",IF(M205&gt;=11,"Carousel","Kart testi"))))</x:f>
        <x:v>Carousel</x:v>
      </x:c>
      <x:c r="U205" s="46" t="str">
        <x:v>Üç P acı içindeki düşünceyi sade ve kullanılabilir biçimde ayrıştırıyor; kişisel örnek bağı güçlendiriyor.</x:v>
      </x:c>
      <x:c r="V205" s="46" t="str">
        <x:f>IF(Q205&lt;=3,"Kaynak kontrolü şart",IF(Q205=4,"Kaynak kontrolü önerilir","Standart doğrulama"))</x:f>
        <x:v>Kaynak kontrolü önerilir</x:v>
      </x:c>
    </x:row>
    <x:row r="206" ht="24" customHeight="1">
      <x:c r="A206" s="48" t="n">
        <x:f>COUNTIF($R$2:$R$751,"&gt;"&amp;R206)+COUNTIF($R$2:R206,R206)</x:f>
        <x:v>205</x:v>
      </x:c>
      <x:c r="B206" s="48" t="n">
        <x:v>1503</x:v>
      </x:c>
      <x:c r="C206" s="46" t="str">
        <x:v>Şiddetin öngörülebilirliği</x:v>
      </x:c>
      <x:c r="D206" s="34" t="str">
        <x:v>Tarih</x:v>
      </x:c>
      <x:c r="E206" s="34" t="str">
        <x:v>Güvenlik</x:v>
      </x:c>
      <x:c r="F206" s="34" t="str">
        <x:v>Korkudan Öğrenmek</x:v>
      </x:c>
      <x:c r="G206" s="34" t="str">
        <x:v>Gavin de Becker</x:v>
      </x:c>
      <x:c r="H206" s="50" t="str">
        <x:v>1</x:v>
      </x:c>
      <x:c r="I206" s="50" t="str">
        <x:v>Temel</x:v>
      </x:c>
      <x:c r="J206" s="51" t="n">
        <x:v>12</x:v>
      </x:c>
      <x:c r="K206" s="51" t="n">
        <x:v>8</x:v>
      </x:c>
      <x:c r="L206" s="51" t="n">
        <x:v>13</x:v>
      </x:c>
      <x:c r="M206" s="51" t="n">
        <x:v>14</x:v>
      </x:c>
      <x:c r="N206" s="51" t="n">
        <x:v>9</x:v>
      </x:c>
      <x:c r="O206" s="51" t="n">
        <x:v>7</x:v>
      </x:c>
      <x:c r="P206" s="51" t="n">
        <x:v>15</x:v>
      </x:c>
      <x:c r="Q206" s="51" t="n">
        <x:v>4</x:v>
      </x:c>
      <x:c r="R206" s="52" t="n">
        <x:f>SUM(J206:Q206)</x:f>
        <x:v>82</x:v>
      </x:c>
      <x:c r="S206" s="50" t="str">
        <x:f>IF(R206&gt;='Rubrik'!$B$17,"Öncelikli video",IF(R206&gt;='Rubrik'!$B$18,"Video kuyruğu",IF(R206&gt;='Rubrik'!$B$19,"Revize et",IF(R206&gt;='Rubrik'!$B$20,"Kartla test","Düşük öncelik"))))</x:f>
        <x:v>Revize et</x:v>
      </x:c>
      <x:c r="T206" s="50" t="str">
        <x:f>IF(AND(R206&gt;=85,P206&gt;=16,M206&gt;=12,L206&gt;=12),"Reel + Carousel",IF(AND(R206&gt;=85,P206&gt;=16,N206&gt;=8),"Soru odaklı Reel",IF(AND(R206&gt;=85,P206&gt;=16),"Reel / Short",IF(M206&gt;=11,"Carousel","Kart testi"))))</x:f>
        <x:v>Carousel</x:v>
      </x:c>
      <x:c r="U206" s="46" t="str">
        <x:v>Şiddet öncesi sinyalleri okumak yüksek önem ve gerilim taşır; güvenlik dili sorumlu biçimde kurulmalı.</x:v>
      </x:c>
      <x:c r="V206" s="46" t="str">
        <x:f>IF(Q206&lt;=3,"Kaynak kontrolü şart",IF(Q206=4,"Kaynak kontrolü önerilir","Standart doğrulama"))</x:f>
        <x:v>Kaynak kontrolü önerilir</x:v>
      </x:c>
    </x:row>
    <x:row r="207" ht="24" customHeight="1">
      <x:c r="A207" s="48" t="n">
        <x:f>COUNTIF($R$2:$R$751,"&gt;"&amp;R207)+COUNTIF($R$2:R207,R207)</x:f>
        <x:v>206</x:v>
      </x:c>
      <x:c r="B207" s="48" t="n">
        <x:v>1613</x:v>
      </x:c>
      <x:c r="C207" s="46" t="str">
        <x:v>Ekonomik giden rüzgar — aile desteğinin gizli bedeli</x:v>
      </x:c>
      <x:c r="D207" s="34" t="str">
        <x:v>Finans</x:v>
      </x:c>
      <x:c r="E207" s="34" t="str">
        <x:v>Finans</x:v>
      </x:c>
      <x:c r="F207" s="34" t="str">
        <x:v>Komşu Milyoner</x:v>
      </x:c>
      <x:c r="G207" s="34" t="str">
        <x:v>Thomas Stanley</x:v>
      </x:c>
      <x:c r="H207" s="50" t="str">
        <x:v>1</x:v>
      </x:c>
      <x:c r="I207" s="50" t="str">
        <x:v>Temel</x:v>
      </x:c>
      <x:c r="J207" s="51" t="n">
        <x:v>12</x:v>
      </x:c>
      <x:c r="K207" s="51" t="n">
        <x:v>8</x:v>
      </x:c>
      <x:c r="L207" s="51" t="n">
        <x:v>13</x:v>
      </x:c>
      <x:c r="M207" s="51" t="n">
        <x:v>14</x:v>
      </x:c>
      <x:c r="N207" s="51" t="n">
        <x:v>9</x:v>
      </x:c>
      <x:c r="O207" s="51" t="n">
        <x:v>7</x:v>
      </x:c>
      <x:c r="P207" s="51" t="n">
        <x:v>15</x:v>
      </x:c>
      <x:c r="Q207" s="51" t="n">
        <x:v>4</x:v>
      </x:c>
      <x:c r="R207" s="52" t="n">
        <x:f>SUM(J207:Q207)</x:f>
        <x:v>82</x:v>
      </x:c>
      <x:c r="S207" s="50" t="str">
        <x:f>IF(R207&gt;='Rubrik'!$B$17,"Öncelikli video",IF(R207&gt;='Rubrik'!$B$18,"Video kuyruğu",IF(R207&gt;='Rubrik'!$B$19,"Revize et",IF(R207&gt;='Rubrik'!$B$20,"Kartla test","Düşük öncelik"))))</x:f>
        <x:v>Revize et</x:v>
      </x:c>
      <x:c r="T207" s="50" t="str">
        <x:f>IF(AND(R207&gt;=85,P207&gt;=16,M207&gt;=12,L207&gt;=12),"Reel + Carousel",IF(AND(R207&gt;=85,P207&gt;=16,N207&gt;=8),"Soru odaklı Reel",IF(AND(R207&gt;=85,P207&gt;=16),"Reel / Short",IF(M207&gt;=11,"Carousel","Kart testi"))))</x:f>
        <x:v>Carousel</x:v>
      </x:c>
      <x:c r="U207" s="46" t="str">
        <x:v>Aile desteğinin bağımlılığa dönüşmesi sevgi ve sınır arasında duygusal gerilim kurar; çok konuşulur.</x:v>
      </x:c>
      <x:c r="V207" s="46" t="str">
        <x:f>IF(Q207&lt;=3,"Kaynak kontrolü şart",IF(Q207=4,"Kaynak kontrolü önerilir","Standart doğrulama"))</x:f>
        <x:v>Kaynak kontrolü önerilir</x:v>
      </x:c>
    </x:row>
    <x:row r="208" ht="24" customHeight="1">
      <x:c r="A208" s="48" t="n">
        <x:f>COUNTIF($R$2:$R$751,"&gt;"&amp;R208)+COUNTIF($R$2:R208,R208)</x:f>
        <x:v>207</x:v>
      </x:c>
      <x:c r="B208" s="48" t="n">
        <x:v>1510</x:v>
      </x:c>
      <x:c r="C208" s="46" t="str">
        <x:v>Negatif görselleştirme — kaybı hayal etmek</x:v>
      </x:c>
      <x:c r="D208" s="34" t="str">
        <x:v>Felsefe</x:v>
      </x:c>
      <x:c r="E208" s="34" t="str">
        <x:v>Felsefe</x:v>
      </x:c>
      <x:c r="F208" s="34" t="str">
        <x:v>Pratik Stoacılık</x:v>
      </x:c>
      <x:c r="G208" s="34" t="str">
        <x:v>William Irvine</x:v>
      </x:c>
      <x:c r="H208" s="50" t="str">
        <x:v>1</x:v>
      </x:c>
      <x:c r="I208" s="50" t="str">
        <x:v>Temel</x:v>
      </x:c>
      <x:c r="J208" s="51" t="n">
        <x:v>12</x:v>
      </x:c>
      <x:c r="K208" s="51" t="n">
        <x:v>7</x:v>
      </x:c>
      <x:c r="L208" s="51" t="n">
        <x:v>12</x:v>
      </x:c>
      <x:c r="M208" s="51" t="n">
        <x:v>15</x:v>
      </x:c>
      <x:c r="N208" s="51" t="n">
        <x:v>9</x:v>
      </x:c>
      <x:c r="O208" s="51" t="n">
        <x:v>7</x:v>
      </x:c>
      <x:c r="P208" s="51" t="n">
        <x:v>15</x:v>
      </x:c>
      <x:c r="Q208" s="51" t="n">
        <x:v>5</x:v>
      </x:c>
      <x:c r="R208" s="52" t="n">
        <x:f>SUM(J208:Q208)</x:f>
        <x:v>82</x:v>
      </x:c>
      <x:c r="S208" s="50" t="str">
        <x:f>IF(R208&gt;='Rubrik'!$B$17,"Öncelikli video",IF(R208&gt;='Rubrik'!$B$18,"Video kuyruğu",IF(R208&gt;='Rubrik'!$B$19,"Revize et",IF(R208&gt;='Rubrik'!$B$20,"Kartla test","Düşük öncelik"))))</x:f>
        <x:v>Revize et</x:v>
      </x:c>
      <x:c r="T208" s="50" t="str">
        <x:f>IF(AND(R208&gt;=85,P208&gt;=16,M208&gt;=12,L208&gt;=12),"Reel + Carousel",IF(AND(R208&gt;=85,P208&gt;=16,N208&gt;=8),"Soru odaklı Reel",IF(AND(R208&gt;=85,P208&gt;=16),"Reel / Short",IF(M208&gt;=11,"Carousel","Kart testi"))))</x:f>
        <x:v>Carousel</x:v>
      </x:c>
      <x:c r="U208" s="46" t="str">
        <x:v>Negatif görselleştirme sahip olduklarının değerini hissettiriyor; güçlü duygu ve uygulanabilir ritüel birleşiyor.</x:v>
      </x:c>
      <x:c r="V208" s="46" t="str">
        <x:f>IF(Q208&lt;=3,"Kaynak kontrolü şart",IF(Q208=4,"Kaynak kontrolü önerilir","Standart doğrulama"))</x:f>
        <x:v>Standart doğrulama</x:v>
      </x:c>
    </x:row>
    <x:row r="209" ht="24" customHeight="1">
      <x:c r="A209" s="48" t="n">
        <x:f>COUNTIF($R$2:$R$751,"&gt;"&amp;R209)+COUNTIF($R$2:R209,R209)</x:f>
        <x:v>208</x:v>
      </x:c>
      <x:c r="B209" s="48" t="n">
        <x:v>1560</x:v>
      </x:c>
      <x:c r="C209" s="46" t="str">
        <x:v>RAIN pratiği — zor duyguları eritmek için dört adım</x:v>
      </x:c>
      <x:c r="D209" s="34" t="str">
        <x:v>Psikoloji</x:v>
      </x:c>
      <x:c r="E209" s="34" t="str">
        <x:v>Farkındalık</x:v>
      </x:c>
      <x:c r="F209" s="34" t="str">
        <x:v>Radikal Kabul</x:v>
      </x:c>
      <x:c r="G209" s="34" t="str">
        <x:v>Tara Brach</x:v>
      </x:c>
      <x:c r="H209" s="50" t="str">
        <x:v>1</x:v>
      </x:c>
      <x:c r="I209" s="50" t="str">
        <x:v>Temel</x:v>
      </x:c>
      <x:c r="J209" s="51" t="n">
        <x:v>12</x:v>
      </x:c>
      <x:c r="K209" s="51" t="n">
        <x:v>7</x:v>
      </x:c>
      <x:c r="L209" s="51" t="n">
        <x:v>12</x:v>
      </x:c>
      <x:c r="M209" s="51" t="n">
        <x:v>15</x:v>
      </x:c>
      <x:c r="N209" s="51" t="n">
        <x:v>9</x:v>
      </x:c>
      <x:c r="O209" s="51" t="n">
        <x:v>7</x:v>
      </x:c>
      <x:c r="P209" s="51" t="n">
        <x:v>15</x:v>
      </x:c>
      <x:c r="Q209" s="51" t="n">
        <x:v>5</x:v>
      </x:c>
      <x:c r="R209" s="52" t="n">
        <x:f>SUM(J209:Q209)</x:f>
        <x:v>82</x:v>
      </x:c>
      <x:c r="S209" s="50" t="str">
        <x:f>IF(R209&gt;='Rubrik'!$B$17,"Öncelikli video",IF(R209&gt;='Rubrik'!$B$18,"Video kuyruğu",IF(R209&gt;='Rubrik'!$B$19,"Revize et",IF(R209&gt;='Rubrik'!$B$20,"Kartla test","Düşük öncelik"))))</x:f>
        <x:v>Revize et</x:v>
      </x:c>
      <x:c r="T209" s="50" t="str">
        <x:f>IF(AND(R209&gt;=85,P209&gt;=16,M209&gt;=12,L209&gt;=12),"Reel + Carousel",IF(AND(R209&gt;=85,P209&gt;=16,N209&gt;=8),"Soru odaklı Reel",IF(AND(R209&gt;=85,P209&gt;=16),"Reel / Short",IF(M209&gt;=11,"Carousel","Kart testi"))))</x:f>
        <x:v>Carousel</x:v>
      </x:c>
      <x:c r="U209" s="46" t="str">
        <x:v>RAIN'in dört adımı zor duygular için hazır bir rehber; kısa, hatırlanabilir ve sesli notla uygulanabilir.</x:v>
      </x:c>
      <x:c r="V209" s="46" t="str">
        <x:f>IF(Q209&lt;=3,"Kaynak kontrolü şart",IF(Q209=4,"Kaynak kontrolü önerilir","Standart doğrulama"))</x:f>
        <x:v>Standart doğrulama</x:v>
      </x:c>
    </x:row>
    <x:row r="210" ht="24" customHeight="1">
      <x:c r="A210" s="48" t="n">
        <x:f>COUNTIF($R$2:$R$751,"&gt;"&amp;R210)+COUNTIF($R$2:R210,R210)</x:f>
        <x:v>209</x:v>
      </x:c>
      <x:c r="B210" s="48" t="n">
        <x:v>1140</x:v>
      </x:c>
      <x:c r="C210" s="46" t="str">
        <x:v>Savunmasızlığın paradoksu</x:v>
      </x:c>
      <x:c r="D210" s="34" t="str">
        <x:v>Büyüme</x:v>
      </x:c>
      <x:c r="E210" s="34" t="str">
        <x:v>Kişisel Gelişim</x:v>
      </x:c>
      <x:c r="F210" s="34" t="str">
        <x:v>Cesaret Vermek</x:v>
      </x:c>
      <x:c r="G210" s="34" t="str">
        <x:v>Brené Brown</x:v>
      </x:c>
      <x:c r="H210" s="50" t="str">
        <x:v>1</x:v>
      </x:c>
      <x:c r="I210" s="50" t="str">
        <x:v>Temel</x:v>
      </x:c>
      <x:c r="J210" s="51" t="n">
        <x:v>13</x:v>
      </x:c>
      <x:c r="K210" s="51" t="n">
        <x:v>9</x:v>
      </x:c>
      <x:c r="L210" s="51" t="n">
        <x:v>11</x:v>
      </x:c>
      <x:c r="M210" s="51" t="n">
        <x:v>13</x:v>
      </x:c>
      <x:c r="N210" s="51" t="n">
        <x:v>10</x:v>
      </x:c>
      <x:c r="O210" s="51" t="n">
        <x:v>7</x:v>
      </x:c>
      <x:c r="P210" s="51" t="n">
        <x:v>15</x:v>
      </x:c>
      <x:c r="Q210" s="51" t="n">
        <x:v>4</x:v>
      </x:c>
      <x:c r="R210" s="52" t="n">
        <x:f>SUM(J210:Q210)</x:f>
        <x:v>82</x:v>
      </x:c>
      <x:c r="S210" s="50" t="str">
        <x:f>IF(R210&gt;='Rubrik'!$B$17,"Öncelikli video",IF(R210&gt;='Rubrik'!$B$18,"Video kuyruğu",IF(R210&gt;='Rubrik'!$B$19,"Revize et",IF(R210&gt;='Rubrik'!$B$20,"Kartla test","Düşük öncelik"))))</x:f>
        <x:v>Revize et</x:v>
      </x:c>
      <x:c r="T210" s="50" t="str">
        <x:f>IF(AND(R210&gt;=85,P210&gt;=16,M210&gt;=12,L210&gt;=12),"Reel + Carousel",IF(AND(R210&gt;=85,P210&gt;=16,N210&gt;=8),"Soru odaklı Reel",IF(AND(R210&gt;=85,P210&gt;=16),"Reel / Short",IF(M210&gt;=11,"Carousel","Kart testi"))))</x:f>
        <x:v>Carousel</x:v>
      </x:c>
      <x:c r="U210" s="46" t="str">
        <x:v>Zırhın korurken yalnızlaştırması güçlü metafor, yüksek duygusal yakınlık ve kişisel anlatım çağrısı yaratıyor.</x:v>
      </x:c>
      <x:c r="V210" s="46" t="str">
        <x:f>IF(Q210&lt;=3,"Kaynak kontrolü şart",IF(Q210=4,"Kaynak kontrolü önerilir","Standart doğrulama"))</x:f>
        <x:v>Kaynak kontrolü önerilir</x:v>
      </x:c>
    </x:row>
    <x:row r="211" ht="24" customHeight="1">
      <x:c r="A211" s="48" t="n">
        <x:f>COUNTIF($R$2:$R$751,"&gt;"&amp;R211)+COUNTIF($R$2:R211,R211)</x:f>
        <x:v>210</x:v>
      </x:c>
      <x:c r="B211" s="48" t="n">
        <x:v>1146</x:v>
      </x:c>
      <x:c r="C211" s="46" t="str">
        <x:v>Hayır diyememek ve tükenişin bedeli</x:v>
      </x:c>
      <x:c r="D211" s="34" t="str">
        <x:v>Büyüme</x:v>
      </x:c>
      <x:c r="E211" s="34" t="str">
        <x:v>Kişisel Gelişim</x:v>
      </x:c>
      <x:c r="F211" s="34" t="str">
        <x:v>Sınırlar</x:v>
      </x:c>
      <x:c r="G211" s="34" t="str">
        <x:v>Nedra Tawwab</x:v>
      </x:c>
      <x:c r="H211" s="50" t="str">
        <x:v>1</x:v>
      </x:c>
      <x:c r="I211" s="50" t="str">
        <x:v>Temel</x:v>
      </x:c>
      <x:c r="J211" s="51" t="n">
        <x:v>13</x:v>
      </x:c>
      <x:c r="K211" s="51" t="n">
        <x:v>9</x:v>
      </x:c>
      <x:c r="L211" s="51" t="n">
        <x:v>11</x:v>
      </x:c>
      <x:c r="M211" s="51" t="n">
        <x:v>14</x:v>
      </x:c>
      <x:c r="N211" s="51" t="n">
        <x:v>10</x:v>
      </x:c>
      <x:c r="O211" s="51" t="n">
        <x:v>7</x:v>
      </x:c>
      <x:c r="P211" s="51" t="n">
        <x:v>15</x:v>
      </x:c>
      <x:c r="Q211" s="51" t="n">
        <x:v>3</x:v>
      </x:c>
      <x:c r="R211" s="52" t="n">
        <x:f>SUM(J211:Q211)</x:f>
        <x:v>82</x:v>
      </x:c>
      <x:c r="S211" s="50" t="str">
        <x:f>IF(R211&gt;='Rubrik'!$B$17,"Öncelikli video",IF(R211&gt;='Rubrik'!$B$18,"Video kuyruğu",IF(R211&gt;='Rubrik'!$B$19,"Revize et",IF(R211&gt;='Rubrik'!$B$20,"Kartla test","Düşük öncelik"))))</x:f>
        <x:v>Revize et</x:v>
      </x:c>
      <x:c r="T211" s="50" t="str">
        <x:f>IF(AND(R211&gt;=85,P211&gt;=16,M211&gt;=12,L211&gt;=12),"Reel + Carousel",IF(AND(R211&gt;=85,P211&gt;=16,N211&gt;=8),"Soru odaklı Reel",IF(AND(R211&gt;=85,P211&gt;=16),"Reel / Short",IF(M211&gt;=11,"Carousel","Kart testi"))))</x:f>
        <x:v>Carousel</x:v>
      </x:c>
      <x:c r="U211" s="46" t="str">
        <x:v>Seans ortasında ağlayan terapist sınır ihtiyacını insani ve vurucu biçimde somutlaştırıyor.</x:v>
      </x:c>
      <x:c r="V211" s="46" t="str">
        <x:f>IF(Q211&lt;=3,"Kaynak kontrolü şart",IF(Q211=4,"Kaynak kontrolü önerilir","Standart doğrulama"))</x:f>
        <x:v>Kaynak kontrolü şart</x:v>
      </x:c>
    </x:row>
    <x:row r="212" ht="24" customHeight="1">
      <x:c r="A212" s="48" t="n">
        <x:f>COUNTIF($R$2:$R$751,"&gt;"&amp;R212)+COUNTIF($R$2:R212,R212)</x:f>
        <x:v>211</x:v>
      </x:c>
      <x:c r="B212" s="48" t="n">
        <x:v>1188</x:v>
      </x:c>
      <x:c r="C212" s="46" t="str">
        <x:v>Hayır deme korkusu</x:v>
      </x:c>
      <x:c r="D212" s="34" t="str">
        <x:v>Büyüme</x:v>
      </x:c>
      <x:c r="E212" s="34" t="str">
        <x:v>Motivasyon</x:v>
      </x:c>
      <x:c r="F212" s="34" t="str">
        <x:v>Korkusuzluk</x:v>
      </x:c>
      <x:c r="G212" s="34" t="str">
        <x:v>Susan Jeffers</x:v>
      </x:c>
      <x:c r="H212" s="50" t="str">
        <x:v>1</x:v>
      </x:c>
      <x:c r="I212" s="50" t="str">
        <x:v>Temel</x:v>
      </x:c>
      <x:c r="J212" s="51" t="n">
        <x:v>13</x:v>
      </x:c>
      <x:c r="K212" s="51" t="n">
        <x:v>9</x:v>
      </x:c>
      <x:c r="L212" s="51" t="n">
        <x:v>11</x:v>
      </x:c>
      <x:c r="M212" s="51" t="n">
        <x:v>13</x:v>
      </x:c>
      <x:c r="N212" s="51" t="n">
        <x:v>10</x:v>
      </x:c>
      <x:c r="O212" s="51" t="n">
        <x:v>7</x:v>
      </x:c>
      <x:c r="P212" s="51" t="n">
        <x:v>15</x:v>
      </x:c>
      <x:c r="Q212" s="51" t="n">
        <x:v>4</x:v>
      </x:c>
      <x:c r="R212" s="52" t="n">
        <x:f>SUM(J212:Q212)</x:f>
        <x:v>82</x:v>
      </x:c>
      <x:c r="S212" s="50" t="str">
        <x:f>IF(R212&gt;='Rubrik'!$B$17,"Öncelikli video",IF(R212&gt;='Rubrik'!$B$18,"Video kuyruğu",IF(R212&gt;='Rubrik'!$B$19,"Revize et",IF(R212&gt;='Rubrik'!$B$20,"Kartla test","Düşük öncelik"))))</x:f>
        <x:v>Revize et</x:v>
      </x:c>
      <x:c r="T212" s="50" t="str">
        <x:f>IF(AND(R212&gt;=85,P212&gt;=16,M212&gt;=12,L212&gt;=12),"Reel + Carousel",IF(AND(R212&gt;=85,P212&gt;=16,N212&gt;=8),"Soru odaklı Reel",IF(AND(R212&gt;=85,P212&gt;=16),"Reel / Short",IF(M212&gt;=11,"Carousel","Kart testi"))))</x:f>
        <x:v>Carousel</x:v>
      </x:c>
      <x:c r="U212" s="46" t="str">
        <x:v>Hayırın altında sevilmeme korkusunu açmak yüksek yakınlık, kayıt değeri ve sesli paylaşım üretir.</x:v>
      </x:c>
      <x:c r="V212" s="46" t="str">
        <x:f>IF(Q212&lt;=3,"Kaynak kontrolü şart",IF(Q212=4,"Kaynak kontrolü önerilir","Standart doğrulama"))</x:f>
        <x:v>Kaynak kontrolü önerilir</x:v>
      </x:c>
    </x:row>
    <x:row r="213" ht="24" customHeight="1">
      <x:c r="A213" s="48" t="n">
        <x:f>COUNTIF($R$2:$R$751,"&gt;"&amp;R213)+COUNTIF($R$2:R213,R213)</x:f>
        <x:v>212</x:v>
      </x:c>
      <x:c r="B213" s="48" t="n">
        <x:v>1228</x:v>
      </x:c>
      <x:c r="C213" s="46" t="str">
        <x:v>Ambulanstaki uyanış</x:v>
      </x:c>
      <x:c r="D213" s="34" t="str">
        <x:v>Büyüme</x:v>
      </x:c>
      <x:c r="E213" s="34" t="str">
        <x:v>Kişisel Gelişim</x:v>
      </x:c>
      <x:c r="F213" s="34" t="str">
        <x:v>Yüksek Performans</x:v>
      </x:c>
      <x:c r="G213" s="34" t="str">
        <x:v>Brendon Burchard</x:v>
      </x:c>
      <x:c r="H213" s="50" t="str">
        <x:v>1</x:v>
      </x:c>
      <x:c r="I213" s="50" t="str">
        <x:v>Temel</x:v>
      </x:c>
      <x:c r="J213" s="51" t="n">
        <x:v>14</x:v>
      </x:c>
      <x:c r="K213" s="51" t="n">
        <x:v>9</x:v>
      </x:c>
      <x:c r="L213" s="51" t="n">
        <x:v>11</x:v>
      </x:c>
      <x:c r="M213" s="51" t="n">
        <x:v>13</x:v>
      </x:c>
      <x:c r="N213" s="51" t="n">
        <x:v>10</x:v>
      </x:c>
      <x:c r="O213" s="51" t="n">
        <x:v>7</x:v>
      </x:c>
      <x:c r="P213" s="51" t="n">
        <x:v>15</x:v>
      </x:c>
      <x:c r="Q213" s="51" t="n">
        <x:v>3</x:v>
      </x:c>
      <x:c r="R213" s="52" t="n">
        <x:f>SUM(J213:Q213)</x:f>
        <x:v>82</x:v>
      </x:c>
      <x:c r="S213" s="50" t="str">
        <x:f>IF(R213&gt;='Rubrik'!$B$17,"Öncelikli video",IF(R213&gt;='Rubrik'!$B$18,"Video kuyruğu",IF(R213&gt;='Rubrik'!$B$19,"Revize et",IF(R213&gt;='Rubrik'!$B$20,"Kartla test","Düşük öncelik"))))</x:f>
        <x:v>Revize et</x:v>
      </x:c>
      <x:c r="T213" s="50" t="str">
        <x:f>IF(AND(R213&gt;=85,P213&gt;=16,M213&gt;=12,L213&gt;=12),"Reel + Carousel",IF(AND(R213&gt;=85,P213&gt;=16,N213&gt;=8),"Soru odaklı Reel",IF(AND(R213&gt;=85,P213&gt;=16),"Reel / Short",IF(M213&gt;=11,"Carousel","Kart testi"))))</x:f>
        <x:v>Carousel</x:v>
      </x:c>
      <x:c r="U213" s="46" t="str">
        <x:v>Ambulansta sorulan üç hayat sorusu güçlü duygu, yapı ve kişisel sesli cevap potansiyeli taşır.</x:v>
      </x:c>
      <x:c r="V213" s="46" t="str">
        <x:f>IF(Q213&lt;=3,"Kaynak kontrolü şart",IF(Q213=4,"Kaynak kontrolü önerilir","Standart doğrulama"))</x:f>
        <x:v>Kaynak kontrolü şart</x:v>
      </x:c>
    </x:row>
    <x:row r="214" ht="24" customHeight="1">
      <x:c r="A214" s="48" t="n">
        <x:f>COUNTIF($R$2:$R$751,"&gt;"&amp;R214)+COUNTIF($R$2:R214,R214)</x:f>
        <x:v>213</x:v>
      </x:c>
      <x:c r="B214" s="48" t="n">
        <x:v>1771</x:v>
      </x:c>
      <x:c r="C214" s="46" t="str">
        <x:v>Karısını Şapka Sanan Adam</x:v>
      </x:c>
      <x:c r="D214" s="34" t="str">
        <x:v>Finans</x:v>
      </x:c>
      <x:c r="E214" s="34" t="str">
        <x:v>İş &amp; Girişim</x:v>
      </x:c>
      <x:c r="F214" s="34" t="str">
        <x:v>The Man Who Mistook His Wife for a Hat</x:v>
      </x:c>
      <x:c r="G214" s="34" t="str">
        <x:v>Oliver Sacks</x:v>
      </x:c>
      <x:c r="H214" s="50" t="str">
        <x:v>2</x:v>
      </x:c>
      <x:c r="I214" s="50" t="str">
        <x:v>Zengin</x:v>
      </x:c>
      <x:c r="J214" s="51" t="n">
        <x:v>14</x:v>
      </x:c>
      <x:c r="K214" s="51" t="n">
        <x:v>5</x:v>
      </x:c>
      <x:c r="L214" s="51" t="n">
        <x:v>14</x:v>
      </x:c>
      <x:c r="M214" s="51" t="n">
        <x:v>8</x:v>
      </x:c>
      <x:c r="N214" s="51" t="n">
        <x:v>8</x:v>
      </x:c>
      <x:c r="O214" s="51" t="n">
        <x:v>8</x:v>
      </x:c>
      <x:c r="P214" s="51" t="n">
        <x:v>20</x:v>
      </x:c>
      <x:c r="Q214" s="51" t="n">
        <x:v>4</x:v>
      </x:c>
      <x:c r="R214" s="52" t="n">
        <x:f>SUM(J214:Q214)</x:f>
        <x:v>81</x:v>
      </x:c>
      <x:c r="S214" s="50" t="str">
        <x:f>IF(R214&gt;='Rubrik'!$B$17,"Öncelikli video",IF(R214&gt;='Rubrik'!$B$18,"Video kuyruğu",IF(R214&gt;='Rubrik'!$B$19,"Revize et",IF(R214&gt;='Rubrik'!$B$20,"Kartla test","Düşük öncelik"))))</x:f>
        <x:v>Revize et</x:v>
      </x:c>
      <x:c r="T214" s="50" t="str">
        <x:f>IF(AND(R214&gt;=85,P214&gt;=16,M214&gt;=12,L214&gt;=12),"Reel + Carousel",IF(AND(R214&gt;=85,P214&gt;=16,N214&gt;=8),"Soru odaklı Reel",IF(AND(R214&gt;=85,P214&gt;=16),"Reel / Short",IF(M214&gt;=11,"Carousel","Kart testi"))))</x:f>
        <x:v>Kart testi</x:v>
      </x:c>
      <x:c r="U214" s="46" t="str">
        <x:v>Merak sorusu ve karşıtlık ilk saniye etkisini güçlendiriyor; olay örgüsü yeterli.</x:v>
      </x:c>
      <x:c r="V214" s="46" t="str">
        <x:f>IF(Q214&lt;=3,"Kaynak kontrolü şart",IF(Q214=4,"Kaynak kontrolü önerilir","Standart doğrulama"))</x:f>
        <x:v>Kaynak kontrolü önerilir</x:v>
      </x:c>
    </x:row>
    <x:row r="215" ht="24" customHeight="1">
      <x:c r="A215" s="48" t="n">
        <x:f>COUNTIF($R$2:$R$751,"&gt;"&amp;R215)+COUNTIF($R$2:R215,R215)</x:f>
        <x:v>214</x:v>
      </x:c>
      <x:c r="B215" s="48" t="n">
        <x:v>1709</x:v>
      </x:c>
      <x:c r="C215" s="46" t="str">
        <x:v>Servet Neden Genellikle Görünmezdir?</x:v>
      </x:c>
      <x:c r="D215" s="34" t="str">
        <x:v>Finans</x:v>
      </x:c>
      <x:c r="E215" s="34" t="str">
        <x:v>Finans</x:v>
      </x:c>
      <x:c r="F215" s="34" t="str">
        <x:v>The Psychology of Money</x:v>
      </x:c>
      <x:c r="G215" s="34" t="str">
        <x:v>Morgan Housel</x:v>
      </x:c>
      <x:c r="H215" s="50" t="str">
        <x:v>2</x:v>
      </x:c>
      <x:c r="I215" s="50" t="str">
        <x:v>Zengin</x:v>
      </x:c>
      <x:c r="J215" s="51" t="n">
        <x:v>12</x:v>
      </x:c>
      <x:c r="K215" s="51" t="n">
        <x:v>7</x:v>
      </x:c>
      <x:c r="L215" s="51" t="n">
        <x:v>13</x:v>
      </x:c>
      <x:c r="M215" s="51" t="n">
        <x:v>11</x:v>
      </x:c>
      <x:c r="N215" s="51" t="n">
        <x:v>9</x:v>
      </x:c>
      <x:c r="O215" s="51" t="n">
        <x:v>8</x:v>
      </x:c>
      <x:c r="P215" s="51" t="n">
        <x:v>18</x:v>
      </x:c>
      <x:c r="Q215" s="51" t="n">
        <x:v>3</x:v>
      </x:c>
      <x:c r="R215" s="52" t="n">
        <x:f>SUM(J215:Q215)</x:f>
        <x:v>81</x:v>
      </x:c>
      <x:c r="S215" s="50" t="str">
        <x:f>IF(R215&gt;='Rubrik'!$B$17,"Öncelikli video",IF(R215&gt;='Rubrik'!$B$18,"Video kuyruğu",IF(R215&gt;='Rubrik'!$B$19,"Revize et",IF(R215&gt;='Rubrik'!$B$20,"Kartla test","Düşük öncelik"))))</x:f>
        <x:v>Revize et</x:v>
      </x:c>
      <x:c r="T215" s="50" t="str">
        <x:f>IF(AND(R215&gt;=85,P215&gt;=16,M215&gt;=12,L215&gt;=12),"Reel + Carousel",IF(AND(R215&gt;=85,P215&gt;=16,N215&gt;=8),"Soru odaklı Reel",IF(AND(R215&gt;=85,P215&gt;=16),"Reel / Short",IF(M215&gt;=11,"Carousel","Kart testi"))))</x:f>
        <x:v>Carousel</x:v>
      </x:c>
      <x:c r="U215" s="46" t="str">
        <x:v>Duygusal karşıtlık paylaşma ve kişisel anlatma isteğini yükseltiyor; olay örgüsü yeterli.</x:v>
      </x:c>
      <x:c r="V215" s="46" t="str">
        <x:f>IF(Q215&lt;=3,"Kaynak kontrolü şart",IF(Q215=4,"Kaynak kontrolü önerilir","Standart doğrulama"))</x:f>
        <x:v>Kaynak kontrolü şart</x:v>
      </x:c>
    </x:row>
    <x:row r="216" ht="24" customHeight="1">
      <x:c r="A216" s="48" t="n">
        <x:f>COUNTIF($R$2:$R$751,"&gt;"&amp;R216)+COUNTIF($R$2:R216,R216)</x:f>
        <x:v>215</x:v>
      </x:c>
      <x:c r="B216" s="48" t="n">
        <x:v>1755</x:v>
      </x:c>
      <x:c r="C216" s="46" t="str">
        <x:v>Amazon'un Yuttuğu Kaşif</x:v>
      </x:c>
      <x:c r="D216" s="34" t="str">
        <x:v>Tarih</x:v>
      </x:c>
      <x:c r="E216" s="34" t="str">
        <x:v>Tarih</x:v>
      </x:c>
      <x:c r="F216" s="34" t="str">
        <x:v>The Lost City of Z</x:v>
      </x:c>
      <x:c r="G216" s="34" t="str">
        <x:v>David Grann</x:v>
      </x:c>
      <x:c r="H216" s="50" t="str">
        <x:v>2</x:v>
      </x:c>
      <x:c r="I216" s="50" t="str">
        <x:v>Zengin</x:v>
      </x:c>
      <x:c r="J216" s="51" t="n">
        <x:v>13</x:v>
      </x:c>
      <x:c r="K216" s="51" t="n">
        <x:v>8</x:v>
      </x:c>
      <x:c r="L216" s="51" t="n">
        <x:v>13</x:v>
      </x:c>
      <x:c r="M216" s="51" t="n">
        <x:v>8</x:v>
      </x:c>
      <x:c r="N216" s="51" t="n">
        <x:v>9</x:v>
      </x:c>
      <x:c r="O216" s="51" t="n">
        <x:v>7</x:v>
      </x:c>
      <x:c r="P216" s="51" t="n">
        <x:v>18</x:v>
      </x:c>
      <x:c r="Q216" s="51" t="n">
        <x:v>5</x:v>
      </x:c>
      <x:c r="R216" s="52" t="n">
        <x:f>SUM(J216:Q216)</x:f>
        <x:v>81</x:v>
      </x:c>
      <x:c r="S216" s="50" t="str">
        <x:f>IF(R216&gt;='Rubrik'!$B$17,"Öncelikli video",IF(R216&gt;='Rubrik'!$B$18,"Video kuyruğu",IF(R216&gt;='Rubrik'!$B$19,"Revize et",IF(R216&gt;='Rubrik'!$B$20,"Kartla test","Düşük öncelik"))))</x:f>
        <x:v>Revize et</x:v>
      </x:c>
      <x:c r="T216" s="50" t="str">
        <x:f>IF(AND(R216&gt;=85,P216&gt;=16,M216&gt;=12,L216&gt;=12),"Reel + Carousel",IF(AND(R216&gt;=85,P216&gt;=16,N216&gt;=8),"Soru odaklı Reel",IF(AND(R216&gt;=85,P216&gt;=16),"Reel / Short",IF(M216&gt;=11,"Carousel","Kart testi"))))</x:f>
        <x:v>Kart testi</x:v>
      </x:c>
      <x:c r="U216" s="46" t="str">
        <x:v>Somut sahne ve sayısal ayrıntı güçlü bir video açılışı sağlıyor; olay örgüsü geliştirilmeli.</x:v>
      </x:c>
      <x:c r="V216" s="46" t="str">
        <x:f>IF(Q216&lt;=3,"Kaynak kontrolü şart",IF(Q216=4,"Kaynak kontrolü önerilir","Standart doğrulama"))</x:f>
        <x:v>Standart doğrulama</x:v>
      </x:c>
    </x:row>
    <x:row r="217" ht="24" customHeight="1">
      <x:c r="A217" s="48" t="n">
        <x:f>COUNTIF($R$2:$R$751,"&gt;"&amp;R217)+COUNTIF($R$2:R217,R217)</x:f>
        <x:v>216</x:v>
      </x:c>
      <x:c r="B217" s="48" t="n">
        <x:v>1756</x:v>
      </x:c>
      <x:c r="C217" s="46" t="str">
        <x:v>Soluk Mavi Nokta</x:v>
      </x:c>
      <x:c r="D217" s="34" t="str">
        <x:v>Psikoloji</x:v>
      </x:c>
      <x:c r="E217" s="34" t="str">
        <x:v>Psikoloji</x:v>
      </x:c>
      <x:c r="F217" s="34" t="str">
        <x:v>Cosmos</x:v>
      </x:c>
      <x:c r="G217" s="34" t="str">
        <x:v>Carl Sagan</x:v>
      </x:c>
      <x:c r="H217" s="50" t="str">
        <x:v>2</x:v>
      </x:c>
      <x:c r="I217" s="50" t="str">
        <x:v>Zengin</x:v>
      </x:c>
      <x:c r="J217" s="51" t="n">
        <x:v>12</x:v>
      </x:c>
      <x:c r="K217" s="51" t="n">
        <x:v>7</x:v>
      </x:c>
      <x:c r="L217" s="51" t="n">
        <x:v>13</x:v>
      </x:c>
      <x:c r="M217" s="51" t="n">
        <x:v>11</x:v>
      </x:c>
      <x:c r="N217" s="51" t="n">
        <x:v>8</x:v>
      </x:c>
      <x:c r="O217" s="51" t="n">
        <x:v>7</x:v>
      </x:c>
      <x:c r="P217" s="51" t="n">
        <x:v>18</x:v>
      </x:c>
      <x:c r="Q217" s="51" t="n">
        <x:v>5</x:v>
      </x:c>
      <x:c r="R217" s="52" t="n">
        <x:f>SUM(J217:Q217)</x:f>
        <x:v>81</x:v>
      </x:c>
      <x:c r="S217" s="50" t="str">
        <x:f>IF(R217&gt;='Rubrik'!$B$17,"Öncelikli video",IF(R217&gt;='Rubrik'!$B$18,"Video kuyruğu",IF(R217&gt;='Rubrik'!$B$19,"Revize et",IF(R217&gt;='Rubrik'!$B$20,"Kartla test","Düşük öncelik"))))</x:f>
        <x:v>Revize et</x:v>
      </x:c>
      <x:c r="T217" s="50" t="str">
        <x:f>IF(AND(R217&gt;=85,P217&gt;=16,M217&gt;=12,L217&gt;=12),"Reel + Carousel",IF(AND(R217&gt;=85,P217&gt;=16,N217&gt;=8),"Soru odaklı Reel",IF(AND(R217&gt;=85,P217&gt;=16),"Reel / Short",IF(M217&gt;=11,"Carousel","Kart testi"))))</x:f>
        <x:v>Carousel</x:v>
      </x:c>
      <x:c r="U217" s="46" t="str">
        <x:v>Somut sahne ve sayısal ayrıntı güçlü bir video açılışı sağlıyor; olay örgüsü geliştirilmeli.</x:v>
      </x:c>
      <x:c r="V217" s="46" t="str">
        <x:f>IF(Q217&lt;=3,"Kaynak kontrolü şart",IF(Q217=4,"Kaynak kontrolü önerilir","Standart doğrulama"))</x:f>
        <x:v>Standart doğrulama</x:v>
      </x:c>
    </x:row>
    <x:row r="218" ht="24" customHeight="1">
      <x:c r="A218" s="48" t="n">
        <x:f>COUNTIF($R$2:$R$751,"&gt;"&amp;R218)+COUNTIF($R$2:R218,R218)</x:f>
        <x:v>217</x:v>
      </x:c>
      <x:c r="B218" s="48" t="n">
        <x:v>1784</x:v>
      </x:c>
      <x:c r="C218" s="46" t="str">
        <x:v>Sonuna Kadar İyi Yaşamak</x:v>
      </x:c>
      <x:c r="D218" s="34" t="str">
        <x:v>Sağlık</x:v>
      </x:c>
      <x:c r="E218" s="34" t="str">
        <x:v>Sağlık</x:v>
      </x:c>
      <x:c r="F218" s="34" t="str">
        <x:v>Being Mortal</x:v>
      </x:c>
      <x:c r="G218" s="34" t="str">
        <x:v>Atul Gawande</x:v>
      </x:c>
      <x:c r="H218" s="50" t="str">
        <x:v>F5</x:v>
      </x:c>
      <x:c r="I218" s="50" t="str">
        <x:v>Zengin</x:v>
      </x:c>
      <x:c r="J218" s="51" t="n">
        <x:v>12</x:v>
      </x:c>
      <x:c r="K218" s="51" t="n">
        <x:v>8</x:v>
      </x:c>
      <x:c r="L218" s="51" t="n">
        <x:v>13</x:v>
      </x:c>
      <x:c r="M218" s="51" t="n">
        <x:v>11</x:v>
      </x:c>
      <x:c r="N218" s="51" t="n">
        <x:v>9</x:v>
      </x:c>
      <x:c r="O218" s="51" t="n">
        <x:v>7</x:v>
      </x:c>
      <x:c r="P218" s="51" t="n">
        <x:v>18</x:v>
      </x:c>
      <x:c r="Q218" s="51" t="n">
        <x:v>3</x:v>
      </x:c>
      <x:c r="R218" s="52" t="n">
        <x:f>SUM(J218:Q218)</x:f>
        <x:v>81</x:v>
      </x:c>
      <x:c r="S218" s="50" t="str">
        <x:f>IF(R218&gt;='Rubrik'!$B$17,"Öncelikli video",IF(R218&gt;='Rubrik'!$B$18,"Video kuyruğu",IF(R218&gt;='Rubrik'!$B$19,"Revize et",IF(R218&gt;='Rubrik'!$B$20,"Kartla test","Düşük öncelik"))))</x:f>
        <x:v>Revize et</x:v>
      </x:c>
      <x:c r="T218" s="50" t="str">
        <x:f>IF(AND(R218&gt;=85,P218&gt;=16,M218&gt;=12,L218&gt;=12),"Reel + Carousel",IF(AND(R218&gt;=85,P218&gt;=16,N218&gt;=8),"Soru odaklı Reel",IF(AND(R218&gt;=85,P218&gt;=16),"Reel / Short",IF(M218&gt;=11,"Carousel","Kart testi"))))</x:f>
        <x:v>Carousel</x:v>
      </x:c>
      <x:c r="U218" s="46" t="str">
        <x:v>Duygusal karşıtlık paylaşma ve kişisel anlatma isteğini yükseltiyor; olay örgüsü geliştirilmeli.</x:v>
      </x:c>
      <x:c r="V218" s="46" t="str">
        <x:f>IF(Q218&lt;=3,"Kaynak kontrolü şart",IF(Q218=4,"Kaynak kontrolü önerilir","Standart doğrulama"))</x:f>
        <x:v>Kaynak kontrolü şart</x:v>
      </x:c>
    </x:row>
    <x:row r="219" ht="24" customHeight="1">
      <x:c r="A219" s="48" t="n">
        <x:f>COUNTIF($R$2:$R$751,"&gt;"&amp;R219)+COUNTIF($R$2:R219,R219)</x:f>
        <x:v>218</x:v>
      </x:c>
      <x:c r="B219" s="48" t="n">
        <x:v>1803</x:v>
      </x:c>
      <x:c r="C219" s="46" t="str">
        <x:v>Saatin İki Dili</x:v>
      </x:c>
      <x:c r="D219" s="34" t="str">
        <x:v>Liderlik</x:v>
      </x:c>
      <x:c r="E219" s="34" t="str">
        <x:v>Liderlik</x:v>
      </x:c>
      <x:c r="F219" s="34" t="str">
        <x:v>The Culture Map</x:v>
      </x:c>
      <x:c r="G219" s="34" t="str">
        <x:v>Erin Meyer</x:v>
      </x:c>
      <x:c r="H219" s="50" t="str">
        <x:v>C2</x:v>
      </x:c>
      <x:c r="I219" s="50" t="str">
        <x:v>Zengin</x:v>
      </x:c>
      <x:c r="J219" s="51" t="n">
        <x:v>12</x:v>
      </x:c>
      <x:c r="K219" s="51" t="n">
        <x:v>7</x:v>
      </x:c>
      <x:c r="L219" s="51" t="n">
        <x:v>13</x:v>
      </x:c>
      <x:c r="M219" s="51" t="n">
        <x:v>10</x:v>
      </x:c>
      <x:c r="N219" s="51" t="n">
        <x:v>8</x:v>
      </x:c>
      <x:c r="O219" s="51" t="n">
        <x:v>8</x:v>
      </x:c>
      <x:c r="P219" s="51" t="n">
        <x:v>18</x:v>
      </x:c>
      <x:c r="Q219" s="51" t="n">
        <x:v>5</x:v>
      </x:c>
      <x:c r="R219" s="52" t="n">
        <x:f>SUM(J219:Q219)</x:f>
        <x:v>81</x:v>
      </x:c>
      <x:c r="S219" s="50" t="str">
        <x:f>IF(R219&gt;='Rubrik'!$B$17,"Öncelikli video",IF(R219&gt;='Rubrik'!$B$18,"Video kuyruğu",IF(R219&gt;='Rubrik'!$B$19,"Revize et",IF(R219&gt;='Rubrik'!$B$20,"Kartla test","Düşük öncelik"))))</x:f>
        <x:v>Revize et</x:v>
      </x:c>
      <x:c r="T219" s="50" t="str">
        <x:f>IF(AND(R219&gt;=85,P219&gt;=16,M219&gt;=12,L219&gt;=12),"Reel + Carousel",IF(AND(R219&gt;=85,P219&gt;=16,N219&gt;=8),"Soru odaklı Reel",IF(AND(R219&gt;=85,P219&gt;=16),"Reel / Short",IF(M219&gt;=11,"Carousel","Kart testi"))))</x:f>
        <x:v>Kart testi</x:v>
      </x:c>
      <x:c r="U219" s="46" t="str">
        <x:v>Somut sahne ve sayısal ayrıntı güçlü bir video açılışı sağlıyor; olay örgüsü yeterli.</x:v>
      </x:c>
      <x:c r="V219" s="46" t="str">
        <x:f>IF(Q219&lt;=3,"Kaynak kontrolü şart",IF(Q219=4,"Kaynak kontrolü önerilir","Standart doğrulama"))</x:f>
        <x:v>Standart doğrulama</x:v>
      </x:c>
    </x:row>
    <x:row r="220" ht="24" customHeight="1">
      <x:c r="A220" s="48" t="n">
        <x:f>COUNTIF($R$2:$R$751,"&gt;"&amp;R220)+COUNTIF($R$2:R220,R220)</x:f>
        <x:v>219</x:v>
      </x:c>
      <x:c r="B220" s="48" t="n">
        <x:v>1716</x:v>
      </x:c>
      <x:c r="C220" s="46" t="str">
        <x:v>Kendi Adını Söylemek Stresi Nasıl Azaltabilir?</x:v>
      </x:c>
      <x:c r="D220" s="34" t="str">
        <x:v>Finans</x:v>
      </x:c>
      <x:c r="E220" s="34" t="str">
        <x:v>İş &amp; Girişim</x:v>
      </x:c>
      <x:c r="F220" s="34" t="str">
        <x:v>Chatter</x:v>
      </x:c>
      <x:c r="G220" s="34" t="str">
        <x:v>Ethan Kross</x:v>
      </x:c>
      <x:c r="H220" s="50" t="str">
        <x:v>2</x:v>
      </x:c>
      <x:c r="I220" s="50" t="str">
        <x:v>Zengin</x:v>
      </x:c>
      <x:c r="J220" s="51" t="n">
        <x:v>12</x:v>
      </x:c>
      <x:c r="K220" s="51" t="n">
        <x:v>7</x:v>
      </x:c>
      <x:c r="L220" s="51" t="n">
        <x:v>13</x:v>
      </x:c>
      <x:c r="M220" s="51" t="n">
        <x:v>11</x:v>
      </x:c>
      <x:c r="N220" s="51" t="n">
        <x:v>9</x:v>
      </x:c>
      <x:c r="O220" s="51" t="n">
        <x:v>8</x:v>
      </x:c>
      <x:c r="P220" s="51" t="n">
        <x:v>17</x:v>
      </x:c>
      <x:c r="Q220" s="51" t="n">
        <x:v>4</x:v>
      </x:c>
      <x:c r="R220" s="52" t="n">
        <x:f>SUM(J220:Q220)</x:f>
        <x:v>81</x:v>
      </x:c>
      <x:c r="S220" s="50" t="str">
        <x:f>IF(R220&gt;='Rubrik'!$B$17,"Öncelikli video",IF(R220&gt;='Rubrik'!$B$18,"Video kuyruğu",IF(R220&gt;='Rubrik'!$B$19,"Revize et",IF(R220&gt;='Rubrik'!$B$20,"Kartla test","Düşük öncelik"))))</x:f>
        <x:v>Revize et</x:v>
      </x:c>
      <x:c r="T220" s="50" t="str">
        <x:f>IF(AND(R220&gt;=85,P220&gt;=16,M220&gt;=12,L220&gt;=12),"Reel + Carousel",IF(AND(R220&gt;=85,P220&gt;=16,N220&gt;=8),"Soru odaklı Reel",IF(AND(R220&gt;=85,P220&gt;=16),"Reel / Short",IF(M220&gt;=11,"Carousel","Kart testi"))))</x:f>
        <x:v>Carousel</x:v>
      </x:c>
      <x:c r="U220" s="46" t="str">
        <x:v>Duygusal karşıtlık paylaşma ve kişisel anlatma isteğini yükseltiyor; olay örgüsü yeterli.</x:v>
      </x:c>
      <x:c r="V220" s="46" t="str">
        <x:f>IF(Q220&lt;=3,"Kaynak kontrolü şart",IF(Q220=4,"Kaynak kontrolü önerilir","Standart doğrulama"))</x:f>
        <x:v>Kaynak kontrolü önerilir</x:v>
      </x:c>
    </x:row>
    <x:row r="221" ht="24" customHeight="1">
      <x:c r="A221" s="48" t="n">
        <x:f>COUNTIF($R$2:$R$751,"&gt;"&amp;R221)+COUNTIF($R$2:R221,R221)</x:f>
        <x:v>220</x:v>
      </x:c>
      <x:c r="B221" s="48" t="n">
        <x:v>1743</x:v>
      </x:c>
      <x:c r="C221" s="46" t="str">
        <x:v>168 Kişi Bir İmparatorluğu Nasıl Esir Aldı?</x:v>
      </x:c>
      <x:c r="D221" s="34" t="str">
        <x:v>Tarih</x:v>
      </x:c>
      <x:c r="E221" s="34" t="str">
        <x:v>Tarih</x:v>
      </x:c>
      <x:c r="F221" s="34" t="str">
        <x:v>Guns, Germs, and Steel</x:v>
      </x:c>
      <x:c r="G221" s="34" t="str">
        <x:v>Jared Diamond</x:v>
      </x:c>
      <x:c r="H221" s="50" t="str">
        <x:v>2</x:v>
      </x:c>
      <x:c r="I221" s="50" t="str">
        <x:v>Zengin</x:v>
      </x:c>
      <x:c r="J221" s="51" t="n">
        <x:v>13</x:v>
      </x:c>
      <x:c r="K221" s="51" t="n">
        <x:v>8</x:v>
      </x:c>
      <x:c r="L221" s="51" t="n">
        <x:v>13</x:v>
      </x:c>
      <x:c r="M221" s="51" t="n">
        <x:v>10</x:v>
      </x:c>
      <x:c r="N221" s="51" t="n">
        <x:v>9</x:v>
      </x:c>
      <x:c r="O221" s="51" t="n">
        <x:v>8</x:v>
      </x:c>
      <x:c r="P221" s="51" t="n">
        <x:v>17</x:v>
      </x:c>
      <x:c r="Q221" s="51" t="n">
        <x:v>3</x:v>
      </x:c>
      <x:c r="R221" s="52" t="n">
        <x:f>SUM(J221:Q221)</x:f>
        <x:v>81</x:v>
      </x:c>
      <x:c r="S221" s="50" t="str">
        <x:f>IF(R221&gt;='Rubrik'!$B$17,"Öncelikli video",IF(R221&gt;='Rubrik'!$B$18,"Video kuyruğu",IF(R221&gt;='Rubrik'!$B$19,"Revize et",IF(R221&gt;='Rubrik'!$B$20,"Kartla test","Düşük öncelik"))))</x:f>
        <x:v>Revize et</x:v>
      </x:c>
      <x:c r="T221" s="50" t="str">
        <x:f>IF(AND(R221&gt;=85,P221&gt;=16,M221&gt;=12,L221&gt;=12),"Reel + Carousel",IF(AND(R221&gt;=85,P221&gt;=16,N221&gt;=8),"Soru odaklı Reel",IF(AND(R221&gt;=85,P221&gt;=16),"Reel / Short",IF(M221&gt;=11,"Carousel","Kart testi"))))</x:f>
        <x:v>Kart testi</x:v>
      </x:c>
      <x:c r="U221" s="46" t="str">
        <x:v>Somut sahne ve sayısal ayrıntı güçlü bir video açılışı sağlıyor; olay örgüsü yeterli.</x:v>
      </x:c>
      <x:c r="V221" s="46" t="str">
        <x:f>IF(Q221&lt;=3,"Kaynak kontrolü şart",IF(Q221=4,"Kaynak kontrolü önerilir","Standart doğrulama"))</x:f>
        <x:v>Kaynak kontrolü şart</x:v>
      </x:c>
    </x:row>
    <x:row r="222" ht="24" customHeight="1">
      <x:c r="A222" s="48" t="n">
        <x:f>COUNTIF($R$2:$R$751,"&gt;"&amp;R222)+COUNTIF($R$2:R222,R222)</x:f>
        <x:v>221</x:v>
      </x:c>
      <x:c r="B222" s="48" t="n">
        <x:v>1366</x:v>
      </x:c>
      <x:c r="C222" s="46" t="str">
        <x:v>Freelancer'ın fatura şoku</x:v>
      </x:c>
      <x:c r="D222" s="34" t="str">
        <x:v>Verimlilik</x:v>
      </x:c>
      <x:c r="E222" s="34" t="str">
        <x:v>Girişimcilik</x:v>
      </x:c>
      <x:c r="F222" s="34" t="str">
        <x:v>Kendi Patronun Ol</x:v>
      </x:c>
      <x:c r="G222" s="34" t="str">
        <x:v>Paul Jarvis</x:v>
      </x:c>
      <x:c r="H222" s="50" t="str">
        <x:v>1</x:v>
      </x:c>
      <x:c r="I222" s="50" t="str">
        <x:v>Temel</x:v>
      </x:c>
      <x:c r="J222" s="51" t="n">
        <x:v>13</x:v>
      </x:c>
      <x:c r="K222" s="51" t="n">
        <x:v>7</x:v>
      </x:c>
      <x:c r="L222" s="51" t="n">
        <x:v>12</x:v>
      </x:c>
      <x:c r="M222" s="51" t="n">
        <x:v>12</x:v>
      </x:c>
      <x:c r="N222" s="51" t="n">
        <x:v>9</x:v>
      </x:c>
      <x:c r="O222" s="51" t="n">
        <x:v>8</x:v>
      </x:c>
      <x:c r="P222" s="51" t="n">
        <x:v>17</x:v>
      </x:c>
      <x:c r="Q222" s="51" t="n">
        <x:v>3</x:v>
      </x:c>
      <x:c r="R222" s="52" t="n">
        <x:f>SUM(J222:Q222)</x:f>
        <x:v>81</x:v>
      </x:c>
      <x:c r="S222" s="50" t="str">
        <x:f>IF(R222&gt;='Rubrik'!$B$17,"Öncelikli video",IF(R222&gt;='Rubrik'!$B$18,"Video kuyruğu",IF(R222&gt;='Rubrik'!$B$19,"Revize et",IF(R222&gt;='Rubrik'!$B$20,"Kartla test","Düşük öncelik"))))</x:f>
        <x:v>Revize et</x:v>
      </x:c>
      <x:c r="T222" s="50" t="str">
        <x:f>IF(AND(R222&gt;=85,P222&gt;=16,M222&gt;=12,L222&gt;=12),"Reel + Carousel",IF(AND(R222&gt;=85,P222&gt;=16,N222&gt;=8),"Soru odaklı Reel",IF(AND(R222&gt;=85,P222&gt;=16),"Reel / Short",IF(M222&gt;=11,"Carousel","Kart testi"))))</x:f>
        <x:v>Carousel</x:v>
      </x:c>
      <x:c r="U222" s="46" t="str">
        <x:v>Gelir büyürken sevilen işin sıfırlanması güçlü ters köşe; kişisel öykünün ayrıntıları kaynaklandırılmalı.</x:v>
      </x:c>
      <x:c r="V222" s="46" t="str">
        <x:f>IF(Q222&lt;=3,"Kaynak kontrolü şart",IF(Q222=4,"Kaynak kontrolü önerilir","Standart doğrulama"))</x:f>
        <x:v>Kaynak kontrolü şart</x:v>
      </x:c>
    </x:row>
    <x:row r="223" ht="24" customHeight="1">
      <x:c r="A223" s="48" t="n">
        <x:f>COUNTIF($R$2:$R$751,"&gt;"&amp;R223)+COUNTIF($R$2:R223,R223)</x:f>
        <x:v>222</x:v>
      </x:c>
      <x:c r="B223" s="48" t="n">
        <x:v>1474</x:v>
      </x:c>
      <x:c r="C223" s="46" t="str">
        <x:v>Bilişsel devrim ve hayali gerçeklikler</x:v>
      </x:c>
      <x:c r="D223" s="34" t="str">
        <x:v>Tarih</x:v>
      </x:c>
      <x:c r="E223" s="34" t="str">
        <x:v>Tarih</x:v>
      </x:c>
      <x:c r="F223" s="34" t="str">
        <x:v>İnsanlığın Kısa Tarihi</x:v>
      </x:c>
      <x:c r="G223" s="34" t="str">
        <x:v>Yuval Noah Harari</x:v>
      </x:c>
      <x:c r="H223" s="50" t="str">
        <x:v>1</x:v>
      </x:c>
      <x:c r="I223" s="50" t="str">
        <x:v>Temel</x:v>
      </x:c>
      <x:c r="J223" s="51" t="n">
        <x:v>13</x:v>
      </x:c>
      <x:c r="K223" s="51" t="n">
        <x:v>7</x:v>
      </x:c>
      <x:c r="L223" s="51" t="n">
        <x:v>13</x:v>
      </x:c>
      <x:c r="M223" s="51" t="n">
        <x:v>12</x:v>
      </x:c>
      <x:c r="N223" s="51" t="n">
        <x:v>9</x:v>
      </x:c>
      <x:c r="O223" s="51" t="n">
        <x:v>7</x:v>
      </x:c>
      <x:c r="P223" s="51" t="n">
        <x:v>16</x:v>
      </x:c>
      <x:c r="Q223" s="51" t="n">
        <x:v>4</x:v>
      </x:c>
      <x:c r="R223" s="52" t="n">
        <x:f>SUM(J223:Q223)</x:f>
        <x:v>81</x:v>
      </x:c>
      <x:c r="S223" s="50" t="str">
        <x:f>IF(R223&gt;='Rubrik'!$B$17,"Öncelikli video",IF(R223&gt;='Rubrik'!$B$18,"Video kuyruğu",IF(R223&gt;='Rubrik'!$B$19,"Revize et",IF(R223&gt;='Rubrik'!$B$20,"Kartla test","Düşük öncelik"))))</x:f>
        <x:v>Revize et</x:v>
      </x:c>
      <x:c r="T223" s="50" t="str">
        <x:f>IF(AND(R223&gt;=85,P223&gt;=16,M223&gt;=12,L223&gt;=12),"Reel + Carousel",IF(AND(R223&gt;=85,P223&gt;=16,N223&gt;=8),"Soru odaklı Reel",IF(AND(R223&gt;=85,P223&gt;=16),"Reel / Short",IF(M223&gt;=11,"Carousel","Kart testi"))))</x:f>
        <x:v>Carousel</x:v>
      </x:c>
      <x:c r="U223" s="46" t="str">
        <x:v>Ortak kurgu fikri para ve ulus gibi dev kavramları sarsıcı biçimde bağlar; yorum ve paylaşım potansiyeli yüksek.</x:v>
      </x:c>
      <x:c r="V223" s="46" t="str">
        <x:f>IF(Q223&lt;=3,"Kaynak kontrolü şart",IF(Q223=4,"Kaynak kontrolü önerilir","Standart doğrulama"))</x:f>
        <x:v>Kaynak kontrolü önerilir</x:v>
      </x:c>
    </x:row>
    <x:row r="224" ht="24" customHeight="1">
      <x:c r="A224" s="48" t="n">
        <x:f>COUNTIF($R$2:$R$751,"&gt;"&amp;R224)+COUNTIF($R$2:R224,R224)</x:f>
        <x:v>223</x:v>
      </x:c>
      <x:c r="B224" s="48" t="n">
        <x:v>1079</x:v>
      </x:c>
      <x:c r="C224" s="46" t="str">
        <x:v>Restoran garsonunun bahşiş sırrı</x:v>
      </x:c>
      <x:c r="D224" s="34" t="str">
        <x:v>Psikoloji</x:v>
      </x:c>
      <x:c r="E224" s="34" t="str">
        <x:v>Psikoloji</x:v>
      </x:c>
      <x:c r="F224" s="34" t="str">
        <x:v>Influence</x:v>
      </x:c>
      <x:c r="G224" s="34" t="str">
        <x:v>Robert Cialdini</x:v>
      </x:c>
      <x:c r="H224" s="50" t="str">
        <x:v>1</x:v>
      </x:c>
      <x:c r="I224" s="50" t="str">
        <x:v>Temel</x:v>
      </x:c>
      <x:c r="J224" s="51" t="n">
        <x:v>14</x:v>
      </x:c>
      <x:c r="K224" s="51" t="n">
        <x:v>8</x:v>
      </x:c>
      <x:c r="L224" s="51" t="n">
        <x:v>12</x:v>
      </x:c>
      <x:c r="M224" s="51" t="n">
        <x:v>12</x:v>
      </x:c>
      <x:c r="N224" s="51" t="n">
        <x:v>8</x:v>
      </x:c>
      <x:c r="O224" s="51" t="n">
        <x:v>7</x:v>
      </x:c>
      <x:c r="P224" s="51" t="n">
        <x:v>16</x:v>
      </x:c>
      <x:c r="Q224" s="51" t="n">
        <x:v>4</x:v>
      </x:c>
      <x:c r="R224" s="52" t="n">
        <x:f>SUM(J224:Q224)</x:f>
        <x:v>81</x:v>
      </x:c>
      <x:c r="S224" s="50" t="str">
        <x:f>IF(R224&gt;='Rubrik'!$B$17,"Öncelikli video",IF(R224&gt;='Rubrik'!$B$18,"Video kuyruğu",IF(R224&gt;='Rubrik'!$B$19,"Revize et",IF(R224&gt;='Rubrik'!$B$20,"Kartla test","Düşük öncelik"))))</x:f>
        <x:v>Revize et</x:v>
      </x:c>
      <x:c r="T224" s="50" t="str">
        <x:f>IF(AND(R224&gt;=85,P224&gt;=16,M224&gt;=12,L224&gt;=12),"Reel + Carousel",IF(AND(R224&gt;=85,P224&gt;=16,N224&gt;=8),"Soru odaklı Reel",IF(AND(R224&gt;=85,P224&gt;=16),"Reel / Short",IF(M224&gt;=11,"Carousel","Kart testi"))))</x:f>
        <x:v>Carousel</x:v>
      </x:c>
      <x:c r="U224" s="46" t="str">
        <x:v>İkinci şekerle yükselen bahşiş kolay canlandırılır; beklenmedik jest fikri sıcak ve çok paylaşılabilir.</x:v>
      </x:c>
      <x:c r="V224" s="46" t="str">
        <x:f>IF(Q224&lt;=3,"Kaynak kontrolü şart",IF(Q224=4,"Kaynak kontrolü önerilir","Standart doğrulama"))</x:f>
        <x:v>Kaynak kontrolü önerilir</x:v>
      </x:c>
    </x:row>
    <x:row r="225" ht="24" customHeight="1">
      <x:c r="A225" s="48" t="n">
        <x:f>COUNTIF($R$2:$R$751,"&gt;"&amp;R225)+COUNTIF($R$2:R225,R225)</x:f>
        <x:v>224</x:v>
      </x:c>
      <x:c r="B225" s="48" t="n">
        <x:v>1099</x:v>
      </x:c>
      <x:c r="C225" s="46" t="str">
        <x:v>Michael Jordan'ın kesim hikayesi</x:v>
      </x:c>
      <x:c r="D225" s="34" t="str">
        <x:v>Psikoloji</x:v>
      </x:c>
      <x:c r="E225" s="34" t="str">
        <x:v>Psikoloji</x:v>
      </x:c>
      <x:c r="F225" s="34" t="str">
        <x:v>Zihin Gücü</x:v>
      </x:c>
      <x:c r="G225" s="34" t="str">
        <x:v>Carol Dweck</x:v>
      </x:c>
      <x:c r="H225" s="50" t="str">
        <x:v>1</x:v>
      </x:c>
      <x:c r="I225" s="50" t="str">
        <x:v>Temel</x:v>
      </x:c>
      <x:c r="J225" s="51" t="n">
        <x:v>14</x:v>
      </x:c>
      <x:c r="K225" s="51" t="n">
        <x:v>9</x:v>
      </x:c>
      <x:c r="L225" s="51" t="n">
        <x:v>12</x:v>
      </x:c>
      <x:c r="M225" s="51" t="n">
        <x:v>12</x:v>
      </x:c>
      <x:c r="N225" s="51" t="n">
        <x:v>9</x:v>
      </x:c>
      <x:c r="O225" s="51" t="n">
        <x:v>7</x:v>
      </x:c>
      <x:c r="P225" s="51" t="n">
        <x:v>16</x:v>
      </x:c>
      <x:c r="Q225" s="51" t="n">
        <x:v>2</x:v>
      </x:c>
      <x:c r="R225" s="52" t="n">
        <x:f>SUM(J225:Q225)</x:f>
        <x:v>81</x:v>
      </x:c>
      <x:c r="S225" s="50" t="str">
        <x:f>IF(R225&gt;='Rubrik'!$B$17,"Öncelikli video",IF(R225&gt;='Rubrik'!$B$18,"Video kuyruğu",IF(R225&gt;='Rubrik'!$B$19,"Revize et",IF(R225&gt;='Rubrik'!$B$20,"Kartla test","Düşük öncelik"))))</x:f>
        <x:v>Revize et</x:v>
      </x:c>
      <x:c r="T225" s="50" t="str">
        <x:f>IF(AND(R225&gt;=85,P225&gt;=16,M225&gt;=12,L225&gt;=12),"Reel + Carousel",IF(AND(R225&gt;=85,P225&gt;=16,N225&gt;=8),"Soru odaklı Reel",IF(AND(R225&gt;=85,P225&gt;=16),"Reel / Short",IF(M225&gt;=11,"Carousel","Kart testi"))))</x:f>
        <x:v>Carousel</x:v>
      </x:c>
      <x:c r="U225" s="46" t="str">
        <x:v>Listede adını bulamayan Jordan güçlü duygu ve dönüşüm taşır; kesilme hikâyesi nüansla doğrulanmalı.</x:v>
      </x:c>
      <x:c r="V225" s="46" t="str">
        <x:f>IF(Q225&lt;=3,"Kaynak kontrolü şart",IF(Q225=4,"Kaynak kontrolü önerilir","Standart doğrulama"))</x:f>
        <x:v>Kaynak kontrolü şart</x:v>
      </x:c>
    </x:row>
    <x:row r="226" ht="24" customHeight="1">
      <x:c r="A226" s="48" t="n">
        <x:f>COUNTIF($R$2:$R$751,"&gt;"&amp;R226)+COUNTIF($R$2:R226,R226)</x:f>
        <x:v>225</x:v>
      </x:c>
      <x:c r="B226" s="48" t="n">
        <x:v>1212</x:v>
      </x:c>
      <x:c r="C226" s="46" t="str">
        <x:v>McDonald's'ın gerçek işi</x:v>
      </x:c>
      <x:c r="D226" s="34" t="str">
        <x:v>Finans</x:v>
      </x:c>
      <x:c r="E226" s="34" t="str">
        <x:v>Finans</x:v>
      </x:c>
      <x:c r="F226" s="34" t="str">
        <x:v>Zengin Baba Fakir Baba</x:v>
      </x:c>
      <x:c r="G226" s="34" t="str">
        <x:v>Robert Kiyosaki</x:v>
      </x:c>
      <x:c r="H226" s="50" t="str">
        <x:v>1</x:v>
      </x:c>
      <x:c r="I226" s="50" t="str">
        <x:v>Temel</x:v>
      </x:c>
      <x:c r="J226" s="51" t="n">
        <x:v>14</x:v>
      </x:c>
      <x:c r="K226" s="51" t="n">
        <x:v>7</x:v>
      </x:c>
      <x:c r="L226" s="51" t="n">
        <x:v>12</x:v>
      </x:c>
      <x:c r="M226" s="51" t="n">
        <x:v>13</x:v>
      </x:c>
      <x:c r="N226" s="51" t="n">
        <x:v>9</x:v>
      </x:c>
      <x:c r="O226" s="51" t="n">
        <x:v>7</x:v>
      </x:c>
      <x:c r="P226" s="51" t="n">
        <x:v>16</x:v>
      </x:c>
      <x:c r="Q226" s="51" t="n">
        <x:v>3</x:v>
      </x:c>
      <x:c r="R226" s="52" t="n">
        <x:f>SUM(J226:Q226)</x:f>
        <x:v>81</x:v>
      </x:c>
      <x:c r="S226" s="50" t="str">
        <x:f>IF(R226&gt;='Rubrik'!$B$17,"Öncelikli video",IF(R226&gt;='Rubrik'!$B$18,"Video kuyruğu",IF(R226&gt;='Rubrik'!$B$19,"Revize et",IF(R226&gt;='Rubrik'!$B$20,"Kartla test","Düşük öncelik"))))</x:f>
        <x:v>Revize et</x:v>
      </x:c>
      <x:c r="T226" s="50" t="str">
        <x:f>IF(AND(R226&gt;=85,P226&gt;=16,M226&gt;=12,L226&gt;=12),"Reel + Carousel",IF(AND(R226&gt;=85,P226&gt;=16,N226&gt;=8),"Soru odaklı Reel",IF(AND(R226&gt;=85,P226&gt;=16),"Reel / Short",IF(M226&gt;=11,"Carousel","Kart testi"))))</x:f>
        <x:v>Carousel</x:v>
      </x:c>
      <x:c r="U226" s="46" t="str">
        <x:v>Hamburger değil gayrimenkul ters köşesi çok paylaşılır; iş modelinin karmaşıklığı biraz sadeleştirilmiş.</x:v>
      </x:c>
      <x:c r="V226" s="46" t="str">
        <x:f>IF(Q226&lt;=3,"Kaynak kontrolü şart",IF(Q226=4,"Kaynak kontrolü önerilir","Standart doğrulama"))</x:f>
        <x:v>Kaynak kontrolü şart</x:v>
      </x:c>
    </x:row>
    <x:row r="227" ht="24" customHeight="1">
      <x:c r="A227" s="48" t="n">
        <x:f>COUNTIF($R$2:$R$751,"&gt;"&amp;R227)+COUNTIF($R$2:R227,R227)</x:f>
        <x:v>226</x:v>
      </x:c>
      <x:c r="B227" s="48" t="n">
        <x:v>1255</x:v>
      </x:c>
      <x:c r="C227" s="46" t="str">
        <x:v>Paraşütle atlayan kadın</x:v>
      </x:c>
      <x:c r="D227" s="34" t="str">
        <x:v>Büyüme</x:v>
      </x:c>
      <x:c r="E227" s="34" t="str">
        <x:v>Motivasyon</x:v>
      </x:c>
      <x:c r="F227" s="34" t="str">
        <x:v>Korkusuzluk</x:v>
      </x:c>
      <x:c r="G227" s="34" t="str">
        <x:v>Susan Jeffers</x:v>
      </x:c>
      <x:c r="H227" s="50" t="str">
        <x:v>1</x:v>
      </x:c>
      <x:c r="I227" s="50" t="str">
        <x:v>Temel</x:v>
      </x:c>
      <x:c r="J227" s="51" t="n">
        <x:v>13</x:v>
      </x:c>
      <x:c r="K227" s="51" t="n">
        <x:v>8</x:v>
      </x:c>
      <x:c r="L227" s="51" t="n">
        <x:v>12</x:v>
      </x:c>
      <x:c r="M227" s="51" t="n">
        <x:v>11</x:v>
      </x:c>
      <x:c r="N227" s="51" t="n">
        <x:v>9</x:v>
      </x:c>
      <x:c r="O227" s="51" t="n">
        <x:v>8</x:v>
      </x:c>
      <x:c r="P227" s="51" t="n">
        <x:v>16</x:v>
      </x:c>
      <x:c r="Q227" s="51" t="n">
        <x:v>4</x:v>
      </x:c>
      <x:c r="R227" s="52" t="n">
        <x:f>SUM(J227:Q227)</x:f>
        <x:v>81</x:v>
      </x:c>
      <x:c r="S227" s="50" t="str">
        <x:f>IF(R227&gt;='Rubrik'!$B$17,"Öncelikli video",IF(R227&gt;='Rubrik'!$B$18,"Video kuyruğu",IF(R227&gt;='Rubrik'!$B$19,"Revize et",IF(R227&gt;='Rubrik'!$B$20,"Kartla test","Düşük öncelik"))))</x:f>
        <x:v>Revize et</x:v>
      </x:c>
      <x:c r="T227" s="50" t="str">
        <x:f>IF(AND(R227&gt;=85,P227&gt;=16,M227&gt;=12,L227&gt;=12),"Reel + Carousel",IF(AND(R227&gt;=85,P227&gt;=16,N227&gt;=8),"Soru odaklı Reel",IF(AND(R227&gt;=85,P227&gt;=16),"Reel / Short",IF(M227&gt;=11,"Carousel","Kart testi"))))</x:f>
        <x:v>Carousel</x:v>
      </x:c>
      <x:c r="U227" s="46" t="str">
        <x:v>Paraşüt diyaloğu korkunun geçmesini bekleme tuzağını canlı, duygusal ve paylaşılabilir biçimde gösteriyor.</x:v>
      </x:c>
      <x:c r="V227" s="46" t="str">
        <x:f>IF(Q227&lt;=3,"Kaynak kontrolü şart",IF(Q227=4,"Kaynak kontrolü önerilir","Standart doğrulama"))</x:f>
        <x:v>Kaynak kontrolü önerilir</x:v>
      </x:c>
    </x:row>
    <x:row r="228" ht="24" customHeight="1">
      <x:c r="A228" s="48" t="n">
        <x:f>COUNTIF($R$2:$R$751,"&gt;"&amp;R228)+COUNTIF($R$2:R228,R228)</x:f>
        <x:v>227</x:v>
      </x:c>
      <x:c r="B228" s="48" t="n">
        <x:v>1316</x:v>
      </x:c>
      <x:c r="C228" s="46" t="str">
        <x:v>Tetikleyiciler ve alışkanlık tasarımı</x:v>
      </x:c>
      <x:c r="D228" s="34" t="str">
        <x:v>Bilim</x:v>
      </x:c>
      <x:c r="E228" s="34" t="str">
        <x:v>Ürün</x:v>
      </x:c>
      <x:c r="F228" s="34" t="str">
        <x:v>Müşteriyi Anlamak</x:v>
      </x:c>
      <x:c r="G228" s="34" t="str">
        <x:v>Nir Eyal</x:v>
      </x:c>
      <x:c r="H228" s="50" t="str">
        <x:v>1</x:v>
      </x:c>
      <x:c r="I228" s="50" t="str">
        <x:v>Temel</x:v>
      </x:c>
      <x:c r="J228" s="51" t="n">
        <x:v>13</x:v>
      </x:c>
      <x:c r="K228" s="51" t="n">
        <x:v>7</x:v>
      </x:c>
      <x:c r="L228" s="51" t="n">
        <x:v>12</x:v>
      </x:c>
      <x:c r="M228" s="51" t="n">
        <x:v>12</x:v>
      </x:c>
      <x:c r="N228" s="51" t="n">
        <x:v>10</x:v>
      </x:c>
      <x:c r="O228" s="51" t="n">
        <x:v>7</x:v>
      </x:c>
      <x:c r="P228" s="51" t="n">
        <x:v>16</x:v>
      </x:c>
      <x:c r="Q228" s="51" t="n">
        <x:v>4</x:v>
      </x:c>
      <x:c r="R228" s="52" t="n">
        <x:f>SUM(J228:Q228)</x:f>
        <x:v>81</x:v>
      </x:c>
      <x:c r="S228" s="50" t="str">
        <x:f>IF(R228&gt;='Rubrik'!$B$17,"Öncelikli video",IF(R228&gt;='Rubrik'!$B$18,"Video kuyruğu",IF(R228&gt;='Rubrik'!$B$19,"Revize et",IF(R228&gt;='Rubrik'!$B$20,"Kartla test","Düşük öncelik"))))</x:f>
        <x:v>Revize et</x:v>
      </x:c>
      <x:c r="T228" s="50" t="str">
        <x:f>IF(AND(R228&gt;=85,P228&gt;=16,M228&gt;=12,L228&gt;=12),"Reel + Carousel",IF(AND(R228&gt;=85,P228&gt;=16,N228&gt;=8),"Soru odaklı Reel",IF(AND(R228&gt;=85,P228&gt;=16),"Reel / Short",IF(M228&gt;=11,"Carousel","Kart testi"))))</x:f>
        <x:v>Carousel</x:v>
      </x:c>
      <x:c r="U228" s="46" t="str">
        <x:v>Can sıkıntısı-Instagram bağı çok tanıdık; izleyici kendi duygusal tetikleyicisini hemen anlatabilir.</x:v>
      </x:c>
      <x:c r="V228" s="46" t="str">
        <x:f>IF(Q228&lt;=3,"Kaynak kontrolü şart",IF(Q228=4,"Kaynak kontrolü önerilir","Standart doğrulama"))</x:f>
        <x:v>Kaynak kontrolü önerilir</x:v>
      </x:c>
    </x:row>
    <x:row r="229" ht="24" customHeight="1">
      <x:c r="A229" s="48" t="n">
        <x:f>COUNTIF($R$2:$R$751,"&gt;"&amp;R229)+COUNTIF($R$2:R229,R229)</x:f>
        <x:v>228</x:v>
      </x:c>
      <x:c r="B229" s="48" t="n">
        <x:v>1334</x:v>
      </x:c>
      <x:c r="C229" s="46" t="str">
        <x:v>Ölüm ve anlam arasındaki bağ</x:v>
      </x:c>
      <x:c r="D229" s="34" t="str">
        <x:v>Felsefe</x:v>
      </x:c>
      <x:c r="E229" s="34" t="str">
        <x:v>Felsefe</x:v>
      </x:c>
      <x:c r="F229" s="34" t="str">
        <x:v>Her Şey Yolunda</x:v>
      </x:c>
      <x:c r="G229" s="34" t="str">
        <x:v>Mark Manson</x:v>
      </x:c>
      <x:c r="H229" s="50" t="str">
        <x:v>1</x:v>
      </x:c>
      <x:c r="I229" s="50" t="str">
        <x:v>Temel</x:v>
      </x:c>
      <x:c r="J229" s="51" t="n">
        <x:v>13</x:v>
      </x:c>
      <x:c r="K229" s="51" t="n">
        <x:v>8</x:v>
      </x:c>
      <x:c r="L229" s="51" t="n">
        <x:v>12</x:v>
      </x:c>
      <x:c r="M229" s="51" t="n">
        <x:v>11</x:v>
      </x:c>
      <x:c r="N229" s="51" t="n">
        <x:v>10</x:v>
      </x:c>
      <x:c r="O229" s="51" t="n">
        <x:v>7</x:v>
      </x:c>
      <x:c r="P229" s="51" t="n">
        <x:v>16</x:v>
      </x:c>
      <x:c r="Q229" s="51" t="n">
        <x:v>4</x:v>
      </x:c>
      <x:c r="R229" s="52" t="n">
        <x:f>SUM(J229:Q229)</x:f>
        <x:v>81</x:v>
      </x:c>
      <x:c r="S229" s="50" t="str">
        <x:f>IF(R229&gt;='Rubrik'!$B$17,"Öncelikli video",IF(R229&gt;='Rubrik'!$B$18,"Video kuyruğu",IF(R229&gt;='Rubrik'!$B$19,"Revize et",IF(R229&gt;='Rubrik'!$B$20,"Kartla test","Düşük öncelik"))))</x:f>
        <x:v>Revize et</x:v>
      </x:c>
      <x:c r="T229" s="50" t="str">
        <x:f>IF(AND(R229&gt;=85,P229&gt;=16,M229&gt;=12,L229&gt;=12),"Reel + Carousel",IF(AND(R229&gt;=85,P229&gt;=16,N229&gt;=8),"Soru odaklı Reel",IF(AND(R229&gt;=85,P229&gt;=16),"Reel / Short",IF(M229&gt;=11,"Carousel","Kart testi"))))</x:f>
        <x:v>Carousel</x:v>
      </x:c>
      <x:c r="U229" s="46" t="str">
        <x:v>Bir yıllık ömür sorusu duygusal ve güçlü öz değerlendirme yaratıyor; memento mori çerçevesi net.</x:v>
      </x:c>
      <x:c r="V229" s="46" t="str">
        <x:f>IF(Q229&lt;=3,"Kaynak kontrolü şart",IF(Q229=4,"Kaynak kontrolü önerilir","Standart doğrulama"))</x:f>
        <x:v>Kaynak kontrolü önerilir</x:v>
      </x:c>
    </x:row>
    <x:row r="230" ht="24" customHeight="1">
      <x:c r="A230" s="48" t="n">
        <x:f>COUNTIF($R$2:$R$751,"&gt;"&amp;R230)+COUNTIF($R$2:R230,R230)</x:f>
        <x:v>229</x:v>
      </x:c>
      <x:c r="B230" s="48" t="n">
        <x:v>1393</x:v>
      </x:c>
      <x:c r="C230" s="46" t="str">
        <x:v>Kurbağayı sabah yemek</x:v>
      </x:c>
      <x:c r="D230" s="34" t="str">
        <x:v>Verimlilik</x:v>
      </x:c>
      <x:c r="E230" s="34" t="str">
        <x:v>Verimlilik</x:v>
      </x:c>
      <x:c r="F230" s="34" t="str">
        <x:v>Yeme Bozukluğu</x:v>
      </x:c>
      <x:c r="G230" s="34" t="str">
        <x:v>Brian Tracy</x:v>
      </x:c>
      <x:c r="H230" s="50" t="str">
        <x:v>1</x:v>
      </x:c>
      <x:c r="I230" s="50" t="str">
        <x:v>Temel</x:v>
      </x:c>
      <x:c r="J230" s="51" t="n">
        <x:v>13</x:v>
      </x:c>
      <x:c r="K230" s="51" t="n">
        <x:v>7</x:v>
      </x:c>
      <x:c r="L230" s="51" t="n">
        <x:v>12</x:v>
      </x:c>
      <x:c r="M230" s="51" t="n">
        <x:v>14</x:v>
      </x:c>
      <x:c r="N230" s="51" t="n">
        <x:v>9</x:v>
      </x:c>
      <x:c r="O230" s="51" t="n">
        <x:v>8</x:v>
      </x:c>
      <x:c r="P230" s="51" t="n">
        <x:v>16</x:v>
      </x:c>
      <x:c r="Q230" s="51" t="n">
        <x:v>2</x:v>
      </x:c>
      <x:c r="R230" s="52" t="n">
        <x:f>SUM(J230:Q230)</x:f>
        <x:v>81</x:v>
      </x:c>
      <x:c r="S230" s="50" t="str">
        <x:f>IF(R230&gt;='Rubrik'!$B$17,"Öncelikli video",IF(R230&gt;='Rubrik'!$B$18,"Video kuyruğu",IF(R230&gt;='Rubrik'!$B$19,"Revize et",IF(R230&gt;='Rubrik'!$B$20,"Kartla test","Düşük öncelik"))))</x:f>
        <x:v>Revize et</x:v>
      </x:c>
      <x:c r="T230" s="50" t="str">
        <x:f>IF(AND(R230&gt;=85,P230&gt;=16,M230&gt;=12,L230&gt;=12),"Reel + Carousel",IF(AND(R230&gt;=85,P230&gt;=16,N230&gt;=8),"Soru odaklı Reel",IF(AND(R230&gt;=85,P230&gt;=16),"Reel / Short",IF(M230&gt;=11,"Carousel","Kart testi"))))</x:f>
        <x:v>Carousel</x:v>
      </x:c>
      <x:c r="U230" s="46" t="str">
        <x:v>Sabah kurbağa yemek güçlü ve komik bir metafor; Twain atfı ile üretkenlik sonucu doğrulanmalı.</x:v>
      </x:c>
      <x:c r="V230" s="46" t="str">
        <x:f>IF(Q230&lt;=3,"Kaynak kontrolü şart",IF(Q230=4,"Kaynak kontrolü önerilir","Standart doğrulama"))</x:f>
        <x:v>Kaynak kontrolü şart</x:v>
      </x:c>
    </x:row>
    <x:row r="231" ht="24" customHeight="1">
      <x:c r="A231" s="48" t="n">
        <x:f>COUNTIF($R$2:$R$751,"&gt;"&amp;R231)+COUNTIF($R$2:R231,R231)</x:f>
        <x:v>230</x:v>
      </x:c>
      <x:c r="B231" s="48" t="n">
        <x:v>1408</x:v>
      </x:c>
      <x:c r="C231" s="46" t="str">
        <x:v>Sözcüklerin büyüsü — birinci anlaşma</x:v>
      </x:c>
      <x:c r="D231" s="34" t="str">
        <x:v>Felsefe</x:v>
      </x:c>
      <x:c r="E231" s="34" t="str">
        <x:v>Felsefe</x:v>
      </x:c>
      <x:c r="F231" s="34" t="str">
        <x:v>Dört Anlaşma</x:v>
      </x:c>
      <x:c r="G231" s="34" t="str">
        <x:v>Don Miguel Ruiz</x:v>
      </x:c>
      <x:c r="H231" s="50" t="str">
        <x:v>1</x:v>
      </x:c>
      <x:c r="I231" s="50" t="str">
        <x:v>Temel</x:v>
      </x:c>
      <x:c r="J231" s="51" t="n">
        <x:v>13</x:v>
      </x:c>
      <x:c r="K231" s="51" t="n">
        <x:v>8</x:v>
      </x:c>
      <x:c r="L231" s="51" t="n">
        <x:v>12</x:v>
      </x:c>
      <x:c r="M231" s="51" t="n">
        <x:v>11</x:v>
      </x:c>
      <x:c r="N231" s="51" t="n">
        <x:v>10</x:v>
      </x:c>
      <x:c r="O231" s="51" t="n">
        <x:v>8</x:v>
      </x:c>
      <x:c r="P231" s="51" t="n">
        <x:v>16</x:v>
      </x:c>
      <x:c r="Q231" s="51" t="n">
        <x:v>3</x:v>
      </x:c>
      <x:c r="R231" s="52" t="n">
        <x:f>SUM(J231:Q231)</x:f>
        <x:v>81</x:v>
      </x:c>
      <x:c r="S231" s="50" t="str">
        <x:f>IF(R231&gt;='Rubrik'!$B$17,"Öncelikli video",IF(R231&gt;='Rubrik'!$B$18,"Video kuyruğu",IF(R231&gt;='Rubrik'!$B$19,"Revize et",IF(R231&gt;='Rubrik'!$B$20,"Kartla test","Düşük öncelik"))))</x:f>
        <x:v>Revize et</x:v>
      </x:c>
      <x:c r="T231" s="50" t="str">
        <x:f>IF(AND(R231&gt;=85,P231&gt;=16,M231&gt;=12,L231&gt;=12),"Reel + Carousel",IF(AND(R231&gt;=85,P231&gt;=16,N231&gt;=8),"Soru odaklı Reel",IF(AND(R231&gt;=85,P231&gt;=16),"Reel / Short",IF(M231&gt;=11,"Carousel","Kart testi"))))</x:f>
        <x:v>Carousel</x:v>
      </x:c>
      <x:c r="U231" s="46" t="str">
        <x:v>Bir cümlenin kırk yıllık sessizliği duygusal ve unutulmaz; örnek gerçek olay gibi sunulmadan çerçevelenmeli.</x:v>
      </x:c>
      <x:c r="V231" s="46" t="str">
        <x:f>IF(Q231&lt;=3,"Kaynak kontrolü şart",IF(Q231=4,"Kaynak kontrolü önerilir","Standart doğrulama"))</x:f>
        <x:v>Kaynak kontrolü şart</x:v>
      </x:c>
    </x:row>
    <x:row r="232" ht="24" customHeight="1">
      <x:c r="A232" s="48" t="n">
        <x:f>COUNTIF($R$2:$R$751,"&gt;"&amp;R232)+COUNTIF($R$2:R232,R232)</x:f>
        <x:v>231</x:v>
      </x:c>
      <x:c r="B232" s="48" t="n">
        <x:v>1429</x:v>
      </x:c>
      <x:c r="C232" s="46" t="str">
        <x:v>Terapistin kendi terapisti</x:v>
      </x:c>
      <x:c r="D232" s="34" t="str">
        <x:v>Psikoloji</x:v>
      </x:c>
      <x:c r="E232" s="34" t="str">
        <x:v>Psikoloji</x:v>
      </x:c>
      <x:c r="F232" s="34" t="str">
        <x:v>Terapi</x:v>
      </x:c>
      <x:c r="G232" s="34" t="str">
        <x:v>Lori Gottlieb</x:v>
      </x:c>
      <x:c r="H232" s="50" t="str">
        <x:v>1</x:v>
      </x:c>
      <x:c r="I232" s="50" t="str">
        <x:v>Temel</x:v>
      </x:c>
      <x:c r="J232" s="51" t="n">
        <x:v>13</x:v>
      </x:c>
      <x:c r="K232" s="51" t="n">
        <x:v>8</x:v>
      </x:c>
      <x:c r="L232" s="51" t="n">
        <x:v>12</x:v>
      </x:c>
      <x:c r="M232" s="51" t="n">
        <x:v>10</x:v>
      </x:c>
      <x:c r="N232" s="51" t="n">
        <x:v>10</x:v>
      </x:c>
      <x:c r="O232" s="51" t="n">
        <x:v>8</x:v>
      </x:c>
      <x:c r="P232" s="51" t="n">
        <x:v>16</x:v>
      </x:c>
      <x:c r="Q232" s="51" t="n">
        <x:v>4</x:v>
      </x:c>
      <x:c r="R232" s="52" t="n">
        <x:f>SUM(J232:Q232)</x:f>
        <x:v>81</x:v>
      </x:c>
      <x:c r="S232" s="50" t="str">
        <x:f>IF(R232&gt;='Rubrik'!$B$17,"Öncelikli video",IF(R232&gt;='Rubrik'!$B$18,"Video kuyruğu",IF(R232&gt;='Rubrik'!$B$19,"Revize et",IF(R232&gt;='Rubrik'!$B$20,"Kartla test","Düşük öncelik"))))</x:f>
        <x:v>Revize et</x:v>
      </x:c>
      <x:c r="T232" s="50" t="str">
        <x:f>IF(AND(R232&gt;=85,P232&gt;=16,M232&gt;=12,L232&gt;=12),"Reel + Carousel",IF(AND(R232&gt;=85,P232&gt;=16,N232&gt;=8),"Soru odaklı Reel",IF(AND(R232&gt;=85,P232&gt;=16),"Reel / Short",IF(M232&gt;=11,"Carousel","Kart testi"))))</x:f>
        <x:v>Kart testi</x:v>
      </x:c>
      <x:c r="U232" s="46" t="str">
        <x:v>Terapistin danışan koltuğuna geçmesi güçlü kırılganlık ve rol değişimi sunuyor; soru geniş kitleye uyuyor.</x:v>
      </x:c>
      <x:c r="V232" s="46" t="str">
        <x:f>IF(Q232&lt;=3,"Kaynak kontrolü şart",IF(Q232=4,"Kaynak kontrolü önerilir","Standart doğrulama"))</x:f>
        <x:v>Kaynak kontrolü önerilir</x:v>
      </x:c>
    </x:row>
    <x:row r="233" ht="24" customHeight="1">
      <x:c r="A233" s="48" t="n">
        <x:f>COUNTIF($R$2:$R$751,"&gt;"&amp;R233)+COUNTIF($R$2:R233,R233)</x:f>
        <x:v>232</x:v>
      </x:c>
      <x:c r="B233" s="48" t="n">
        <x:v>1059</x:v>
      </x:c>
      <x:c r="C233" s="46" t="str">
        <x:v>Britanya bisiklet takımının yüzde iki felsefesi</x:v>
      </x:c>
      <x:c r="D233" s="34" t="str">
        <x:v>Sağlık</x:v>
      </x:c>
      <x:c r="E233" s="34" t="str">
        <x:v>Alışkanlıklar</x:v>
      </x:c>
      <x:c r="F233" s="34" t="str">
        <x:v>Atomic Habits</x:v>
      </x:c>
      <x:c r="G233" s="34" t="str">
        <x:v>James Clear</x:v>
      </x:c>
      <x:c r="H233" s="50" t="str">
        <x:v>1</x:v>
      </x:c>
      <x:c r="I233" s="50" t="str">
        <x:v>Temel</x:v>
      </x:c>
      <x:c r="J233" s="51" t="n">
        <x:v>14</x:v>
      </x:c>
      <x:c r="K233" s="51" t="n">
        <x:v>8</x:v>
      </x:c>
      <x:c r="L233" s="51" t="n">
        <x:v>11</x:v>
      </x:c>
      <x:c r="M233" s="51" t="n">
        <x:v>14</x:v>
      </x:c>
      <x:c r="N233" s="51" t="n">
        <x:v>9</x:v>
      </x:c>
      <x:c r="O233" s="51" t="n">
        <x:v>7</x:v>
      </x:c>
      <x:c r="P233" s="51" t="n">
        <x:v>16</x:v>
      </x:c>
      <x:c r="Q233" s="51" t="n">
        <x:v>2</x:v>
      </x:c>
      <x:c r="R233" s="52" t="n">
        <x:f>SUM(J233:Q233)</x:f>
        <x:v>81</x:v>
      </x:c>
      <x:c r="S233" s="50" t="str">
        <x:f>IF(R233&gt;='Rubrik'!$B$17,"Öncelikli video",IF(R233&gt;='Rubrik'!$B$18,"Video kuyruğu",IF(R233&gt;='Rubrik'!$B$19,"Revize et",IF(R233&gt;='Rubrik'!$B$20,"Kartla test","Düşük öncelik"))))</x:f>
        <x:v>Revize et</x:v>
      </x:c>
      <x:c r="T233" s="50" t="str">
        <x:f>IF(AND(R233&gt;=85,P233&gt;=16,M233&gt;=12,L233&gt;=12),"Reel + Carousel",IF(AND(R233&gt;=85,P233&gt;=16,N233&gt;=8),"Soru odaklı Reel",IF(AND(R233&gt;=85,P233&gt;=16),"Reel / Short",IF(M233&gt;=11,"Carousel","Kart testi"))))</x:f>
        <x:v>Carousel</x:v>
      </x:c>
      <x:c r="U233" s="46" t="str">
        <x:v>76 yıllık yenilgiden olimpiyat zaferine dönüşüm güçlü; yüzde iki ve madalya anlatısı kaynakla netleştirilmeli.</x:v>
      </x:c>
      <x:c r="V233" s="46" t="str">
        <x:f>IF(Q233&lt;=3,"Kaynak kontrolü şart",IF(Q233=4,"Kaynak kontrolü önerilir","Standart doğrulama"))</x:f>
        <x:v>Kaynak kontrolü şart</x:v>
      </x:c>
    </x:row>
    <x:row r="234" ht="24" customHeight="1">
      <x:c r="A234" s="48" t="n">
        <x:f>COUNTIF($R$2:$R$751,"&gt;"&amp;R234)+COUNTIF($R$2:R234,R234)</x:f>
        <x:v>233</x:v>
      </x:c>
      <x:c r="B234" s="48" t="n">
        <x:v>1581</x:v>
      </x:c>
      <x:c r="C234" s="46" t="str">
        <x:v>Geri çekilme hakkı — en güçlü satış cümlesi</x:v>
      </x:c>
      <x:c r="D234" s="34" t="str">
        <x:v>Finans</x:v>
      </x:c>
      <x:c r="E234" s="34" t="str">
        <x:v>Satış</x:v>
      </x:c>
      <x:c r="F234" s="34" t="str">
        <x:v>Satışın Yeni Yüzü</x:v>
      </x:c>
      <x:c r="G234" s="34" t="str">
        <x:v>Daniel Pink</x:v>
      </x:c>
      <x:c r="H234" s="50" t="str">
        <x:v>1</x:v>
      </x:c>
      <x:c r="I234" s="50" t="str">
        <x:v>Temel</x:v>
      </x:c>
      <x:c r="J234" s="51" t="n">
        <x:v>12</x:v>
      </x:c>
      <x:c r="K234" s="51" t="n">
        <x:v>7</x:v>
      </x:c>
      <x:c r="L234" s="51" t="n">
        <x:v>12</x:v>
      </x:c>
      <x:c r="M234" s="51" t="n">
        <x:v>14</x:v>
      </x:c>
      <x:c r="N234" s="51" t="n">
        <x:v>9</x:v>
      </x:c>
      <x:c r="O234" s="51" t="n">
        <x:v>7</x:v>
      </x:c>
      <x:c r="P234" s="51" t="n">
        <x:v>15</x:v>
      </x:c>
      <x:c r="Q234" s="51" t="n">
        <x:v>5</x:v>
      </x:c>
      <x:c r="R234" s="52" t="n">
        <x:f>SUM(J234:Q234)</x:f>
        <x:v>81</x:v>
      </x:c>
      <x:c r="S234" s="50" t="str">
        <x:f>IF(R234&gt;='Rubrik'!$B$17,"Öncelikli video",IF(R234&gt;='Rubrik'!$B$18,"Video kuyruğu",IF(R234&gt;='Rubrik'!$B$19,"Revize et",IF(R234&gt;='Rubrik'!$B$20,"Kartla test","Düşük öncelik"))))</x:f>
        <x:v>Revize et</x:v>
      </x:c>
      <x:c r="T234" s="50" t="str">
        <x:f>IF(AND(R234&gt;=85,P234&gt;=16,M234&gt;=12,L234&gt;=12),"Reel + Carousel",IF(AND(R234&gt;=85,P234&gt;=16,N234&gt;=8),"Soru odaklı Reel",IF(AND(R234&gt;=85,P234&gt;=16),"Reel / Short",IF(M234&gt;=11,"Carousel","Kart testi"))))</x:f>
        <x:v>Carousel</x:v>
      </x:c>
      <x:c r="U234" s="46" t="str">
        <x:v>Müşteriye vazgeçme izni veren dürüst satış yaklaşımı beklenmedik ve güven verici; diyalog videosuna çok uygun.</x:v>
      </x:c>
      <x:c r="V234" s="46" t="str">
        <x:f>IF(Q234&lt;=3,"Kaynak kontrolü şart",IF(Q234=4,"Kaynak kontrolü önerilir","Standart doğrulama"))</x:f>
        <x:v>Standart doğrulama</x:v>
      </x:c>
    </x:row>
    <x:row r="235" ht="24" customHeight="1">
      <x:c r="A235" s="48" t="n">
        <x:f>COUNTIF($R$2:$R$751,"&gt;"&amp;R235)+COUNTIF($R$2:R235,R235)</x:f>
        <x:v>234</x:v>
      </x:c>
      <x:c r="B235" s="48" t="n">
        <x:v>1608</x:v>
      </x:c>
      <x:c r="C235" s="46" t="str">
        <x:v>Zengin hayat tasarımı — paranın araç olduğunu hatırlamak</x:v>
      </x:c>
      <x:c r="D235" s="34" t="str">
        <x:v>Finans</x:v>
      </x:c>
      <x:c r="E235" s="34" t="str">
        <x:v>Finans</x:v>
      </x:c>
      <x:c r="F235" s="34" t="str">
        <x:v>Zengin Olmayı Öğrenmek</x:v>
      </x:c>
      <x:c r="G235" s="34" t="str">
        <x:v>Ramit Sethi</x:v>
      </x:c>
      <x:c r="H235" s="50" t="str">
        <x:v>1</x:v>
      </x:c>
      <x:c r="I235" s="50" t="str">
        <x:v>Temel</x:v>
      </x:c>
      <x:c r="J235" s="51" t="n">
        <x:v>12</x:v>
      </x:c>
      <x:c r="K235" s="51" t="n">
        <x:v>7</x:v>
      </x:c>
      <x:c r="L235" s="51" t="n">
        <x:v>12</x:v>
      </x:c>
      <x:c r="M235" s="51" t="n">
        <x:v>15</x:v>
      </x:c>
      <x:c r="N235" s="51" t="n">
        <x:v>9</x:v>
      </x:c>
      <x:c r="O235" s="51" t="n">
        <x:v>6</x:v>
      </x:c>
      <x:c r="P235" s="51" t="n">
        <x:v>15</x:v>
      </x:c>
      <x:c r="Q235" s="51" t="n">
        <x:v>5</x:v>
      </x:c>
      <x:c r="R235" s="52" t="n">
        <x:f>SUM(J235:Q235)</x:f>
        <x:v>81</x:v>
      </x:c>
      <x:c r="S235" s="50" t="str">
        <x:f>IF(R235&gt;='Rubrik'!$B$17,"Öncelikli video",IF(R235&gt;='Rubrik'!$B$18,"Video kuyruğu",IF(R235&gt;='Rubrik'!$B$19,"Revize et",IF(R235&gt;='Rubrik'!$B$20,"Kartla test","Düşük öncelik"))))</x:f>
        <x:v>Revize et</x:v>
      </x:c>
      <x:c r="T235" s="50" t="str">
        <x:f>IF(AND(R235&gt;=85,P235&gt;=16,M235&gt;=12,L235&gt;=12),"Reel + Carousel",IF(AND(R235&gt;=85,P235&gt;=16,N235&gt;=8),"Soru odaklı Reel",IF(AND(R235&gt;=85,P235&gt;=16),"Reel / Short",IF(M235&gt;=11,"Carousel","Kart testi"))))</x:f>
        <x:v>Carousel</x:v>
      </x:c>
      <x:c r="U235" s="46" t="str">
        <x:v>Zengin hayatı kişisel değerlerle tanımlamak parayı amaçtan araca çeviriyor; egzersizi sesli nota çok uygun.</x:v>
      </x:c>
      <x:c r="V235" s="46" t="str">
        <x:f>IF(Q235&lt;=3,"Kaynak kontrolü şart",IF(Q235=4,"Kaynak kontrolü önerilir","Standart doğrulama"))</x:f>
        <x:v>Standart doğrulama</x:v>
      </x:c>
    </x:row>
    <x:row r="236" ht="24" customHeight="1">
      <x:c r="A236" s="48" t="n">
        <x:f>COUNTIF($R$2:$R$751,"&gt;"&amp;R236)+COUNTIF($R$2:R236,R236)</x:f>
        <x:v>235</x:v>
      </x:c>
      <x:c r="B236" s="48" t="n">
        <x:v>1067</x:v>
      </x:c>
      <x:c r="C236" s="46" t="str">
        <x:v>Ertelemenin gerçek kökü: korku</x:v>
      </x:c>
      <x:c r="D236" s="34" t="str">
        <x:v>Verimlilik</x:v>
      </x:c>
      <x:c r="E236" s="34" t="str">
        <x:v>Verimlilik</x:v>
      </x:c>
      <x:c r="F236" s="34" t="str">
        <x:v>Şimdi Başla</x:v>
      </x:c>
      <x:c r="G236" s="34" t="str">
        <x:v>Neil Fiore</x:v>
      </x:c>
      <x:c r="H236" s="50" t="str">
        <x:v>1</x:v>
      </x:c>
      <x:c r="I236" s="50" t="str">
        <x:v>Temel</x:v>
      </x:c>
      <x:c r="J236" s="51" t="n">
        <x:v>13</x:v>
      </x:c>
      <x:c r="K236" s="51" t="n">
        <x:v>9</x:v>
      </x:c>
      <x:c r="L236" s="51" t="n">
        <x:v>11</x:v>
      </x:c>
      <x:c r="M236" s="51" t="n">
        <x:v>13</x:v>
      </x:c>
      <x:c r="N236" s="51" t="n">
        <x:v>10</x:v>
      </x:c>
      <x:c r="O236" s="51" t="n">
        <x:v>7</x:v>
      </x:c>
      <x:c r="P236" s="51" t="n">
        <x:v>15</x:v>
      </x:c>
      <x:c r="Q236" s="51" t="n">
        <x:v>3</x:v>
      </x:c>
      <x:c r="R236" s="52" t="n">
        <x:f>SUM(J236:Q236)</x:f>
        <x:v>81</x:v>
      </x:c>
      <x:c r="S236" s="50" t="str">
        <x:f>IF(R236&gt;='Rubrik'!$B$17,"Öncelikli video",IF(R236&gt;='Rubrik'!$B$18,"Video kuyruğu",IF(R236&gt;='Rubrik'!$B$19,"Revize et",IF(R236&gt;='Rubrik'!$B$20,"Kartla test","Düşük öncelik"))))</x:f>
        <x:v>Revize et</x:v>
      </x:c>
      <x:c r="T236" s="50" t="str">
        <x:f>IF(AND(R236&gt;=85,P236&gt;=16,M236&gt;=12,L236&gt;=12),"Reel + Carousel",IF(AND(R236&gt;=85,P236&gt;=16,N236&gt;=8),"Soru odaklı Reel",IF(AND(R236&gt;=85,P236&gt;=16),"Reel / Short",IF(M236&gt;=11,"Carousel","Kart testi"))))</x:f>
        <x:v>Carousel</x:v>
      </x:c>
      <x:c r="U236" s="46" t="str">
        <x:v>Ertelemenin ardındaki yeterli olmama korkusu çok relatable, duygusal ve sesli öz değerlendirmeye açık.</x:v>
      </x:c>
      <x:c r="V236" s="46" t="str">
        <x:f>IF(Q236&lt;=3,"Kaynak kontrolü şart",IF(Q236=4,"Kaynak kontrolü önerilir","Standart doğrulama"))</x:f>
        <x:v>Kaynak kontrolü şart</x:v>
      </x:c>
    </x:row>
    <x:row r="237" ht="24" customHeight="1">
      <x:c r="A237" s="48" t="n">
        <x:f>COUNTIF($R$2:$R$751,"&gt;"&amp;R237)+COUNTIF($R$2:R237,R237)</x:f>
        <x:v>236</x:v>
      </x:c>
      <x:c r="B237" s="48" t="n">
        <x:v>1110</x:v>
      </x:c>
      <x:c r="C237" s="46" t="str">
        <x:v>Öfke döngüsü ve nörolojik kaçırılma</x:v>
      </x:c>
      <x:c r="D237" s="34" t="str">
        <x:v>Psikoloji</x:v>
      </x:c>
      <x:c r="E237" s="34" t="str">
        <x:v>Psikoloji</x:v>
      </x:c>
      <x:c r="F237" s="34" t="str">
        <x:v>Emotional Intelligence</x:v>
      </x:c>
      <x:c r="G237" s="34" t="str">
        <x:v>Daniel Goleman</x:v>
      </x:c>
      <x:c r="H237" s="50" t="str">
        <x:v>1</x:v>
      </x:c>
      <x:c r="I237" s="50" t="str">
        <x:v>Temel</x:v>
      </x:c>
      <x:c r="J237" s="51" t="n">
        <x:v>13</x:v>
      </x:c>
      <x:c r="K237" s="51" t="n">
        <x:v>8</x:v>
      </x:c>
      <x:c r="L237" s="51" t="n">
        <x:v>11</x:v>
      </x:c>
      <x:c r="M237" s="51" t="n">
        <x:v>14</x:v>
      </x:c>
      <x:c r="N237" s="51" t="n">
        <x:v>10</x:v>
      </x:c>
      <x:c r="O237" s="51" t="n">
        <x:v>7</x:v>
      </x:c>
      <x:c r="P237" s="51" t="n">
        <x:v>15</x:v>
      </x:c>
      <x:c r="Q237" s="51" t="n">
        <x:v>3</x:v>
      </x:c>
      <x:c r="R237" s="52" t="n">
        <x:f>SUM(J237:Q237)</x:f>
        <x:v>81</x:v>
      </x:c>
      <x:c r="S237" s="50" t="str">
        <x:f>IF(R237&gt;='Rubrik'!$B$17,"Öncelikli video",IF(R237&gt;='Rubrik'!$B$18,"Video kuyruğu",IF(R237&gt;='Rubrik'!$B$19,"Revize et",IF(R237&gt;='Rubrik'!$B$20,"Kartla test","Düşük öncelik"))))</x:f>
        <x:v>Revize et</x:v>
      </x:c>
      <x:c r="T237" s="50" t="str">
        <x:f>IF(AND(R237&gt;=85,P237&gt;=16,M237&gt;=12,L237&gt;=12),"Reel + Carousel",IF(AND(R237&gt;=85,P237&gt;=16,N237&gt;=8),"Soru odaklı Reel",IF(AND(R237&gt;=85,P237&gt;=16),"Reel / Short",IF(M237&gt;=11,"Carousel","Kart testi"))))</x:f>
        <x:v>Carousel</x:v>
      </x:c>
      <x:c r="U237" s="46" t="str">
        <x:v>Öfke sonrası pişmanlık evrensel, nörolojik çerçeve akılda kalıcı ve pratik mola önerisi kaydedilir.</x:v>
      </x:c>
      <x:c r="V237" s="46" t="str">
        <x:f>IF(Q237&lt;=3,"Kaynak kontrolü şart",IF(Q237=4,"Kaynak kontrolü önerilir","Standart doğrulama"))</x:f>
        <x:v>Kaynak kontrolü şart</x:v>
      </x:c>
    </x:row>
    <x:row r="238" ht="24" customHeight="1">
      <x:c r="A238" s="48" t="n">
        <x:f>COUNTIF($R$2:$R$751,"&gt;"&amp;R238)+COUNTIF($R$2:R238,R238)</x:f>
        <x:v>237</x:v>
      </x:c>
      <x:c r="B238" s="48" t="n">
        <x:v>1194</x:v>
      </x:c>
      <x:c r="C238" s="46" t="str">
        <x:v>Marcus Aurelius'un mektupları</x:v>
      </x:c>
      <x:c r="D238" s="34" t="str">
        <x:v>Felsefe</x:v>
      </x:c>
      <x:c r="E238" s="34" t="str">
        <x:v>Felsefe</x:v>
      </x:c>
      <x:c r="F238" s="34" t="str">
        <x:v>Engel Yolu Açar</x:v>
      </x:c>
      <x:c r="G238" s="34" t="str">
        <x:v>Ryan Holiday</x:v>
      </x:c>
      <x:c r="H238" s="50" t="str">
        <x:v>1</x:v>
      </x:c>
      <x:c r="I238" s="50" t="str">
        <x:v>Temel</x:v>
      </x:c>
      <x:c r="J238" s="51" t="n">
        <x:v>13</x:v>
      </x:c>
      <x:c r="K238" s="51" t="n">
        <x:v>8</x:v>
      </x:c>
      <x:c r="L238" s="51" t="n">
        <x:v>11</x:v>
      </x:c>
      <x:c r="M238" s="51" t="n">
        <x:v>13</x:v>
      </x:c>
      <x:c r="N238" s="51" t="n">
        <x:v>10</x:v>
      </x:c>
      <x:c r="O238" s="51" t="n">
        <x:v>7</x:v>
      </x:c>
      <x:c r="P238" s="51" t="n">
        <x:v>15</x:v>
      </x:c>
      <x:c r="Q238" s="51" t="n">
        <x:v>4</x:v>
      </x:c>
      <x:c r="R238" s="52" t="n">
        <x:f>SUM(J238:Q238)</x:f>
        <x:v>81</x:v>
      </x:c>
      <x:c r="S238" s="50" t="str">
        <x:f>IF(R238&gt;='Rubrik'!$B$17,"Öncelikli video",IF(R238&gt;='Rubrik'!$B$18,"Video kuyruğu",IF(R238&gt;='Rubrik'!$B$19,"Revize et",IF(R238&gt;='Rubrik'!$B$20,"Kartla test","Düşük öncelik"))))</x:f>
        <x:v>Revize et</x:v>
      </x:c>
      <x:c r="T238" s="50" t="str">
        <x:f>IF(AND(R238&gt;=85,P238&gt;=16,M238&gt;=12,L238&gt;=12),"Reel + Carousel",IF(AND(R238&gt;=85,P238&gt;=16,N238&gt;=8),"Soru odaklı Reel",IF(AND(R238&gt;=85,P238&gt;=16),"Reel / Short",IF(M238&gt;=11,"Carousel","Kart testi"))))</x:f>
        <x:v>Carousel</x:v>
      </x:c>
      <x:c r="U238" s="46" t="str">
        <x:v>İstemediği tahtta krizleri günlüğe dönüştüren imparator güçlü; engel sorusu kişisel kayıt çağırıyor.</x:v>
      </x:c>
      <x:c r="V238" s="46" t="str">
        <x:f>IF(Q238&lt;=3,"Kaynak kontrolü şart",IF(Q238=4,"Kaynak kontrolü önerilir","Standart doğrulama"))</x:f>
        <x:v>Kaynak kontrolü önerilir</x:v>
      </x:c>
    </x:row>
    <x:row r="239" ht="24" customHeight="1">
      <x:c r="A239" s="48" t="n">
        <x:f>COUNTIF($R$2:$R$751,"&gt;"&amp;R239)+COUNTIF($R$2:R239,R239)</x:f>
        <x:v>238</x:v>
      </x:c>
      <x:c r="B239" s="48" t="n">
        <x:v>1230</x:v>
      </x:c>
      <x:c r="C239" s="46" t="str">
        <x:v>Su gibi olmak</x:v>
      </x:c>
      <x:c r="D239" s="34" t="str">
        <x:v>Liderlik</x:v>
      </x:c>
      <x:c r="E239" s="34" t="str">
        <x:v>Strateji</x:v>
      </x:c>
      <x:c r="F239" s="34" t="str">
        <x:v>Savaş Sanatı</x:v>
      </x:c>
      <x:c r="G239" s="34" t="str">
        <x:v>Sun Tzu</x:v>
      </x:c>
      <x:c r="H239" s="50" t="str">
        <x:v>1</x:v>
      </x:c>
      <x:c r="I239" s="50" t="str">
        <x:v>Temel</x:v>
      </x:c>
      <x:c r="J239" s="51" t="n">
        <x:v>13</x:v>
      </x:c>
      <x:c r="K239" s="51" t="n">
        <x:v>8</x:v>
      </x:c>
      <x:c r="L239" s="51" t="n">
        <x:v>11</x:v>
      </x:c>
      <x:c r="M239" s="51" t="n">
        <x:v>12</x:v>
      </x:c>
      <x:c r="N239" s="51" t="n">
        <x:v>10</x:v>
      </x:c>
      <x:c r="O239" s="51" t="n">
        <x:v>7</x:v>
      </x:c>
      <x:c r="P239" s="51" t="n">
        <x:v>15</x:v>
      </x:c>
      <x:c r="Q239" s="51" t="n">
        <x:v>5</x:v>
      </x:c>
      <x:c r="R239" s="52" t="n">
        <x:f>SUM(J239:Q239)</x:f>
        <x:v>81</x:v>
      </x:c>
      <x:c r="S239" s="50" t="str">
        <x:f>IF(R239&gt;='Rubrik'!$B$17,"Öncelikli video",IF(R239&gt;='Rubrik'!$B$18,"Video kuyruğu",IF(R239&gt;='Rubrik'!$B$19,"Revize et",IF(R239&gt;='Rubrik'!$B$20,"Kartla test","Düşük öncelik"))))</x:f>
        <x:v>Revize et</x:v>
      </x:c>
      <x:c r="T239" s="50" t="str">
        <x:f>IF(AND(R239&gt;=85,P239&gt;=16,M239&gt;=12,L239&gt;=12),"Reel + Carousel",IF(AND(R239&gt;=85,P239&gt;=16,N239&gt;=8),"Soru odaklı Reel",IF(AND(R239&gt;=85,P239&gt;=16),"Reel / Short",IF(M239&gt;=11,"Carousel","Kart testi"))))</x:f>
        <x:v>Carousel</x:v>
      </x:c>
      <x:c r="U239" s="46" t="str">
        <x:v>Suyun kayayı aşındırması zamansız, görsel ve her alana taşınabilen güçlü bir sohbet metaforu.</x:v>
      </x:c>
      <x:c r="V239" s="46" t="str">
        <x:f>IF(Q239&lt;=3,"Kaynak kontrolü şart",IF(Q239=4,"Kaynak kontrolü önerilir","Standart doğrulama"))</x:f>
        <x:v>Standart doğrulama</x:v>
      </x:c>
    </x:row>
    <x:row r="240" ht="24" customHeight="1">
      <x:c r="A240" s="48" t="n">
        <x:f>COUNTIF($R$2:$R$751,"&gt;"&amp;R240)+COUNTIF($R$2:R240,R240)</x:f>
        <x:v>239</x:v>
      </x:c>
      <x:c r="B240" s="48" t="n">
        <x:v>1807</x:v>
      </x:c>
      <x:c r="C240" s="46" t="str">
        <x:v>Hamburgerin Altındaki Arsa</x:v>
      </x:c>
      <x:c r="D240" s="34" t="str">
        <x:v>Liderlik</x:v>
      </x:c>
      <x:c r="E240" s="34" t="str">
        <x:v>Liderlik</x:v>
      </x:c>
      <x:c r="F240" s="34" t="str">
        <x:v>Grinding It Out</x:v>
      </x:c>
      <x:c r="G240" s="34" t="str">
        <x:v>Ray Kroc</x:v>
      </x:c>
      <x:c r="H240" s="50" t="str">
        <x:v>C2</x:v>
      </x:c>
      <x:c r="I240" s="50" t="str">
        <x:v>Zengin</x:v>
      </x:c>
      <x:c r="J240" s="51" t="n">
        <x:v>13</x:v>
      </x:c>
      <x:c r="K240" s="51" t="n">
        <x:v>5</x:v>
      </x:c>
      <x:c r="L240" s="51" t="n">
        <x:v>13</x:v>
      </x:c>
      <x:c r="M240" s="51" t="n">
        <x:v>11</x:v>
      </x:c>
      <x:c r="N240" s="51" t="n">
        <x:v>8</x:v>
      </x:c>
      <x:c r="O240" s="51" t="n">
        <x:v>7</x:v>
      </x:c>
      <x:c r="P240" s="51" t="n">
        <x:v>19</x:v>
      </x:c>
      <x:c r="Q240" s="51" t="n">
        <x:v>4</x:v>
      </x:c>
      <x:c r="R240" s="52" t="n">
        <x:f>SUM(J240:Q240)</x:f>
        <x:v>80</x:v>
      </x:c>
      <x:c r="S240" s="50" t="str">
        <x:f>IF(R240&gt;='Rubrik'!$B$17,"Öncelikli video",IF(R240&gt;='Rubrik'!$B$18,"Video kuyruğu",IF(R240&gt;='Rubrik'!$B$19,"Revize et",IF(R240&gt;='Rubrik'!$B$20,"Kartla test","Düşük öncelik"))))</x:f>
        <x:v>Revize et</x:v>
      </x:c>
      <x:c r="T240" s="50" t="str">
        <x:f>IF(AND(R240&gt;=85,P240&gt;=16,M240&gt;=12,L240&gt;=12),"Reel + Carousel",IF(AND(R240&gt;=85,P240&gt;=16,N240&gt;=8),"Soru odaklı Reel",IF(AND(R240&gt;=85,P240&gt;=16),"Reel / Short",IF(M240&gt;=11,"Carousel","Kart testi"))))</x:f>
        <x:v>Carousel</x:v>
      </x:c>
      <x:c r="U240" s="46" t="str">
        <x:v>Uygulanabilir çerçeve, hikâyeyi geri dönüp kaydetmeye değer kılıyor; olay örgüsü geliştirilmeli.</x:v>
      </x:c>
      <x:c r="V240" s="46" t="str">
        <x:f>IF(Q240&lt;=3,"Kaynak kontrolü şart",IF(Q240=4,"Kaynak kontrolü önerilir","Standart doğrulama"))</x:f>
        <x:v>Kaynak kontrolü önerilir</x:v>
      </x:c>
    </x:row>
    <x:row r="241" ht="24" customHeight="1">
      <x:c r="A241" s="48" t="n">
        <x:f>COUNTIF($R$2:$R$751,"&gt;"&amp;R241)+COUNTIF($R$2:R241,R241)</x:f>
        <x:v>240</x:v>
      </x:c>
      <x:c r="B241" s="48" t="n">
        <x:v>1747</x:v>
      </x:c>
      <x:c r="C241" s="46" t="str">
        <x:v>Bisikletçilerin Rüzgar Tüneli</x:v>
      </x:c>
      <x:c r="D241" s="34" t="str">
        <x:v>Tarih</x:v>
      </x:c>
      <x:c r="E241" s="34" t="str">
        <x:v>Tarih</x:v>
      </x:c>
      <x:c r="F241" s="34" t="str">
        <x:v>The Wright Brothers</x:v>
      </x:c>
      <x:c r="G241" s="34" t="str">
        <x:v>David McCullough</x:v>
      </x:c>
      <x:c r="H241" s="50" t="str">
        <x:v>2</x:v>
      </x:c>
      <x:c r="I241" s="50" t="str">
        <x:v>Zengin</x:v>
      </x:c>
      <x:c r="J241" s="51" t="n">
        <x:v>13</x:v>
      </x:c>
      <x:c r="K241" s="51" t="n">
        <x:v>5</x:v>
      </x:c>
      <x:c r="L241" s="51" t="n">
        <x:v>13</x:v>
      </x:c>
      <x:c r="M241" s="51" t="n">
        <x:v>11</x:v>
      </x:c>
      <x:c r="N241" s="51" t="n">
        <x:v>8</x:v>
      </x:c>
      <x:c r="O241" s="51" t="n">
        <x:v>7</x:v>
      </x:c>
      <x:c r="P241" s="51" t="n">
        <x:v>18</x:v>
      </x:c>
      <x:c r="Q241" s="51" t="n">
        <x:v>5</x:v>
      </x:c>
      <x:c r="R241" s="52" t="n">
        <x:f>SUM(J241:Q241)</x:f>
        <x:v>80</x:v>
      </x:c>
      <x:c r="S241" s="50" t="str">
        <x:f>IF(R241&gt;='Rubrik'!$B$17,"Öncelikli video",IF(R241&gt;='Rubrik'!$B$18,"Video kuyruğu",IF(R241&gt;='Rubrik'!$B$19,"Revize et",IF(R241&gt;='Rubrik'!$B$20,"Kartla test","Düşük öncelik"))))</x:f>
        <x:v>Revize et</x:v>
      </x:c>
      <x:c r="T241" s="50" t="str">
        <x:f>IF(AND(R241&gt;=85,P241&gt;=16,M241&gt;=12,L241&gt;=12),"Reel + Carousel",IF(AND(R241&gt;=85,P241&gt;=16,N241&gt;=8),"Soru odaklı Reel",IF(AND(R241&gt;=85,P241&gt;=16),"Reel / Short",IF(M241&gt;=11,"Carousel","Kart testi"))))</x:f>
        <x:v>Carousel</x:v>
      </x:c>
      <x:c r="U241" s="46" t="str">
        <x:v>Somut sahne ve sayısal ayrıntı güçlü bir video açılışı sağlıyor; olay örgüsü geliştirilmeli.</x:v>
      </x:c>
      <x:c r="V241" s="46" t="str">
        <x:f>IF(Q241&lt;=3,"Kaynak kontrolü şart",IF(Q241=4,"Kaynak kontrolü önerilir","Standart doğrulama"))</x:f>
        <x:v>Standart doğrulama</x:v>
      </x:c>
    </x:row>
    <x:row r="242" ht="24" customHeight="1">
      <x:c r="A242" s="48" t="n">
        <x:f>COUNTIF($R$2:$R$751,"&gt;"&amp;R242)+COUNTIF($R$2:R242,R242)</x:f>
        <x:v>241</x:v>
      </x:c>
      <x:c r="B242" s="48" t="n">
        <x:v>1776</x:v>
      </x:c>
      <x:c r="C242" s="46" t="str">
        <x:v>Şimdiki Bir mi, Sonraki İki mi?</x:v>
      </x:c>
      <x:c r="D242" s="34" t="str">
        <x:v>Finans</x:v>
      </x:c>
      <x:c r="E242" s="34" t="str">
        <x:v>İş &amp; Girişim</x:v>
      </x:c>
      <x:c r="F242" s="34" t="str">
        <x:v>The Marshmallow Test</x:v>
      </x:c>
      <x:c r="G242" s="34" t="str">
        <x:v>Walter Mischel</x:v>
      </x:c>
      <x:c r="H242" s="50" t="str">
        <x:v>2</x:v>
      </x:c>
      <x:c r="I242" s="50" t="str">
        <x:v>Zengin</x:v>
      </x:c>
      <x:c r="J242" s="51" t="n">
        <x:v>13</x:v>
      </x:c>
      <x:c r="K242" s="51" t="n">
        <x:v>5</x:v>
      </x:c>
      <x:c r="L242" s="51" t="n">
        <x:v>13</x:v>
      </x:c>
      <x:c r="M242" s="51" t="n">
        <x:v>10</x:v>
      </x:c>
      <x:c r="N242" s="51" t="n">
        <x:v>8</x:v>
      </x:c>
      <x:c r="O242" s="51" t="n">
        <x:v>8</x:v>
      </x:c>
      <x:c r="P242" s="51" t="n">
        <x:v>18</x:v>
      </x:c>
      <x:c r="Q242" s="51" t="n">
        <x:v>5</x:v>
      </x:c>
      <x:c r="R242" s="52" t="n">
        <x:f>SUM(J242:Q242)</x:f>
        <x:v>80</x:v>
      </x:c>
      <x:c r="S242" s="50" t="str">
        <x:f>IF(R242&gt;='Rubrik'!$B$17,"Öncelikli video",IF(R242&gt;='Rubrik'!$B$18,"Video kuyruğu",IF(R242&gt;='Rubrik'!$B$19,"Revize et",IF(R242&gt;='Rubrik'!$B$20,"Kartla test","Düşük öncelik"))))</x:f>
        <x:v>Revize et</x:v>
      </x:c>
      <x:c r="T242" s="50" t="str">
        <x:f>IF(AND(R242&gt;=85,P242&gt;=16,M242&gt;=12,L242&gt;=12),"Reel + Carousel",IF(AND(R242&gt;=85,P242&gt;=16,N242&gt;=8),"Soru odaklı Reel",IF(AND(R242&gt;=85,P242&gt;=16),"Reel / Short",IF(M242&gt;=11,"Carousel","Kart testi"))))</x:f>
        <x:v>Kart testi</x:v>
      </x:c>
      <x:c r="U242" s="46" t="str">
        <x:v>Somut sahne ve sayısal ayrıntı güçlü bir video açılışı sağlıyor; olay örgüsü yeterli.</x:v>
      </x:c>
      <x:c r="V242" s="46" t="str">
        <x:f>IF(Q242&lt;=3,"Kaynak kontrolü şart",IF(Q242=4,"Kaynak kontrolü önerilir","Standart doğrulama"))</x:f>
        <x:v>Standart doğrulama</x:v>
      </x:c>
    </x:row>
    <x:row r="243" ht="24" customHeight="1">
      <x:c r="A243" s="48" t="n">
        <x:f>COUNTIF($R$2:$R$751,"&gt;"&amp;R243)+COUNTIF($R$2:R243,R243)</x:f>
        <x:v>242</x:v>
      </x:c>
      <x:c r="B243" s="48" t="n">
        <x:v>1789</x:v>
      </x:c>
      <x:c r="C243" s="46" t="str">
        <x:v>Bedenin Yakıtı Yanlış Yere Akınca</x:v>
      </x:c>
      <x:c r="D243" s="34" t="str">
        <x:v>Sağlık</x:v>
      </x:c>
      <x:c r="E243" s="34" t="str">
        <x:v>Sağlık</x:v>
      </x:c>
      <x:c r="F243" s="34" t="str">
        <x:v>Why Zebras Don't Get Ulcers</x:v>
      </x:c>
      <x:c r="G243" s="34" t="str">
        <x:v>Robert M. Sapolsky</x:v>
      </x:c>
      <x:c r="H243" s="50" t="str">
        <x:v>F6</x:v>
      </x:c>
      <x:c r="I243" s="50" t="str">
        <x:v>Zengin</x:v>
      </x:c>
      <x:c r="J243" s="51" t="n">
        <x:v>12</x:v>
      </x:c>
      <x:c r="K243" s="51" t="n">
        <x:v>9</x:v>
      </x:c>
      <x:c r="L243" s="51" t="n">
        <x:v>13</x:v>
      </x:c>
      <x:c r="M243" s="51" t="n">
        <x:v>10</x:v>
      </x:c>
      <x:c r="N243" s="51" t="n">
        <x:v>9</x:v>
      </x:c>
      <x:c r="O243" s="51" t="n">
        <x:v>6</x:v>
      </x:c>
      <x:c r="P243" s="51" t="n">
        <x:v>18</x:v>
      </x:c>
      <x:c r="Q243" s="51" t="n">
        <x:v>3</x:v>
      </x:c>
      <x:c r="R243" s="52" t="n">
        <x:f>SUM(J243:Q243)</x:f>
        <x:v>80</x:v>
      </x:c>
      <x:c r="S243" s="50" t="str">
        <x:f>IF(R243&gt;='Rubrik'!$B$17,"Öncelikli video",IF(R243&gt;='Rubrik'!$B$18,"Video kuyruğu",IF(R243&gt;='Rubrik'!$B$19,"Revize et",IF(R243&gt;='Rubrik'!$B$20,"Kartla test","Düşük öncelik"))))</x:f>
        <x:v>Revize et</x:v>
      </x:c>
      <x:c r="T243" s="50" t="str">
        <x:f>IF(AND(R243&gt;=85,P243&gt;=16,M243&gt;=12,L243&gt;=12),"Reel + Carousel",IF(AND(R243&gt;=85,P243&gt;=16,N243&gt;=8),"Soru odaklı Reel",IF(AND(R243&gt;=85,P243&gt;=16),"Reel / Short",IF(M243&gt;=11,"Carousel","Kart testi"))))</x:f>
        <x:v>Kart testi</x:v>
      </x:c>
      <x:c r="U243" s="46" t="str">
        <x:v>Duygusal karşıtlık paylaşma ve kişisel anlatma isteğini yükseltiyor; olay örgüsü geliştirilmeli.</x:v>
      </x:c>
      <x:c r="V243" s="46" t="str">
        <x:f>IF(Q243&lt;=3,"Kaynak kontrolü şart",IF(Q243=4,"Kaynak kontrolü önerilir","Standart doğrulama"))</x:f>
        <x:v>Kaynak kontrolü şart</x:v>
      </x:c>
    </x:row>
    <x:row r="244" ht="24" customHeight="1">
      <x:c r="A244" s="48" t="n">
        <x:f>COUNTIF($R$2:$R$751,"&gt;"&amp;R244)+COUNTIF($R$2:R244,R244)</x:f>
        <x:v>243</x:v>
      </x:c>
      <x:c r="B244" s="48" t="n">
        <x:v>1805</x:v>
      </x:c>
      <x:c r="C244" s="46" t="str">
        <x:v>Menüyü Küçülten Mutfak</x:v>
      </x:c>
      <x:c r="D244" s="34" t="str">
        <x:v>Liderlik</x:v>
      </x:c>
      <x:c r="E244" s="34" t="str">
        <x:v>Liderlik</x:v>
      </x:c>
      <x:c r="F244" s="34" t="str">
        <x:v>Grinding It Out</x:v>
      </x:c>
      <x:c r="G244" s="34" t="str">
        <x:v>Ray Kroc</x:v>
      </x:c>
      <x:c r="H244" s="50" t="str">
        <x:v>C2</x:v>
      </x:c>
      <x:c r="I244" s="50" t="str">
        <x:v>Zengin</x:v>
      </x:c>
      <x:c r="J244" s="51" t="n">
        <x:v>12</x:v>
      </x:c>
      <x:c r="K244" s="51" t="n">
        <x:v>7</x:v>
      </x:c>
      <x:c r="L244" s="51" t="n">
        <x:v>13</x:v>
      </x:c>
      <x:c r="M244" s="51" t="n">
        <x:v>10</x:v>
      </x:c>
      <x:c r="N244" s="51" t="n">
        <x:v>9</x:v>
      </x:c>
      <x:c r="O244" s="51" t="n">
        <x:v>7</x:v>
      </x:c>
      <x:c r="P244" s="51" t="n">
        <x:v>18</x:v>
      </x:c>
      <x:c r="Q244" s="51" t="n">
        <x:v>4</x:v>
      </x:c>
      <x:c r="R244" s="52" t="n">
        <x:f>SUM(J244:Q244)</x:f>
        <x:v>80</x:v>
      </x:c>
      <x:c r="S244" s="50" t="str">
        <x:f>IF(R244&gt;='Rubrik'!$B$17,"Öncelikli video",IF(R244&gt;='Rubrik'!$B$18,"Video kuyruğu",IF(R244&gt;='Rubrik'!$B$19,"Revize et",IF(R244&gt;='Rubrik'!$B$20,"Kartla test","Düşük öncelik"))))</x:f>
        <x:v>Revize et</x:v>
      </x:c>
      <x:c r="T244" s="50" t="str">
        <x:f>IF(AND(R244&gt;=85,P244&gt;=16,M244&gt;=12,L244&gt;=12),"Reel + Carousel",IF(AND(R244&gt;=85,P244&gt;=16,N244&gt;=8),"Soru odaklı Reel",IF(AND(R244&gt;=85,P244&gt;=16),"Reel / Short",IF(M244&gt;=11,"Carousel","Kart testi"))))</x:f>
        <x:v>Kart testi</x:v>
      </x:c>
      <x:c r="U244" s="46" t="str">
        <x:v>Duygusal karşıtlık paylaşma ve kişisel anlatma isteğini yükseltiyor; olay örgüsü geliştirilmeli.</x:v>
      </x:c>
      <x:c r="V244" s="46" t="str">
        <x:f>IF(Q244&lt;=3,"Kaynak kontrolü şart",IF(Q244=4,"Kaynak kontrolü önerilir","Standart doğrulama"))</x:f>
        <x:v>Kaynak kontrolü önerilir</x:v>
      </x:c>
    </x:row>
    <x:row r="245" ht="24" customHeight="1">
      <x:c r="A245" s="48" t="n">
        <x:f>COUNTIF($R$2:$R$751,"&gt;"&amp;R245)+COUNTIF($R$2:R245,R245)</x:f>
        <x:v>244</x:v>
      </x:c>
      <x:c r="B245" s="48" t="n">
        <x:v>1276</x:v>
      </x:c>
      <x:c r="C245" s="46" t="str">
        <x:v>PayPal mafyasının gizemi</x:v>
      </x:c>
      <x:c r="D245" s="34" t="str">
        <x:v>Verimlilik</x:v>
      </x:c>
      <x:c r="E245" s="34" t="str">
        <x:v>Girişimcilik</x:v>
      </x:c>
      <x:c r="F245" s="34" t="str">
        <x:v>Sıfır'dan Bir'e</x:v>
      </x:c>
      <x:c r="G245" s="34" t="str">
        <x:v>Peter Thiel</x:v>
      </x:c>
      <x:c r="H245" s="50" t="str">
        <x:v>1</x:v>
      </x:c>
      <x:c r="I245" s="50" t="str">
        <x:v>Temel</x:v>
      </x:c>
      <x:c r="J245" s="51" t="n">
        <x:v>14</x:v>
      </x:c>
      <x:c r="K245" s="51" t="n">
        <x:v>7</x:v>
      </x:c>
      <x:c r="L245" s="51" t="n">
        <x:v>13</x:v>
      </x:c>
      <x:c r="M245" s="51" t="n">
        <x:v>9</x:v>
      </x:c>
      <x:c r="N245" s="51" t="n">
        <x:v>9</x:v>
      </x:c>
      <x:c r="O245" s="51" t="n">
        <x:v>8</x:v>
      </x:c>
      <x:c r="P245" s="51" t="n">
        <x:v>17</x:v>
      </x:c>
      <x:c r="Q245" s="51" t="n">
        <x:v>3</x:v>
      </x:c>
      <x:c r="R245" s="52" t="n">
        <x:f>SUM(J245:Q245)</x:f>
        <x:v>80</x:v>
      </x:c>
      <x:c r="S245" s="50" t="str">
        <x:f>IF(R245&gt;='Rubrik'!$B$17,"Öncelikli video",IF(R245&gt;='Rubrik'!$B$18,"Video kuyruğu",IF(R245&gt;='Rubrik'!$B$19,"Revize et",IF(R245&gt;='Rubrik'!$B$20,"Kartla test","Düşük öncelik"))))</x:f>
        <x:v>Revize et</x:v>
      </x:c>
      <x:c r="T245" s="50" t="str">
        <x:f>IF(AND(R245&gt;=85,P245&gt;=16,M245&gt;=12,L245&gt;=12),"Reel + Carousel",IF(AND(R245&gt;=85,P245&gt;=16,N245&gt;=8),"Soru odaklı Reel",IF(AND(R245&gt;=85,P245&gt;=16),"Reel / Short",IF(M245&gt;=11,"Carousel","Kart testi"))))</x:f>
        <x:v>Kart testi</x:v>
      </x:c>
      <x:c r="U245" s="46" t="str">
        <x:v>PayPal’dan doğan şirketler güçlü sosyal kanıt ve görsel tempo yaratıyor; nedensellik yorumu ölçülü olmalı.</x:v>
      </x:c>
      <x:c r="V245" s="46" t="str">
        <x:f>IF(Q245&lt;=3,"Kaynak kontrolü şart",IF(Q245=4,"Kaynak kontrolü önerilir","Standart doğrulama"))</x:f>
        <x:v>Kaynak kontrolü şart</x:v>
      </x:c>
    </x:row>
    <x:row r="246" ht="24" customHeight="1">
      <x:c r="A246" s="48" t="n">
        <x:f>COUNTIF($R$2:$R$751,"&gt;"&amp;R246)+COUNTIF($R$2:R246,R246)</x:f>
        <x:v>245</x:v>
      </x:c>
      <x:c r="B246" s="48" t="n">
        <x:v>1477</x:v>
      </x:c>
      <x:c r="C246" s="46" t="str">
        <x:v>Ölümsüzlük projesi</x:v>
      </x:c>
      <x:c r="D246" s="34" t="str">
        <x:v>Bilim</x:v>
      </x:c>
      <x:c r="E246" s="34" t="str">
        <x:v>Gelecek</x:v>
      </x:c>
      <x:c r="F246" s="34" t="str">
        <x:v>Homo Deus</x:v>
      </x:c>
      <x:c r="G246" s="34" t="str">
        <x:v>Yuval Noah Harari</x:v>
      </x:c>
      <x:c r="H246" s="50" t="str">
        <x:v>1</x:v>
      </x:c>
      <x:c r="I246" s="50" t="str">
        <x:v>Temel</x:v>
      </x:c>
      <x:c r="J246" s="51" t="n">
        <x:v>13</x:v>
      </x:c>
      <x:c r="K246" s="51" t="n">
        <x:v>7</x:v>
      </x:c>
      <x:c r="L246" s="51" t="n">
        <x:v>13</x:v>
      </x:c>
      <x:c r="M246" s="51" t="n">
        <x:v>11</x:v>
      </x:c>
      <x:c r="N246" s="51" t="n">
        <x:v>9</x:v>
      </x:c>
      <x:c r="O246" s="51" t="n">
        <x:v>7</x:v>
      </x:c>
      <x:c r="P246" s="51" t="n">
        <x:v>17</x:v>
      </x:c>
      <x:c r="Q246" s="51" t="n">
        <x:v>3</x:v>
      </x:c>
      <x:c r="R246" s="52" t="n">
        <x:f>SUM(J246:Q246)</x:f>
        <x:v>80</x:v>
      </x:c>
      <x:c r="S246" s="50" t="str">
        <x:f>IF(R246&gt;='Rubrik'!$B$17,"Öncelikli video",IF(R246&gt;='Rubrik'!$B$18,"Video kuyruğu",IF(R246&gt;='Rubrik'!$B$19,"Revize et",IF(R246&gt;='Rubrik'!$B$20,"Kartla test","Düşük öncelik"))))</x:f>
        <x:v>Revize et</x:v>
      </x:c>
      <x:c r="T246" s="50" t="str">
        <x:f>IF(AND(R246&gt;=85,P246&gt;=16,M246&gt;=12,L246&gt;=12),"Reel + Carousel",IF(AND(R246&gt;=85,P246&gt;=16,N246&gt;=8),"Soru odaklı Reel",IF(AND(R246&gt;=85,P246&gt;=16),"Reel / Short",IF(M246&gt;=11,"Carousel","Kart testi"))))</x:f>
        <x:v>Carousel</x:v>
      </x:c>
      <x:c r="U246" s="46" t="str">
        <x:v>Ölümsüzlük projesi ve teknoloji şirketleri güçlü gelecek merakı yaratır; spekülasyonlar açıkça ayrılmalı.</x:v>
      </x:c>
      <x:c r="V246" s="46" t="str">
        <x:f>IF(Q246&lt;=3,"Kaynak kontrolü şart",IF(Q246=4,"Kaynak kontrolü önerilir","Standart doğrulama"))</x:f>
        <x:v>Kaynak kontrolü şart</x:v>
      </x:c>
    </x:row>
    <x:row r="247" ht="24" customHeight="1">
      <x:c r="A247" s="48" t="n">
        <x:f>COUNTIF($R$2:$R$751,"&gt;"&amp;R247)+COUNTIF($R$2:R247,R247)</x:f>
        <x:v>246</x:v>
      </x:c>
      <x:c r="B247" s="48" t="n">
        <x:v>1698</x:v>
      </x:c>
      <x:c r="C247" s="46" t="str">
        <x:v>Steve Jobs'ın Kaligrafi Dersi Mac'i Nasıl Değiştirdi?</x:v>
      </x:c>
      <x:c r="D247" s="34" t="str">
        <x:v>Liderlik</x:v>
      </x:c>
      <x:c r="E247" s="34" t="str">
        <x:v>Liderlik</x:v>
      </x:c>
      <x:c r="F247" s="34" t="str">
        <x:v>Steve Jobs</x:v>
      </x:c>
      <x:c r="G247" s="34" t="str">
        <x:v>Walter Isaacson</x:v>
      </x:c>
      <x:c r="H247" s="50" t="str">
        <x:v>2</x:v>
      </x:c>
      <x:c r="I247" s="50" t="str">
        <x:v>Zengin</x:v>
      </x:c>
      <x:c r="J247" s="51" t="n">
        <x:v>12</x:v>
      </x:c>
      <x:c r="K247" s="51" t="n">
        <x:v>6</x:v>
      </x:c>
      <x:c r="L247" s="51" t="n">
        <x:v>13</x:v>
      </x:c>
      <x:c r="M247" s="51" t="n">
        <x:v>11</x:v>
      </x:c>
      <x:c r="N247" s="51" t="n">
        <x:v>9</x:v>
      </x:c>
      <x:c r="O247" s="51" t="n">
        <x:v>8</x:v>
      </x:c>
      <x:c r="P247" s="51" t="n">
        <x:v>17</x:v>
      </x:c>
      <x:c r="Q247" s="51" t="n">
        <x:v>4</x:v>
      </x:c>
      <x:c r="R247" s="52" t="n">
        <x:f>SUM(J247:Q247)</x:f>
        <x:v>80</x:v>
      </x:c>
      <x:c r="S247" s="50" t="str">
        <x:f>IF(R247&gt;='Rubrik'!$B$17,"Öncelikli video",IF(R247&gt;='Rubrik'!$B$18,"Video kuyruğu",IF(R247&gt;='Rubrik'!$B$19,"Revize et",IF(R247&gt;='Rubrik'!$B$20,"Kartla test","Düşük öncelik"))))</x:f>
        <x:v>Revize et</x:v>
      </x:c>
      <x:c r="T247" s="50" t="str">
        <x:f>IF(AND(R247&gt;=85,P247&gt;=16,M247&gt;=12,L247&gt;=12),"Reel + Carousel",IF(AND(R247&gt;=85,P247&gt;=16,N247&gt;=8),"Soru odaklı Reel",IF(AND(R247&gt;=85,P247&gt;=16),"Reel / Short",IF(M247&gt;=11,"Carousel","Kart testi"))))</x:f>
        <x:v>Carousel</x:v>
      </x:c>
      <x:c r="U247" s="46" t="str">
        <x:v>Duygusal karşıtlık paylaşma ve kişisel anlatma isteğini yükseltiyor; olay örgüsü yeterli.</x:v>
      </x:c>
      <x:c r="V247" s="46" t="str">
        <x:f>IF(Q247&lt;=3,"Kaynak kontrolü şart",IF(Q247=4,"Kaynak kontrolü önerilir","Standart doğrulama"))</x:f>
        <x:v>Kaynak kontrolü önerilir</x:v>
      </x:c>
    </x:row>
    <x:row r="248" ht="24" customHeight="1">
      <x:c r="A248" s="48" t="n">
        <x:f>COUNTIF($R$2:$R$751,"&gt;"&amp;R248)+COUNTIF($R$2:R248,R248)</x:f>
        <x:v>247</x:v>
      </x:c>
      <x:c r="B248" s="48" t="n">
        <x:v>1700</x:v>
      </x:c>
      <x:c r="C248" s="46" t="str">
        <x:v>Rastgele Yürüyen Bir Piyasa Yenilebilir mi?</x:v>
      </x:c>
      <x:c r="D248" s="34" t="str">
        <x:v>Finans</x:v>
      </x:c>
      <x:c r="E248" s="34" t="str">
        <x:v>Finans</x:v>
      </x:c>
      <x:c r="F248" s="34" t="str">
        <x:v>A Random Walk Down Wall Street</x:v>
      </x:c>
      <x:c r="G248" s="34" t="str">
        <x:v>Burton G. Malkiel</x:v>
      </x:c>
      <x:c r="H248" s="50" t="str">
        <x:v>2</x:v>
      </x:c>
      <x:c r="I248" s="50" t="str">
        <x:v>Zengin</x:v>
      </x:c>
      <x:c r="J248" s="51" t="n">
        <x:v>13</x:v>
      </x:c>
      <x:c r="K248" s="51" t="n">
        <x:v>5</x:v>
      </x:c>
      <x:c r="L248" s="51" t="n">
        <x:v>13</x:v>
      </x:c>
      <x:c r="M248" s="51" t="n">
        <x:v>11</x:v>
      </x:c>
      <x:c r="N248" s="51" t="n">
        <x:v>8</x:v>
      </x:c>
      <x:c r="O248" s="51" t="n">
        <x:v>8</x:v>
      </x:c>
      <x:c r="P248" s="51" t="n">
        <x:v>17</x:v>
      </x:c>
      <x:c r="Q248" s="51" t="n">
        <x:v>5</x:v>
      </x:c>
      <x:c r="R248" s="52" t="n">
        <x:f>SUM(J248:Q248)</x:f>
        <x:v>80</x:v>
      </x:c>
      <x:c r="S248" s="50" t="str">
        <x:f>IF(R248&gt;='Rubrik'!$B$17,"Öncelikli video",IF(R248&gt;='Rubrik'!$B$18,"Video kuyruğu",IF(R248&gt;='Rubrik'!$B$19,"Revize et",IF(R248&gt;='Rubrik'!$B$20,"Kartla test","Düşük öncelik"))))</x:f>
        <x:v>Revize et</x:v>
      </x:c>
      <x:c r="T248" s="50" t="str">
        <x:f>IF(AND(R248&gt;=85,P248&gt;=16,M248&gt;=12,L248&gt;=12),"Reel + Carousel",IF(AND(R248&gt;=85,P248&gt;=16,N248&gt;=8),"Soru odaklı Reel",IF(AND(R248&gt;=85,P248&gt;=16),"Reel / Short",IF(M248&gt;=11,"Carousel","Kart testi"))))</x:f>
        <x:v>Carousel</x:v>
      </x:c>
      <x:c r="U248" s="46" t="str">
        <x:v>Somut sahne ve sayısal ayrıntı güçlü bir video açılışı sağlıyor; olay örgüsü yeterli.</x:v>
      </x:c>
      <x:c r="V248" s="46" t="str">
        <x:f>IF(Q248&lt;=3,"Kaynak kontrolü şart",IF(Q248=4,"Kaynak kontrolü önerilir","Standart doğrulama"))</x:f>
        <x:v>Standart doğrulama</x:v>
      </x:c>
    </x:row>
    <x:row r="249" ht="24" customHeight="1">
      <x:c r="A249" s="48" t="n">
        <x:f>COUNTIF($R$2:$R$751,"&gt;"&amp;R249)+COUNTIF($R$2:R249,R249)</x:f>
        <x:v>248</x:v>
      </x:c>
      <x:c r="B249" s="48" t="n">
        <x:v>1702</x:v>
      </x:c>
      <x:c r="C249" s="46" t="str">
        <x:v>Konfor Alanı Bedenimizi Nasıl Zayıflatıyor?</x:v>
      </x:c>
      <x:c r="D249" s="34" t="str">
        <x:v>Sağlık</x:v>
      </x:c>
      <x:c r="E249" s="34" t="str">
        <x:v>Sağlık</x:v>
      </x:c>
      <x:c r="F249" s="34" t="str">
        <x:v>The Comfort Crisis</x:v>
      </x:c>
      <x:c r="G249" s="34" t="str">
        <x:v>Michael Easter</x:v>
      </x:c>
      <x:c r="H249" s="50" t="str">
        <x:v>2</x:v>
      </x:c>
      <x:c r="I249" s="50" t="str">
        <x:v>Zengin</x:v>
      </x:c>
      <x:c r="J249" s="51" t="n">
        <x:v>12</x:v>
      </x:c>
      <x:c r="K249" s="51" t="n">
        <x:v>7</x:v>
      </x:c>
      <x:c r="L249" s="51" t="n">
        <x:v>13</x:v>
      </x:c>
      <x:c r="M249" s="51" t="n">
        <x:v>11</x:v>
      </x:c>
      <x:c r="N249" s="51" t="n">
        <x:v>9</x:v>
      </x:c>
      <x:c r="O249" s="51" t="n">
        <x:v>7</x:v>
      </x:c>
      <x:c r="P249" s="51" t="n">
        <x:v>17</x:v>
      </x:c>
      <x:c r="Q249" s="51" t="n">
        <x:v>4</x:v>
      </x:c>
      <x:c r="R249" s="52" t="n">
        <x:f>SUM(J249:Q249)</x:f>
        <x:v>80</x:v>
      </x:c>
      <x:c r="S249" s="50" t="str">
        <x:f>IF(R249&gt;='Rubrik'!$B$17,"Öncelikli video",IF(R249&gt;='Rubrik'!$B$18,"Video kuyruğu",IF(R249&gt;='Rubrik'!$B$19,"Revize et",IF(R249&gt;='Rubrik'!$B$20,"Kartla test","Düşük öncelik"))))</x:f>
        <x:v>Revize et</x:v>
      </x:c>
      <x:c r="T249" s="50" t="str">
        <x:f>IF(AND(R249&gt;=85,P249&gt;=16,M249&gt;=12,L249&gt;=12),"Reel + Carousel",IF(AND(R249&gt;=85,P249&gt;=16,N249&gt;=8),"Soru odaklı Reel",IF(AND(R249&gt;=85,P249&gt;=16),"Reel / Short",IF(M249&gt;=11,"Carousel","Kart testi"))))</x:f>
        <x:v>Carousel</x:v>
      </x:c>
      <x:c r="U249" s="46" t="str">
        <x:v>Duygusal karşıtlık paylaşma ve kişisel anlatma isteğini yükseltiyor; olay örgüsü geliştirilmeli.</x:v>
      </x:c>
      <x:c r="V249" s="46" t="str">
        <x:f>IF(Q249&lt;=3,"Kaynak kontrolü şart",IF(Q249=4,"Kaynak kontrolü önerilir","Standart doğrulama"))</x:f>
        <x:v>Kaynak kontrolü önerilir</x:v>
      </x:c>
    </x:row>
    <x:row r="250" ht="24" customHeight="1">
      <x:c r="A250" s="48" t="n">
        <x:f>COUNTIF($R$2:$R$751,"&gt;"&amp;R250)+COUNTIF($R$2:R250,R250)</x:f>
        <x:v>249</x:v>
      </x:c>
      <x:c r="B250" s="48" t="n">
        <x:v>1703</x:v>
      </x:c>
      <x:c r="C250" s="46" t="str">
        <x:v>Bir Kaza James Clear’ın Alışkanlık Fikrini Nasıl Değiştirdi?</x:v>
      </x:c>
      <x:c r="D250" s="34" t="str">
        <x:v>Sağlık</x:v>
      </x:c>
      <x:c r="E250" s="34" t="str">
        <x:v>Alışkanlıklar</x:v>
      </x:c>
      <x:c r="F250" s="34" t="str">
        <x:v>Atomic Habits</x:v>
      </x:c>
      <x:c r="G250" s="34" t="str">
        <x:v>James Clear</x:v>
      </x:c>
      <x:c r="H250" s="50" t="str">
        <x:v>2</x:v>
      </x:c>
      <x:c r="I250" s="50" t="str">
        <x:v>Zengin</x:v>
      </x:c>
      <x:c r="J250" s="51" t="n">
        <x:v>12</x:v>
      </x:c>
      <x:c r="K250" s="51" t="n">
        <x:v>7</x:v>
      </x:c>
      <x:c r="L250" s="51" t="n">
        <x:v>13</x:v>
      </x:c>
      <x:c r="M250" s="51" t="n">
        <x:v>11</x:v>
      </x:c>
      <x:c r="N250" s="51" t="n">
        <x:v>8</x:v>
      </x:c>
      <x:c r="O250" s="51" t="n">
        <x:v>8</x:v>
      </x:c>
      <x:c r="P250" s="51" t="n">
        <x:v>17</x:v>
      </x:c>
      <x:c r="Q250" s="51" t="n">
        <x:v>4</x:v>
      </x:c>
      <x:c r="R250" s="52" t="n">
        <x:f>SUM(J250:Q250)</x:f>
        <x:v>80</x:v>
      </x:c>
      <x:c r="S250" s="50" t="str">
        <x:f>IF(R250&gt;='Rubrik'!$B$17,"Öncelikli video",IF(R250&gt;='Rubrik'!$B$18,"Video kuyruğu",IF(R250&gt;='Rubrik'!$B$19,"Revize et",IF(R250&gt;='Rubrik'!$B$20,"Kartla test","Düşük öncelik"))))</x:f>
        <x:v>Revize et</x:v>
      </x:c>
      <x:c r="T250" s="50" t="str">
        <x:f>IF(AND(R250&gt;=85,P250&gt;=16,M250&gt;=12,L250&gt;=12),"Reel + Carousel",IF(AND(R250&gt;=85,P250&gt;=16,N250&gt;=8),"Soru odaklı Reel",IF(AND(R250&gt;=85,P250&gt;=16),"Reel / Short",IF(M250&gt;=11,"Carousel","Kart testi"))))</x:f>
        <x:v>Carousel</x:v>
      </x:c>
      <x:c r="U250" s="46" t="str">
        <x:v>Uygulanabilir çerçeve, hikâyeyi geri dönüp kaydetmeye değer kılıyor; olay örgüsü yeterli.</x:v>
      </x:c>
      <x:c r="V250" s="46" t="str">
        <x:f>IF(Q250&lt;=3,"Kaynak kontrolü şart",IF(Q250=4,"Kaynak kontrolü önerilir","Standart doğrulama"))</x:f>
        <x:v>Kaynak kontrolü önerilir</x:v>
      </x:c>
    </x:row>
    <x:row r="251" ht="24" customHeight="1">
      <x:c r="A251" s="48" t="n">
        <x:f>COUNTIF($R$2:$R$751,"&gt;"&amp;R251)+COUNTIF($R$2:R251,R251)</x:f>
        <x:v>250</x:v>
      </x:c>
      <x:c r="B251" s="48" t="n">
        <x:v>1714</x:v>
      </x:c>
      <x:c r="C251" s="46" t="str">
        <x:v>Dinlemek Neden Konuşmaktan Daha Zordur?</x:v>
      </x:c>
      <x:c r="D251" s="34" t="str">
        <x:v>Psikoloji</x:v>
      </x:c>
      <x:c r="E251" s="34" t="str">
        <x:v>Farkındalık</x:v>
      </x:c>
      <x:c r="F251" s="34" t="str">
        <x:v>You're Not Listening</x:v>
      </x:c>
      <x:c r="G251" s="34" t="str">
        <x:v>Kate Murphy</x:v>
      </x:c>
      <x:c r="H251" s="50" t="str">
        <x:v>2</x:v>
      </x:c>
      <x:c r="I251" s="50" t="str">
        <x:v>Zengin</x:v>
      </x:c>
      <x:c r="J251" s="51" t="n">
        <x:v>12</x:v>
      </x:c>
      <x:c r="K251" s="51" t="n">
        <x:v>6</x:v>
      </x:c>
      <x:c r="L251" s="51" t="n">
        <x:v>13</x:v>
      </x:c>
      <x:c r="M251" s="51" t="n">
        <x:v>11</x:v>
      </x:c>
      <x:c r="N251" s="51" t="n">
        <x:v>8</x:v>
      </x:c>
      <x:c r="O251" s="51" t="n">
        <x:v>9</x:v>
      </x:c>
      <x:c r="P251" s="51" t="n">
        <x:v>17</x:v>
      </x:c>
      <x:c r="Q251" s="51" t="n">
        <x:v>4</x:v>
      </x:c>
      <x:c r="R251" s="52" t="n">
        <x:f>SUM(J251:Q251)</x:f>
        <x:v>80</x:v>
      </x:c>
      <x:c r="S251" s="50" t="str">
        <x:f>IF(R251&gt;='Rubrik'!$B$17,"Öncelikli video",IF(R251&gt;='Rubrik'!$B$18,"Video kuyruğu",IF(R251&gt;='Rubrik'!$B$19,"Revize et",IF(R251&gt;='Rubrik'!$B$20,"Kartla test","Düşük öncelik"))))</x:f>
        <x:v>Revize et</x:v>
      </x:c>
      <x:c r="T251" s="50" t="str">
        <x:f>IF(AND(R251&gt;=85,P251&gt;=16,M251&gt;=12,L251&gt;=12),"Reel + Carousel",IF(AND(R251&gt;=85,P251&gt;=16,N251&gt;=8),"Soru odaklı Reel",IF(AND(R251&gt;=85,P251&gt;=16),"Reel / Short",IF(M251&gt;=11,"Carousel","Kart testi"))))</x:f>
        <x:v>Carousel</x:v>
      </x:c>
      <x:c r="U251" s="46" t="str">
        <x:v>Uygulanabilir çerçeve, hikâyeyi geri dönüp kaydetmeye değer kılıyor; ilk saniye etkisi yeterli.</x:v>
      </x:c>
      <x:c r="V251" s="46" t="str">
        <x:f>IF(Q251&lt;=3,"Kaynak kontrolü şart",IF(Q251=4,"Kaynak kontrolü önerilir","Standart doğrulama"))</x:f>
        <x:v>Kaynak kontrolü önerilir</x:v>
      </x:c>
    </x:row>
    <x:row r="252" ht="24" customHeight="1">
      <x:c r="A252" s="48" t="n">
        <x:f>COUNTIF($R$2:$R$751,"&gt;"&amp;R252)+COUNTIF($R$2:R252,R252)</x:f>
        <x:v>251</x:v>
      </x:c>
      <x:c r="B252" s="48" t="n">
        <x:v>1751</x:v>
      </x:c>
      <x:c r="C252" s="46" t="str">
        <x:v>Bombardıman Altında Görünür Olmak</x:v>
      </x:c>
      <x:c r="D252" s="34" t="str">
        <x:v>Tarih</x:v>
      </x:c>
      <x:c r="E252" s="34" t="str">
        <x:v>Tarih</x:v>
      </x:c>
      <x:c r="F252" s="34" t="str">
        <x:v>The Splendid and the Vile</x:v>
      </x:c>
      <x:c r="G252" s="34" t="str">
        <x:v>Erik Larson</x:v>
      </x:c>
      <x:c r="H252" s="50" t="str">
        <x:v>2</x:v>
      </x:c>
      <x:c r="I252" s="50" t="str">
        <x:v>Zengin</x:v>
      </x:c>
      <x:c r="J252" s="51" t="n">
        <x:v>13</x:v>
      </x:c>
      <x:c r="K252" s="51" t="n">
        <x:v>6</x:v>
      </x:c>
      <x:c r="L252" s="51" t="n">
        <x:v>13</x:v>
      </x:c>
      <x:c r="M252" s="51" t="n">
        <x:v>9</x:v>
      </x:c>
      <x:c r="N252" s="51" t="n">
        <x:v>9</x:v>
      </x:c>
      <x:c r="O252" s="51" t="n">
        <x:v>8</x:v>
      </x:c>
      <x:c r="P252" s="51" t="n">
        <x:v>17</x:v>
      </x:c>
      <x:c r="Q252" s="51" t="n">
        <x:v>5</x:v>
      </x:c>
      <x:c r="R252" s="52" t="n">
        <x:f>SUM(J252:Q252)</x:f>
        <x:v>80</x:v>
      </x:c>
      <x:c r="S252" s="50" t="str">
        <x:f>IF(R252&gt;='Rubrik'!$B$17,"Öncelikli video",IF(R252&gt;='Rubrik'!$B$18,"Video kuyruğu",IF(R252&gt;='Rubrik'!$B$19,"Revize et",IF(R252&gt;='Rubrik'!$B$20,"Kartla test","Düşük öncelik"))))</x:f>
        <x:v>Revize et</x:v>
      </x:c>
      <x:c r="T252" s="50" t="str">
        <x:f>IF(AND(R252&gt;=85,P252&gt;=16,M252&gt;=12,L252&gt;=12),"Reel + Carousel",IF(AND(R252&gt;=85,P252&gt;=16,N252&gt;=8),"Soru odaklı Reel",IF(AND(R252&gt;=85,P252&gt;=16),"Reel / Short",IF(M252&gt;=11,"Carousel","Kart testi"))))</x:f>
        <x:v>Kart testi</x:v>
      </x:c>
      <x:c r="U252" s="46" t="str">
        <x:v>Somut sahne ve sayısal ayrıntı güçlü bir video açılışı sağlıyor; olay örgüsü yeterli.</x:v>
      </x:c>
      <x:c r="V252" s="46" t="str">
        <x:f>IF(Q252&lt;=3,"Kaynak kontrolü şart",IF(Q252=4,"Kaynak kontrolü önerilir","Standart doğrulama"))</x:f>
        <x:v>Standart doğrulama</x:v>
      </x:c>
    </x:row>
    <x:row r="253" ht="24" customHeight="1">
      <x:c r="A253" s="48" t="n">
        <x:f>COUNTIF($R$2:$R$751,"&gt;"&amp;R253)+COUNTIF($R$2:R253,R253)</x:f>
        <x:v>252</x:v>
      </x:c>
      <x:c r="B253" s="48" t="n">
        <x:v>1753</x:v>
      </x:c>
      <x:c r="C253" s="46" t="str">
        <x:v>Aynı Kazadan İki Farklı Gerçek</x:v>
      </x:c>
      <x:c r="D253" s="34" t="str">
        <x:v>Tarih</x:v>
      </x:c>
      <x:c r="E253" s="34" t="str">
        <x:v>Tarih</x:v>
      </x:c>
      <x:c r="F253" s="34" t="str">
        <x:v>The Wager</x:v>
      </x:c>
      <x:c r="G253" s="34" t="str">
        <x:v>David Grann</x:v>
      </x:c>
      <x:c r="H253" s="50" t="str">
        <x:v>2</x:v>
      </x:c>
      <x:c r="I253" s="50" t="str">
        <x:v>Zengin</x:v>
      </x:c>
      <x:c r="J253" s="51" t="n">
        <x:v>13</x:v>
      </x:c>
      <x:c r="K253" s="51" t="n">
        <x:v>7</x:v>
      </x:c>
      <x:c r="L253" s="51" t="n">
        <x:v>13</x:v>
      </x:c>
      <x:c r="M253" s="51" t="n">
        <x:v>9</x:v>
      </x:c>
      <x:c r="N253" s="51" t="n">
        <x:v>8</x:v>
      </x:c>
      <x:c r="O253" s="51" t="n">
        <x:v>8</x:v>
      </x:c>
      <x:c r="P253" s="51" t="n">
        <x:v>17</x:v>
      </x:c>
      <x:c r="Q253" s="51" t="n">
        <x:v>5</x:v>
      </x:c>
      <x:c r="R253" s="52" t="n">
        <x:f>SUM(J253:Q253)</x:f>
        <x:v>80</x:v>
      </x:c>
      <x:c r="S253" s="50" t="str">
        <x:f>IF(R253&gt;='Rubrik'!$B$17,"Öncelikli video",IF(R253&gt;='Rubrik'!$B$18,"Video kuyruğu",IF(R253&gt;='Rubrik'!$B$19,"Revize et",IF(R253&gt;='Rubrik'!$B$20,"Kartla test","Düşük öncelik"))))</x:f>
        <x:v>Revize et</x:v>
      </x:c>
      <x:c r="T253" s="50" t="str">
        <x:f>IF(AND(R253&gt;=85,P253&gt;=16,M253&gt;=12,L253&gt;=12),"Reel + Carousel",IF(AND(R253&gt;=85,P253&gt;=16,N253&gt;=8),"Soru odaklı Reel",IF(AND(R253&gt;=85,P253&gt;=16),"Reel / Short",IF(M253&gt;=11,"Carousel","Kart testi"))))</x:f>
        <x:v>Kart testi</x:v>
      </x:c>
      <x:c r="U253" s="46" t="str">
        <x:v>Somut sahne ve sayısal ayrıntı güçlü bir video açılışı sağlıyor; olay örgüsü yeterli.</x:v>
      </x:c>
      <x:c r="V253" s="46" t="str">
        <x:f>IF(Q253&lt;=3,"Kaynak kontrolü şart",IF(Q253=4,"Kaynak kontrolü önerilir","Standart doğrulama"))</x:f>
        <x:v>Standart doğrulama</x:v>
      </x:c>
    </x:row>
    <x:row r="254" ht="24" customHeight="1">
      <x:c r="A254" s="48" t="n">
        <x:f>COUNTIF($R$2:$R$751,"&gt;"&amp;R254)+COUNTIF($R$2:R254,R254)</x:f>
        <x:v>253</x:v>
      </x:c>
      <x:c r="B254" s="48" t="n">
        <x:v>1793</x:v>
      </x:c>
      <x:c r="C254" s="46" t="str">
        <x:v>Kapını Her Sabah Çalan Ortak</x:v>
      </x:c>
      <x:c r="D254" s="34" t="str">
        <x:v>Finans</x:v>
      </x:c>
      <x:c r="E254" s="34" t="str">
        <x:v>Finans</x:v>
      </x:c>
      <x:c r="F254" s="34" t="str">
        <x:v>The Intelligent Investor</x:v>
      </x:c>
      <x:c r="G254" s="34" t="str">
        <x:v>Benjamin Graham</x:v>
      </x:c>
      <x:c r="H254" s="50" t="str">
        <x:v>F7</x:v>
      </x:c>
      <x:c r="I254" s="50" t="str">
        <x:v>Zengin</x:v>
      </x:c>
      <x:c r="J254" s="51" t="n">
        <x:v>13</x:v>
      </x:c>
      <x:c r="K254" s="51" t="n">
        <x:v>7</x:v>
      </x:c>
      <x:c r="L254" s="51" t="n">
        <x:v>13</x:v>
      </x:c>
      <x:c r="M254" s="51" t="n">
        <x:v>10</x:v>
      </x:c>
      <x:c r="N254" s="51" t="n">
        <x:v>7</x:v>
      </x:c>
      <x:c r="O254" s="51" t="n">
        <x:v>8</x:v>
      </x:c>
      <x:c r="P254" s="51" t="n">
        <x:v>17</x:v>
      </x:c>
      <x:c r="Q254" s="51" t="n">
        <x:v>5</x:v>
      </x:c>
      <x:c r="R254" s="52" t="n">
        <x:f>SUM(J254:Q254)</x:f>
        <x:v>80</x:v>
      </x:c>
      <x:c r="S254" s="50" t="str">
        <x:f>IF(R254&gt;='Rubrik'!$B$17,"Öncelikli video",IF(R254&gt;='Rubrik'!$B$18,"Video kuyruğu",IF(R254&gt;='Rubrik'!$B$19,"Revize et",IF(R254&gt;='Rubrik'!$B$20,"Kartla test","Düşük öncelik"))))</x:f>
        <x:v>Revize et</x:v>
      </x:c>
      <x:c r="T254" s="50" t="str">
        <x:f>IF(AND(R254&gt;=85,P254&gt;=16,M254&gt;=12,L254&gt;=12),"Reel + Carousel",IF(AND(R254&gt;=85,P254&gt;=16,N254&gt;=8),"Soru odaklı Reel",IF(AND(R254&gt;=85,P254&gt;=16),"Reel / Short",IF(M254&gt;=11,"Carousel","Kart testi"))))</x:f>
        <x:v>Kart testi</x:v>
      </x:c>
      <x:c r="U254" s="46" t="str">
        <x:v>Somut sahne ve sayısal ayrıntı güçlü bir video açılışı sağlıyor; olay örgüsü yeterli.</x:v>
      </x:c>
      <x:c r="V254" s="46" t="str">
        <x:f>IF(Q254&lt;=3,"Kaynak kontrolü şart",IF(Q254=4,"Kaynak kontrolü önerilir","Standart doğrulama"))</x:f>
        <x:v>Standart doğrulama</x:v>
      </x:c>
    </x:row>
    <x:row r="255" ht="24" customHeight="1">
      <x:c r="A255" s="48" t="n">
        <x:f>COUNTIF($R$2:$R$751,"&gt;"&amp;R255)+COUNTIF($R$2:R255,R255)</x:f>
        <x:v>254</x:v>
      </x:c>
      <x:c r="B255" s="48" t="n">
        <x:v>1795</x:v>
      </x:c>
      <x:c r="C255" s="46" t="str">
        <x:v>Salondaki Ayakkabı Mağazası</x:v>
      </x:c>
      <x:c r="D255" s="34" t="str">
        <x:v>Liderlik</x:v>
      </x:c>
      <x:c r="E255" s="34" t="str">
        <x:v>Liderlik</x:v>
      </x:c>
      <x:c r="F255" s="34" t="str">
        <x:v>Delivering Happiness</x:v>
      </x:c>
      <x:c r="G255" s="34" t="str">
        <x:v>Tony Hsieh</x:v>
      </x:c>
      <x:c r="H255" s="50" t="str">
        <x:v>C1</x:v>
      </x:c>
      <x:c r="I255" s="50" t="str">
        <x:v>Zengin</x:v>
      </x:c>
      <x:c r="J255" s="51" t="n">
        <x:v>12</x:v>
      </x:c>
      <x:c r="K255" s="51" t="n">
        <x:v>7</x:v>
      </x:c>
      <x:c r="L255" s="51" t="n">
        <x:v>13</x:v>
      </x:c>
      <x:c r="M255" s="51" t="n">
        <x:v>10</x:v>
      </x:c>
      <x:c r="N255" s="51" t="n">
        <x:v>9</x:v>
      </x:c>
      <x:c r="O255" s="51" t="n">
        <x:v>8</x:v>
      </x:c>
      <x:c r="P255" s="51" t="n">
        <x:v>17</x:v>
      </x:c>
      <x:c r="Q255" s="51" t="n">
        <x:v>4</x:v>
      </x:c>
      <x:c r="R255" s="52" t="n">
        <x:f>SUM(J255:Q255)</x:f>
        <x:v>80</x:v>
      </x:c>
      <x:c r="S255" s="50" t="str">
        <x:f>IF(R255&gt;='Rubrik'!$B$17,"Öncelikli video",IF(R255&gt;='Rubrik'!$B$18,"Video kuyruğu",IF(R255&gt;='Rubrik'!$B$19,"Revize et",IF(R255&gt;='Rubrik'!$B$20,"Kartla test","Düşük öncelik"))))</x:f>
        <x:v>Revize et</x:v>
      </x:c>
      <x:c r="T255" s="50" t="str">
        <x:f>IF(AND(R255&gt;=85,P255&gt;=16,M255&gt;=12,L255&gt;=12),"Reel + Carousel",IF(AND(R255&gt;=85,P255&gt;=16,N255&gt;=8),"Soru odaklı Reel",IF(AND(R255&gt;=85,P255&gt;=16),"Reel / Short",IF(M255&gt;=11,"Carousel","Kart testi"))))</x:f>
        <x:v>Kart testi</x:v>
      </x:c>
      <x:c r="U255" s="46" t="str">
        <x:v>Duygusal karşıtlık paylaşma ve kişisel anlatma isteğini yükseltiyor; olay örgüsü yeterli.</x:v>
      </x:c>
      <x:c r="V255" s="46" t="str">
        <x:f>IF(Q255&lt;=3,"Kaynak kontrolü şart",IF(Q255=4,"Kaynak kontrolü önerilir","Standart doğrulama"))</x:f>
        <x:v>Kaynak kontrolü önerilir</x:v>
      </x:c>
    </x:row>
    <x:row r="256" ht="24" customHeight="1">
      <x:c r="A256" s="48" t="n">
        <x:f>COUNTIF($R$2:$R$751,"&gt;"&amp;R256)+COUNTIF($R$2:R256,R256)</x:f>
        <x:v>255</x:v>
      </x:c>
      <x:c r="B256" s="48" t="n">
        <x:v>1306</x:v>
      </x:c>
      <x:c r="C256" s="46" t="str">
        <x:v>Ormanın yangın ihtiyacı</x:v>
      </x:c>
      <x:c r="D256" s="34" t="str">
        <x:v>Felsefe</x:v>
      </x:c>
      <x:c r="E256" s="34" t="str">
        <x:v>Düşünme</x:v>
      </x:c>
      <x:c r="F256" s="34" t="str">
        <x:v>Antikırılgan</x:v>
      </x:c>
      <x:c r="G256" s="34" t="str">
        <x:v>Nassim Taleb</x:v>
      </x:c>
      <x:c r="H256" s="50" t="str">
        <x:v>1</x:v>
      </x:c>
      <x:c r="I256" s="50" t="str">
        <x:v>Temel</x:v>
      </x:c>
      <x:c r="J256" s="51" t="n">
        <x:v>13</x:v>
      </x:c>
      <x:c r="K256" s="51" t="n">
        <x:v>7</x:v>
      </x:c>
      <x:c r="L256" s="51" t="n">
        <x:v>12</x:v>
      </x:c>
      <x:c r="M256" s="51" t="n">
        <x:v>11</x:v>
      </x:c>
      <x:c r="N256" s="51" t="n">
        <x:v>9</x:v>
      </x:c>
      <x:c r="O256" s="51" t="n">
        <x:v>8</x:v>
      </x:c>
      <x:c r="P256" s="51" t="n">
        <x:v>17</x:v>
      </x:c>
      <x:c r="Q256" s="51" t="n">
        <x:v>3</x:v>
      </x:c>
      <x:c r="R256" s="52" t="n">
        <x:f>SUM(J256:Q256)</x:f>
        <x:v>80</x:v>
      </x:c>
      <x:c r="S256" s="50" t="str">
        <x:f>IF(R256&gt;='Rubrik'!$B$17,"Öncelikli video",IF(R256&gt;='Rubrik'!$B$18,"Video kuyruğu",IF(R256&gt;='Rubrik'!$B$19,"Revize et",IF(R256&gt;='Rubrik'!$B$20,"Kartla test","Düşük öncelik"))))</x:f>
        <x:v>Revize et</x:v>
      </x:c>
      <x:c r="T256" s="50" t="str">
        <x:f>IF(AND(R256&gt;=85,P256&gt;=16,M256&gt;=12,L256&gt;=12),"Reel + Carousel",IF(AND(R256&gt;=85,P256&gt;=16,N256&gt;=8),"Soru odaklı Reel",IF(AND(R256&gt;=85,P256&gt;=16),"Reel / Short",IF(M256&gt;=11,"Carousel","Kart testi"))))</x:f>
        <x:v>Carousel</x:v>
      </x:c>
      <x:c r="U256" s="46" t="str">
        <x:v>Küçük yangının büyük felaketi önlemesi çarpıcı; orman yönetimi ve diğer alanlara aktarım biraz basitleştirilmiş.</x:v>
      </x:c>
      <x:c r="V256" s="46" t="str">
        <x:f>IF(Q256&lt;=3,"Kaynak kontrolü şart",IF(Q256=4,"Kaynak kontrolü önerilir","Standart doğrulama"))</x:f>
        <x:v>Kaynak kontrolü şart</x:v>
      </x:c>
    </x:row>
    <x:row r="257" ht="24" customHeight="1">
      <x:c r="A257" s="48" t="n">
        <x:f>COUNTIF($R$2:$R$751,"&gt;"&amp;R257)+COUNTIF($R$2:R257,R257)</x:f>
        <x:v>256</x:v>
      </x:c>
      <x:c r="B257" s="48" t="n">
        <x:v>1309</x:v>
      </x:c>
      <x:c r="C257" s="46" t="str">
        <x:v>Salıncak ve sistem düşüncesi</x:v>
      </x:c>
      <x:c r="D257" s="34" t="str">
        <x:v>Felsefe</x:v>
      </x:c>
      <x:c r="E257" s="34" t="str">
        <x:v>Düşünme</x:v>
      </x:c>
      <x:c r="F257" s="34" t="str">
        <x:v>Thinking in Systems</x:v>
      </x:c>
      <x:c r="G257" s="34" t="str">
        <x:v>Donella Meadows</x:v>
      </x:c>
      <x:c r="H257" s="50" t="str">
        <x:v>1</x:v>
      </x:c>
      <x:c r="I257" s="50" t="str">
        <x:v>Temel</x:v>
      </x:c>
      <x:c r="J257" s="51" t="n">
        <x:v>13</x:v>
      </x:c>
      <x:c r="K257" s="51" t="n">
        <x:v>7</x:v>
      </x:c>
      <x:c r="L257" s="51" t="n">
        <x:v>12</x:v>
      </x:c>
      <x:c r="M257" s="51" t="n">
        <x:v>12</x:v>
      </x:c>
      <x:c r="N257" s="51" t="n">
        <x:v>9</x:v>
      </x:c>
      <x:c r="O257" s="51" t="n">
        <x:v>8</x:v>
      </x:c>
      <x:c r="P257" s="51" t="n">
        <x:v>17</x:v>
      </x:c>
      <x:c r="Q257" s="51" t="n">
        <x:v>2</x:v>
      </x:c>
      <x:c r="R257" s="52" t="n">
        <x:f>SUM(J257:Q257)</x:f>
        <x:v>80</x:v>
      </x:c>
      <x:c r="S257" s="50" t="str">
        <x:f>IF(R257&gt;='Rubrik'!$B$17,"Öncelikli video",IF(R257&gt;='Rubrik'!$B$18,"Video kuyruğu",IF(R257&gt;='Rubrik'!$B$19,"Revize et",IF(R257&gt;='Rubrik'!$B$20,"Kartla test","Düşük öncelik"))))</x:f>
        <x:v>Revize et</x:v>
      </x:c>
      <x:c r="T257" s="50" t="str">
        <x:f>IF(AND(R257&gt;=85,P257&gt;=16,M257&gt;=12,L257&gt;=12),"Reel + Carousel",IF(AND(R257&gt;=85,P257&gt;=16,N257&gt;=8),"Soru odaklı Reel",IF(AND(R257&gt;=85,P257&gt;=16),"Reel / Short",IF(M257&gt;=11,"Carousel","Kart testi"))))</x:f>
        <x:v>Carousel</x:v>
      </x:c>
      <x:c r="U257" s="46" t="str">
        <x:v>Salıncak yerine ağaç seçimi sistem düşüncesini çok iyi gösteriyor; örneğin Meadows kaynağı teyit edilmeli.</x:v>
      </x:c>
      <x:c r="V257" s="46" t="str">
        <x:f>IF(Q257&lt;=3,"Kaynak kontrolü şart",IF(Q257=4,"Kaynak kontrolü önerilir","Standart doğrulama"))</x:f>
        <x:v>Kaynak kontrolü şart</x:v>
      </x:c>
    </x:row>
    <x:row r="258" ht="24" customHeight="1">
      <x:c r="A258" s="48" t="n">
        <x:f>COUNTIF($R$2:$R$751,"&gt;"&amp;R258)+COUNTIF($R$2:R258,R258)</x:f>
        <x:v>257</x:v>
      </x:c>
      <x:c r="B258" s="48" t="n">
        <x:v>1354</x:v>
      </x:c>
      <x:c r="C258" s="46" t="str">
        <x:v>Ferrari sahibinin manastır ziyareti</x:v>
      </x:c>
      <x:c r="D258" s="34" t="str">
        <x:v>Büyüme</x:v>
      </x:c>
      <x:c r="E258" s="34" t="str">
        <x:v>İlham</x:v>
      </x:c>
      <x:c r="F258" s="34" t="str">
        <x:v>Lider Yok Köle Yok</x:v>
      </x:c>
      <x:c r="G258" s="34" t="str">
        <x:v>Robin Sharma</x:v>
      </x:c>
      <x:c r="H258" s="50" t="str">
        <x:v>1</x:v>
      </x:c>
      <x:c r="I258" s="50" t="str">
        <x:v>Temel</x:v>
      </x:c>
      <x:c r="J258" s="51" t="n">
        <x:v>13</x:v>
      </x:c>
      <x:c r="K258" s="51" t="n">
        <x:v>8</x:v>
      </x:c>
      <x:c r="L258" s="51" t="n">
        <x:v>11</x:v>
      </x:c>
      <x:c r="M258" s="51" t="n">
        <x:v>8</x:v>
      </x:c>
      <x:c r="N258" s="51" t="n">
        <x:v>9</x:v>
      </x:c>
      <x:c r="O258" s="51" t="n">
        <x:v>9</x:v>
      </x:c>
      <x:c r="P258" s="51" t="n">
        <x:v>17</x:v>
      </x:c>
      <x:c r="Q258" s="51" t="n">
        <x:v>5</x:v>
      </x:c>
      <x:c r="R258" s="52" t="n">
        <x:f>SUM(J258:Q258)</x:f>
        <x:v>80</x:v>
      </x:c>
      <x:c r="S258" s="50" t="str">
        <x:f>IF(R258&gt;='Rubrik'!$B$17,"Öncelikli video",IF(R258&gt;='Rubrik'!$B$18,"Video kuyruğu",IF(R258&gt;='Rubrik'!$B$19,"Revize et",IF(R258&gt;='Rubrik'!$B$20,"Kartla test","Düşük öncelik"))))</x:f>
        <x:v>Revize et</x:v>
      </x:c>
      <x:c r="T258" s="50" t="str">
        <x:f>IF(AND(R258&gt;=85,P258&gt;=16,M258&gt;=12,L258&gt;=12),"Reel + Carousel",IF(AND(R258&gt;=85,P258&gt;=16,N258&gt;=8),"Soru odaklı Reel",IF(AND(R258&gt;=85,P258&gt;=16),"Reel / Short",IF(M258&gt;=11,"Carousel","Kart testi"))))</x:f>
        <x:v>Kart testi</x:v>
      </x:c>
      <x:c r="U258" s="46" t="str">
        <x:v>Kalp krizinden Himalaya’ya giden kurmaca dönüş sinematik ve duygusal; mesaj tanıdık olsa da bağlam açık.</x:v>
      </x:c>
      <x:c r="V258" s="46" t="str">
        <x:f>IF(Q258&lt;=3,"Kaynak kontrolü şart",IF(Q258=4,"Kaynak kontrolü önerilir","Standart doğrulama"))</x:f>
        <x:v>Standart doğrulama</x:v>
      </x:c>
    </x:row>
    <x:row r="259" ht="24" customHeight="1">
      <x:c r="A259" s="48" t="n">
        <x:f>COUNTIF($R$2:$R$751,"&gt;"&amp;R259)+COUNTIF($R$2:R259,R259)</x:f>
        <x:v>258</x:v>
      </x:c>
      <x:c r="B259" s="48" t="n">
        <x:v>1260</x:v>
      </x:c>
      <x:c r="C259" s="46" t="str">
        <x:v>Napoleon'ın e-posta kuralı</x:v>
      </x:c>
      <x:c r="D259" s="34" t="str">
        <x:v>Felsefe</x:v>
      </x:c>
      <x:c r="E259" s="34" t="str">
        <x:v>Felsefe</x:v>
      </x:c>
      <x:c r="F259" s="34" t="str">
        <x:v>Stillness Is the Key</x:v>
      </x:c>
      <x:c r="G259" s="34" t="str">
        <x:v>Ryan Holiday</x:v>
      </x:c>
      <x:c r="H259" s="50" t="str">
        <x:v>1</x:v>
      </x:c>
      <x:c r="I259" s="50" t="str">
        <x:v>Temel</x:v>
      </x:c>
      <x:c r="J259" s="51" t="n">
        <x:v>13</x:v>
      </x:c>
      <x:c r="K259" s="51" t="n">
        <x:v>7</x:v>
      </x:c>
      <x:c r="L259" s="51" t="n">
        <x:v>13</x:v>
      </x:c>
      <x:c r="M259" s="51" t="n">
        <x:v>13</x:v>
      </x:c>
      <x:c r="N259" s="51" t="n">
        <x:v>8</x:v>
      </x:c>
      <x:c r="O259" s="51" t="n">
        <x:v>8</x:v>
      </x:c>
      <x:c r="P259" s="51" t="n">
        <x:v>16</x:v>
      </x:c>
      <x:c r="Q259" s="51" t="n">
        <x:v>2</x:v>
      </x:c>
      <x:c r="R259" s="52" t="n">
        <x:f>SUM(J259:Q259)</x:f>
        <x:v>80</x:v>
      </x:c>
      <x:c r="S259" s="50" t="str">
        <x:f>IF(R259&gt;='Rubrik'!$B$17,"Öncelikli video",IF(R259&gt;='Rubrik'!$B$18,"Video kuyruğu",IF(R259&gt;='Rubrik'!$B$19,"Revize et",IF(R259&gt;='Rubrik'!$B$20,"Kartla test","Düşük öncelik"))))</x:f>
        <x:v>Revize et</x:v>
      </x:c>
      <x:c r="T259" s="50" t="str">
        <x:f>IF(AND(R259&gt;=85,P259&gt;=16,M259&gt;=12,L259&gt;=12),"Reel + Carousel",IF(AND(R259&gt;=85,P259&gt;=16,N259&gt;=8),"Soru odaklı Reel",IF(AND(R259&gt;=85,P259&gt;=16),"Reel / Short",IF(M259&gt;=11,"Carousel","Kart testi"))))</x:f>
        <x:v>Carousel</x:v>
      </x:c>
      <x:c r="U259" s="46" t="str">
        <x:v>“Napoleon’ın e-posta kuralı” güncel ve çok paylaşılabilir; üç hafta anekdotunun kaynağı doğrulanmalı.</x:v>
      </x:c>
      <x:c r="V259" s="46" t="str">
        <x:f>IF(Q259&lt;=3,"Kaynak kontrolü şart",IF(Q259=4,"Kaynak kontrolü önerilir","Standart doğrulama"))</x:f>
        <x:v>Kaynak kontrolü şart</x:v>
      </x:c>
    </x:row>
    <x:row r="260" ht="24" customHeight="1">
      <x:c r="A260" s="48" t="n">
        <x:f>COUNTIF($R$2:$R$751,"&gt;"&amp;R260)+COUNTIF($R$2:R260,R260)</x:f>
        <x:v>259</x:v>
      </x:c>
      <x:c r="B260" s="48" t="n">
        <x:v>1478</x:v>
      </x:c>
      <x:c r="C260" s="46" t="str">
        <x:v>Veri dini ve algoritmik otorite</x:v>
      </x:c>
      <x:c r="D260" s="34" t="str">
        <x:v>Bilim</x:v>
      </x:c>
      <x:c r="E260" s="34" t="str">
        <x:v>Gelecek</x:v>
      </x:c>
      <x:c r="F260" s="34" t="str">
        <x:v>Homo Deus</x:v>
      </x:c>
      <x:c r="G260" s="34" t="str">
        <x:v>Yuval Noah Harari</x:v>
      </x:c>
      <x:c r="H260" s="50" t="str">
        <x:v>1</x:v>
      </x:c>
      <x:c r="I260" s="50" t="str">
        <x:v>Temel</x:v>
      </x:c>
      <x:c r="J260" s="51" t="n">
        <x:v>13</x:v>
      </x:c>
      <x:c r="K260" s="51" t="n">
        <x:v>7</x:v>
      </x:c>
      <x:c r="L260" s="51" t="n">
        <x:v>13</x:v>
      </x:c>
      <x:c r="M260" s="51" t="n">
        <x:v>12</x:v>
      </x:c>
      <x:c r="N260" s="51" t="n">
        <x:v>9</x:v>
      </x:c>
      <x:c r="O260" s="51" t="n">
        <x:v>7</x:v>
      </x:c>
      <x:c r="P260" s="51" t="n">
        <x:v>16</x:v>
      </x:c>
      <x:c r="Q260" s="51" t="n">
        <x:v>3</x:v>
      </x:c>
      <x:c r="R260" s="52" t="n">
        <x:f>SUM(J260:Q260)</x:f>
        <x:v>80</x:v>
      </x:c>
      <x:c r="S260" s="50" t="str">
        <x:f>IF(R260&gt;='Rubrik'!$B$17,"Öncelikli video",IF(R260&gt;='Rubrik'!$B$18,"Video kuyruğu",IF(R260&gt;='Rubrik'!$B$19,"Revize et",IF(R260&gt;='Rubrik'!$B$20,"Kartla test","Düşük öncelik"))))</x:f>
        <x:v>Revize et</x:v>
      </x:c>
      <x:c r="T260" s="50" t="str">
        <x:f>IF(AND(R260&gt;=85,P260&gt;=16,M260&gt;=12,L260&gt;=12),"Reel + Carousel",IF(AND(R260&gt;=85,P260&gt;=16,N260&gt;=8),"Soru odaklı Reel",IF(AND(R260&gt;=85,P260&gt;=16),"Reel / Short",IF(M260&gt;=11,"Carousel","Kart testi"))))</x:f>
        <x:v>Carousel</x:v>
      </x:c>
      <x:c r="U260" s="46" t="str">
        <x:v>Algoritmaların bizi bizden iyi tanıması ürpertici ve güncel; veriizm iddiaları nüanslı verilirse çok paylaşılır.</x:v>
      </x:c>
      <x:c r="V260" s="46" t="str">
        <x:f>IF(Q260&lt;=3,"Kaynak kontrolü şart",IF(Q260=4,"Kaynak kontrolü önerilir","Standart doğrulama"))</x:f>
        <x:v>Kaynak kontrolü şart</x:v>
      </x:c>
    </x:row>
    <x:row r="261" ht="24" customHeight="1">
      <x:c r="A261" s="48" t="n">
        <x:f>COUNTIF($R$2:$R$751,"&gt;"&amp;R261)+COUNTIF($R$2:R261,R261)</x:f>
        <x:v>260</x:v>
      </x:c>
      <x:c r="B261" s="48" t="n">
        <x:v>1479</x:v>
      </x:c>
      <x:c r="C261" s="46" t="str">
        <x:v>Özgür irade yanılsaması</x:v>
      </x:c>
      <x:c r="D261" s="34" t="str">
        <x:v>Bilim</x:v>
      </x:c>
      <x:c r="E261" s="34" t="str">
        <x:v>Gelecek</x:v>
      </x:c>
      <x:c r="F261" s="34" t="str">
        <x:v>Homo Deus</x:v>
      </x:c>
      <x:c r="G261" s="34" t="str">
        <x:v>Yuval Noah Harari</x:v>
      </x:c>
      <x:c r="H261" s="50" t="str">
        <x:v>1</x:v>
      </x:c>
      <x:c r="I261" s="50" t="str">
        <x:v>Temel</x:v>
      </x:c>
      <x:c r="J261" s="51" t="n">
        <x:v>13</x:v>
      </x:c>
      <x:c r="K261" s="51" t="n">
        <x:v>7</x:v>
      </x:c>
      <x:c r="L261" s="51" t="n">
        <x:v>13</x:v>
      </x:c>
      <x:c r="M261" s="51" t="n">
        <x:v>12</x:v>
      </x:c>
      <x:c r="N261" s="51" t="n">
        <x:v>9</x:v>
      </x:c>
      <x:c r="O261" s="51" t="n">
        <x:v>7</x:v>
      </x:c>
      <x:c r="P261" s="51" t="n">
        <x:v>16</x:v>
      </x:c>
      <x:c r="Q261" s="51" t="n">
        <x:v>3</x:v>
      </x:c>
      <x:c r="R261" s="52" t="n">
        <x:f>SUM(J261:Q261)</x:f>
        <x:v>80</x:v>
      </x:c>
      <x:c r="S261" s="50" t="str">
        <x:f>IF(R261&gt;='Rubrik'!$B$17,"Öncelikli video",IF(R261&gt;='Rubrik'!$B$18,"Video kuyruğu",IF(R261&gt;='Rubrik'!$B$19,"Revize et",IF(R261&gt;='Rubrik'!$B$20,"Kartla test","Düşük öncelik"))))</x:f>
        <x:v>Revize et</x:v>
      </x:c>
      <x:c r="T261" s="50" t="str">
        <x:f>IF(AND(R261&gt;=85,P261&gt;=16,M261&gt;=12,L261&gt;=12),"Reel + Carousel",IF(AND(R261&gt;=85,P261&gt;=16,N261&gt;=8),"Soru odaklı Reel",IF(AND(R261&gt;=85,P261&gt;=16),"Reel / Short",IF(M261&gt;=11,"Carousel","Kart testi"))))</x:f>
        <x:v>Carousel</x:v>
      </x:c>
      <x:c r="U261" s="46" t="str">
        <x:v>Libet deneyi özgür irade duygusunu sarsıyor; bilimsel yorum tartışmalı olsa da mükemmel konuşma başlatır.</x:v>
      </x:c>
      <x:c r="V261" s="46" t="str">
        <x:f>IF(Q261&lt;=3,"Kaynak kontrolü şart",IF(Q261=4,"Kaynak kontrolü önerilir","Standart doğrulama"))</x:f>
        <x:v>Kaynak kontrolü şart</x:v>
      </x:c>
    </x:row>
    <x:row r="262" ht="24" customHeight="1">
      <x:c r="A262" s="48" t="n">
        <x:f>COUNTIF($R$2:$R$751,"&gt;"&amp;R262)+COUNTIF($R$2:R262,R262)</x:f>
        <x:v>261</x:v>
      </x:c>
      <x:c r="B262" s="48" t="n">
        <x:v>1248</x:v>
      </x:c>
      <x:c r="C262" s="46" t="str">
        <x:v>Merak yaratıcılığın pusulası</x:v>
      </x:c>
      <x:c r="D262" s="34" t="str">
        <x:v>Verimlilik</x:v>
      </x:c>
      <x:c r="E262" s="34" t="str">
        <x:v>Yaratıcılık</x:v>
      </x:c>
      <x:c r="F262" s="34" t="str">
        <x:v>Yaratıcı Olmak</x:v>
      </x:c>
      <x:c r="G262" s="34" t="str">
        <x:v>Elizabeth Gilbert</x:v>
      </x:c>
      <x:c r="H262" s="50" t="str">
        <x:v>1</x:v>
      </x:c>
      <x:c r="I262" s="50" t="str">
        <x:v>Temel</x:v>
      </x:c>
      <x:c r="J262" s="51" t="n">
        <x:v>13</x:v>
      </x:c>
      <x:c r="K262" s="51" t="n">
        <x:v>7</x:v>
      </x:c>
      <x:c r="L262" s="51" t="n">
        <x:v>12</x:v>
      </x:c>
      <x:c r="M262" s="51" t="n">
        <x:v>12</x:v>
      </x:c>
      <x:c r="N262" s="51" t="n">
        <x:v>9</x:v>
      </x:c>
      <x:c r="O262" s="51" t="n">
        <x:v>7</x:v>
      </x:c>
      <x:c r="P262" s="51" t="n">
        <x:v>16</x:v>
      </x:c>
      <x:c r="Q262" s="51" t="n">
        <x:v>4</x:v>
      </x:c>
      <x:c r="R262" s="52" t="n">
        <x:f>SUM(J262:Q262)</x:f>
        <x:v>80</x:v>
      </x:c>
      <x:c r="S262" s="50" t="str">
        <x:f>IF(R262&gt;='Rubrik'!$B$17,"Öncelikli video",IF(R262&gt;='Rubrik'!$B$18,"Video kuyruğu",IF(R262&gt;='Rubrik'!$B$19,"Revize et",IF(R262&gt;='Rubrik'!$B$20,"Kartla test","Düşük öncelik"))))</x:f>
        <x:v>Revize et</x:v>
      </x:c>
      <x:c r="T262" s="50" t="str">
        <x:f>IF(AND(R262&gt;=85,P262&gt;=16,M262&gt;=12,L262&gt;=12),"Reel + Carousel",IF(AND(R262&gt;=85,P262&gt;=16,N262&gt;=8),"Soru odaklı Reel",IF(AND(R262&gt;=85,P262&gt;=16),"Reel / Short",IF(M262&gt;=11,"Carousel","Kart testi"))))</x:f>
        <x:v>Carousel</x:v>
      </x:c>
      <x:c r="U262" s="46" t="str">
        <x:v>Tutku baskısına karşı merak önerisi taze bir karşıtlık, düşük eşikli eylem ve iyi bir sohbet sorusu sunuyor.</x:v>
      </x:c>
      <x:c r="V262" s="46" t="str">
        <x:f>IF(Q262&lt;=3,"Kaynak kontrolü şart",IF(Q262=4,"Kaynak kontrolü önerilir","Standart doğrulama"))</x:f>
        <x:v>Kaynak kontrolü önerilir</x:v>
      </x:c>
    </x:row>
    <x:row r="263" ht="24" customHeight="1">
      <x:c r="A263" s="48" t="n">
        <x:f>COUNTIF($R$2:$R$751,"&gt;"&amp;R263)+COUNTIF($R$2:R263,R263)</x:f>
        <x:v>262</x:v>
      </x:c>
      <x:c r="B263" s="48" t="n">
        <x:v>1281</x:v>
      </x:c>
      <x:c r="C263" s="46" t="str">
        <x:v>Değerler ve değer çatışması</x:v>
      </x:c>
      <x:c r="D263" s="34" t="str">
        <x:v>Liderlik</x:v>
      </x:c>
      <x:c r="E263" s="34" t="str">
        <x:v>Liderlik</x:v>
      </x:c>
      <x:c r="F263" s="34" t="str">
        <x:v>Karanlığın Ötesi</x:v>
      </x:c>
      <x:c r="G263" s="34" t="str">
        <x:v>Brené Brown</x:v>
      </x:c>
      <x:c r="H263" s="50" t="str">
        <x:v>1</x:v>
      </x:c>
      <x:c r="I263" s="50" t="str">
        <x:v>Temel</x:v>
      </x:c>
      <x:c r="J263" s="51" t="n">
        <x:v>12</x:v>
      </x:c>
      <x:c r="K263" s="51" t="n">
        <x:v>7</x:v>
      </x:c>
      <x:c r="L263" s="51" t="n">
        <x:v>12</x:v>
      </x:c>
      <x:c r="M263" s="51" t="n">
        <x:v>13</x:v>
      </x:c>
      <x:c r="N263" s="51" t="n">
        <x:v>9</x:v>
      </x:c>
      <x:c r="O263" s="51" t="n">
        <x:v>7</x:v>
      </x:c>
      <x:c r="P263" s="51" t="n">
        <x:v>16</x:v>
      </x:c>
      <x:c r="Q263" s="51" t="n">
        <x:v>4</x:v>
      </x:c>
      <x:c r="R263" s="52" t="n">
        <x:f>SUM(J263:Q263)</x:f>
        <x:v>80</x:v>
      </x:c>
      <x:c r="S263" s="50" t="str">
        <x:f>IF(R263&gt;='Rubrik'!$B$17,"Öncelikli video",IF(R263&gt;='Rubrik'!$B$18,"Video kuyruğu",IF(R263&gt;='Rubrik'!$B$19,"Revize et",IF(R263&gt;='Rubrik'!$B$20,"Kartla test","Düşük öncelik"))))</x:f>
        <x:v>Revize et</x:v>
      </x:c>
      <x:c r="T263" s="50" t="str">
        <x:f>IF(AND(R263&gt;=85,P263&gt;=16,M263&gt;=12,L263&gt;=12),"Reel + Carousel",IF(AND(R263&gt;=85,P263&gt;=16,N263&gt;=8),"Soru odaklı Reel",IF(AND(R263&gt;=85,P263&gt;=16),"Reel / Short",IF(M263&gt;=11,"Carousel","Kart testi"))))</x:f>
        <x:v>Carousel</x:v>
      </x:c>
      <x:c r="U263" s="46" t="str">
        <x:v>Değerlerin bedelle sınanması güçlü bir alıntı ve karar aracı; kişisel soru sesli düşünmeyi kolaylaştırıyor.</x:v>
      </x:c>
      <x:c r="V263" s="46" t="str">
        <x:f>IF(Q263&lt;=3,"Kaynak kontrolü şart",IF(Q263=4,"Kaynak kontrolü önerilir","Standart doğrulama"))</x:f>
        <x:v>Kaynak kontrolü önerilir</x:v>
      </x:c>
    </x:row>
    <x:row r="264" ht="24" customHeight="1">
      <x:c r="A264" s="48" t="n">
        <x:f>COUNTIF($R$2:$R$751,"&gt;"&amp;R264)+COUNTIF($R$2:R264,R264)</x:f>
        <x:v>263</x:v>
      </x:c>
      <x:c r="B264" s="48" t="n">
        <x:v>1298</x:v>
      </x:c>
      <x:c r="C264" s="46" t="str">
        <x:v>Fırsatın maliyeti</x:v>
      </x:c>
      <x:c r="D264" s="34" t="str">
        <x:v>Verimlilik</x:v>
      </x:c>
      <x:c r="E264" s="34" t="str">
        <x:v>Verimlilik</x:v>
      </x:c>
      <x:c r="F264" s="34" t="str">
        <x:v>Minimalizm</x:v>
      </x:c>
      <x:c r="G264" s="34" t="str">
        <x:v>Greg McKeown</x:v>
      </x:c>
      <x:c r="H264" s="50" t="str">
        <x:v>1</x:v>
      </x:c>
      <x:c r="I264" s="50" t="str">
        <x:v>Temel</x:v>
      </x:c>
      <x:c r="J264" s="51" t="n">
        <x:v>13</x:v>
      </x:c>
      <x:c r="K264" s="51" t="n">
        <x:v>6</x:v>
      </x:c>
      <x:c r="L264" s="51" t="n">
        <x:v>12</x:v>
      </x:c>
      <x:c r="M264" s="51" t="n">
        <x:v>13</x:v>
      </x:c>
      <x:c r="N264" s="51" t="n">
        <x:v>9</x:v>
      </x:c>
      <x:c r="O264" s="51" t="n">
        <x:v>7</x:v>
      </x:c>
      <x:c r="P264" s="51" t="n">
        <x:v>16</x:v>
      </x:c>
      <x:c r="Q264" s="51" t="n">
        <x:v>4</x:v>
      </x:c>
      <x:c r="R264" s="52" t="n">
        <x:f>SUM(J264:Q264)</x:f>
        <x:v>80</x:v>
      </x:c>
      <x:c r="S264" s="50" t="str">
        <x:f>IF(R264&gt;='Rubrik'!$B$17,"Öncelikli video",IF(R264&gt;='Rubrik'!$B$18,"Video kuyruğu",IF(R264&gt;='Rubrik'!$B$19,"Revize et",IF(R264&gt;='Rubrik'!$B$20,"Kartla test","Düşük öncelik"))))</x:f>
        <x:v>Revize et</x:v>
      </x:c>
      <x:c r="T264" s="50" t="str">
        <x:f>IF(AND(R264&gt;=85,P264&gt;=16,M264&gt;=12,L264&gt;=12),"Reel + Carousel",IF(AND(R264&gt;=85,P264&gt;=16,N264&gt;=8),"Soru odaklı Reel",IF(AND(R264&gt;=85,P264&gt;=16),"Reel / Short",IF(M264&gt;=11,"Carousel","Kart testi"))))</x:f>
        <x:v>Carousel</x:v>
      </x:c>
      <x:c r="U264" s="46" t="str">
        <x:v>Her evetin bir hayır olduğu karşıtlığı net, kaydedilebilir ve izleyiciyi kendi takvimini sorgulamaya itiyor.</x:v>
      </x:c>
      <x:c r="V264" s="46" t="str">
        <x:f>IF(Q264&lt;=3,"Kaynak kontrolü şart",IF(Q264=4,"Kaynak kontrolü önerilir","Standart doğrulama"))</x:f>
        <x:v>Kaynak kontrolü önerilir</x:v>
      </x:c>
    </x:row>
    <x:row r="265" ht="24" customHeight="1">
      <x:c r="A265" s="48" t="n">
        <x:f>COUNTIF($R$2:$R$751,"&gt;"&amp;R265)+COUNTIF($R$2:R265,R265)</x:f>
        <x:v>264</x:v>
      </x:c>
      <x:c r="B265" s="48" t="n">
        <x:v>1307</x:v>
      </x:c>
      <x:c r="C265" s="46" t="str">
        <x:v>Barbell stratejisi</x:v>
      </x:c>
      <x:c r="D265" s="34" t="str">
        <x:v>Felsefe</x:v>
      </x:c>
      <x:c r="E265" s="34" t="str">
        <x:v>Düşünme</x:v>
      </x:c>
      <x:c r="F265" s="34" t="str">
        <x:v>Antikırılgan</x:v>
      </x:c>
      <x:c r="G265" s="34" t="str">
        <x:v>Nassim Taleb</x:v>
      </x:c>
      <x:c r="H265" s="50" t="str">
        <x:v>1</x:v>
      </x:c>
      <x:c r="I265" s="50" t="str">
        <x:v>Temel</x:v>
      </x:c>
      <x:c r="J265" s="51" t="n">
        <x:v>13</x:v>
      </x:c>
      <x:c r="K265" s="51" t="n">
        <x:v>6</x:v>
      </x:c>
      <x:c r="L265" s="51" t="n">
        <x:v>12</x:v>
      </x:c>
      <x:c r="M265" s="51" t="n">
        <x:v>14</x:v>
      </x:c>
      <x:c r="N265" s="51" t="n">
        <x:v>9</x:v>
      </x:c>
      <x:c r="O265" s="51" t="n">
        <x:v>7</x:v>
      </x:c>
      <x:c r="P265" s="51" t="n">
        <x:v>16</x:v>
      </x:c>
      <x:c r="Q265" s="51" t="n">
        <x:v>3</x:v>
      </x:c>
      <x:c r="R265" s="52" t="n">
        <x:f>SUM(J265:Q265)</x:f>
        <x:v>80</x:v>
      </x:c>
      <x:c r="S265" s="50" t="str">
        <x:f>IF(R265&gt;='Rubrik'!$B$17,"Öncelikli video",IF(R265&gt;='Rubrik'!$B$18,"Video kuyruğu",IF(R265&gt;='Rubrik'!$B$19,"Revize et",IF(R265&gt;='Rubrik'!$B$20,"Kartla test","Düşük öncelik"))))</x:f>
        <x:v>Revize et</x:v>
      </x:c>
      <x:c r="T265" s="50" t="str">
        <x:f>IF(AND(R265&gt;=85,P265&gt;=16,M265&gt;=12,L265&gt;=12),"Reel + Carousel",IF(AND(R265&gt;=85,P265&gt;=16,N265&gt;=8),"Soru odaklı Reel",IF(AND(R265&gt;=85,P265&gt;=16),"Reel / Short",IF(M265&gt;=11,"Carousel","Kart testi"))))</x:f>
        <x:v>Carousel</x:v>
      </x:c>
      <x:c r="U265" s="46" t="str">
        <x:v>Yüzde 90 güvenli, yüzde 10 çılgın kuralı son derece kaydedilebilir; finans bağlamında uyarı gerektiriyor.</x:v>
      </x:c>
      <x:c r="V265" s="46" t="str">
        <x:f>IF(Q265&lt;=3,"Kaynak kontrolü şart",IF(Q265=4,"Kaynak kontrolü önerilir","Standart doğrulama"))</x:f>
        <x:v>Kaynak kontrolü şart</x:v>
      </x:c>
    </x:row>
    <x:row r="266" ht="24" customHeight="1">
      <x:c r="A266" s="48" t="n">
        <x:f>COUNTIF($R$2:$R$751,"&gt;"&amp;R266)+COUNTIF($R$2:R266,R266)</x:f>
        <x:v>265</x:v>
      </x:c>
      <x:c r="B266" s="48" t="n">
        <x:v>1313</x:v>
      </x:c>
      <x:c r="C266" s="46" t="str">
        <x:v>McDonald's ve işletme prototipi</x:v>
      </x:c>
      <x:c r="D266" s="34" t="str">
        <x:v>Verimlilik</x:v>
      </x:c>
      <x:c r="E266" s="34" t="str">
        <x:v>Girişimcilik</x:v>
      </x:c>
      <x:c r="F266" s="34" t="str">
        <x:v>İşin Özü</x:v>
      </x:c>
      <x:c r="G266" s="34" t="str">
        <x:v>Michael Gerber</x:v>
      </x:c>
      <x:c r="H266" s="50" t="str">
        <x:v>1</x:v>
      </x:c>
      <x:c r="I266" s="50" t="str">
        <x:v>Temel</x:v>
      </x:c>
      <x:c r="J266" s="51" t="n">
        <x:v>13</x:v>
      </x:c>
      <x:c r="K266" s="51" t="n">
        <x:v>6</x:v>
      </x:c>
      <x:c r="L266" s="51" t="n">
        <x:v>12</x:v>
      </x:c>
      <x:c r="M266" s="51" t="n">
        <x:v>13</x:v>
      </x:c>
      <x:c r="N266" s="51" t="n">
        <x:v>9</x:v>
      </x:c>
      <x:c r="O266" s="51" t="n">
        <x:v>8</x:v>
      </x:c>
      <x:c r="P266" s="51" t="n">
        <x:v>16</x:v>
      </x:c>
      <x:c r="Q266" s="51" t="n">
        <x:v>3</x:v>
      </x:c>
      <x:c r="R266" s="52" t="n">
        <x:f>SUM(J266:Q266)</x:f>
        <x:v>80</x:v>
      </x:c>
      <x:c r="S266" s="50" t="str">
        <x:f>IF(R266&gt;='Rubrik'!$B$17,"Öncelikli video",IF(R266&gt;='Rubrik'!$B$18,"Video kuyruğu",IF(R266&gt;='Rubrik'!$B$19,"Revize et",IF(R266&gt;='Rubrik'!$B$20,"Kartla test","Düşük öncelik"))))</x:f>
        <x:v>Revize et</x:v>
      </x:c>
      <x:c r="T266" s="50" t="str">
        <x:f>IF(AND(R266&gt;=85,P266&gt;=16,M266&gt;=12,L266&gt;=12),"Reel + Carousel",IF(AND(R266&gt;=85,P266&gt;=16,N266&gt;=8),"Soru odaklı Reel",IF(AND(R266&gt;=85,P266&gt;=16),"Reel / Short",IF(M266&gt;=11,"Carousel","Kart testi"))))</x:f>
        <x:v>Carousel</x:v>
      </x:c>
      <x:c r="U266" s="46" t="str">
        <x:v>Hamburger değil sistem karşıtlığı iş sahipleri için güçlü ve pratik; Kroc anlatısı kaynakla desteklenmeli.</x:v>
      </x:c>
      <x:c r="V266" s="46" t="str">
        <x:f>IF(Q266&lt;=3,"Kaynak kontrolü şart",IF(Q266=4,"Kaynak kontrolü önerilir","Standart doğrulama"))</x:f>
        <x:v>Kaynak kontrolü şart</x:v>
      </x:c>
    </x:row>
    <x:row r="267" ht="24" customHeight="1">
      <x:c r="A267" s="48" t="n">
        <x:f>COUNTIF($R$2:$R$751,"&gt;"&amp;R267)+COUNTIF($R$2:R267,R267)</x:f>
        <x:v>266</x:v>
      </x:c>
      <x:c r="B267" s="48" t="n">
        <x:v>1320</x:v>
      </x:c>
      <x:c r="C267" s="46" t="str">
        <x:v>Çevre tasarımı ve sürtüşme</x:v>
      </x:c>
      <x:c r="D267" s="34" t="str">
        <x:v>Verimlilik</x:v>
      </x:c>
      <x:c r="E267" s="34" t="str">
        <x:v>Verimlilik</x:v>
      </x:c>
      <x:c r="F267" s="34" t="str">
        <x:v>Indistractable</x:v>
      </x:c>
      <x:c r="G267" s="34" t="str">
        <x:v>Nir Eyal</x:v>
      </x:c>
      <x:c r="H267" s="50" t="str">
        <x:v>1</x:v>
      </x:c>
      <x:c r="I267" s="50" t="str">
        <x:v>Temel</x:v>
      </x:c>
      <x:c r="J267" s="51" t="n">
        <x:v>13</x:v>
      </x:c>
      <x:c r="K267" s="51" t="n">
        <x:v>6</x:v>
      </x:c>
      <x:c r="L267" s="51" t="n">
        <x:v>12</x:v>
      </x:c>
      <x:c r="M267" s="51" t="n">
        <x:v>14</x:v>
      </x:c>
      <x:c r="N267" s="51" t="n">
        <x:v>9</x:v>
      </x:c>
      <x:c r="O267" s="51" t="n">
        <x:v>7</x:v>
      </x:c>
      <x:c r="P267" s="51" t="n">
        <x:v>16</x:v>
      </x:c>
      <x:c r="Q267" s="51" t="n">
        <x:v>3</x:v>
      </x:c>
      <x:c r="R267" s="52" t="n">
        <x:f>SUM(J267:Q267)</x:f>
        <x:v>80</x:v>
      </x:c>
      <x:c r="S267" s="50" t="str">
        <x:f>IF(R267&gt;='Rubrik'!$B$17,"Öncelikli video",IF(R267&gt;='Rubrik'!$B$18,"Video kuyruğu",IF(R267&gt;='Rubrik'!$B$19,"Revize et",IF(R267&gt;='Rubrik'!$B$20,"Kartla test","Düşük öncelik"))))</x:f>
        <x:v>Revize et</x:v>
      </x:c>
      <x:c r="T267" s="50" t="str">
        <x:f>IF(AND(R267&gt;=85,P267&gt;=16,M267&gt;=12,L267&gt;=12),"Reel + Carousel",IF(AND(R267&gt;=85,P267&gt;=16,N267&gt;=8),"Soru odaklı Reel",IF(AND(R267&gt;=85,P267&gt;=16),"Reel / Short",IF(M267&gt;=11,"Carousel","Kart testi"))))</x:f>
        <x:v>Carousel</x:v>
      </x:c>
      <x:c r="U267" s="46" t="str">
        <x:v>Telefonu uzaklaştırıp kitabı yaklaştırmak son derece uygulanabilir; yüzde kırk etkisi kaynak ister.</x:v>
      </x:c>
      <x:c r="V267" s="46" t="str">
        <x:f>IF(Q267&lt;=3,"Kaynak kontrolü şart",IF(Q267=4,"Kaynak kontrolü önerilir","Standart doğrulama"))</x:f>
        <x:v>Kaynak kontrolü şart</x:v>
      </x:c>
    </x:row>
    <x:row r="268" ht="24" customHeight="1">
      <x:c r="A268" s="48" t="n">
        <x:f>COUNTIF($R$2:$R$751,"&gt;"&amp;R268)+COUNTIF($R$2:R268,R268)</x:f>
        <x:v>267</x:v>
      </x:c>
      <x:c r="B268" s="48" t="n">
        <x:v>1346</x:v>
      </x:c>
      <x:c r="C268" s="46" t="str">
        <x:v>Maksimizer ve satisficer</x:v>
      </x:c>
      <x:c r="D268" s="34" t="str">
        <x:v>Psikoloji</x:v>
      </x:c>
      <x:c r="E268" s="34" t="str">
        <x:v>Psikoloji</x:v>
      </x:c>
      <x:c r="F268" s="34" t="str">
        <x:v>The Paradox of Choice</x:v>
      </x:c>
      <x:c r="G268" s="34" t="str">
        <x:v>Barry Schwartz</x:v>
      </x:c>
      <x:c r="H268" s="50" t="str">
        <x:v>1</x:v>
      </x:c>
      <x:c r="I268" s="50" t="str">
        <x:v>Temel</x:v>
      </x:c>
      <x:c r="J268" s="51" t="n">
        <x:v>13</x:v>
      </x:c>
      <x:c r="K268" s="51" t="n">
        <x:v>7</x:v>
      </x:c>
      <x:c r="L268" s="51" t="n">
        <x:v>12</x:v>
      </x:c>
      <x:c r="M268" s="51" t="n">
        <x:v>12</x:v>
      </x:c>
      <x:c r="N268" s="51" t="n">
        <x:v>9</x:v>
      </x:c>
      <x:c r="O268" s="51" t="n">
        <x:v>7</x:v>
      </x:c>
      <x:c r="P268" s="51" t="n">
        <x:v>16</x:v>
      </x:c>
      <x:c r="Q268" s="51" t="n">
        <x:v>4</x:v>
      </x:c>
      <x:c r="R268" s="52" t="n">
        <x:f>SUM(J268:Q268)</x:f>
        <x:v>80</x:v>
      </x:c>
      <x:c r="S268" s="50" t="str">
        <x:f>IF(R268&gt;='Rubrik'!$B$17,"Öncelikli video",IF(R268&gt;='Rubrik'!$B$18,"Video kuyruğu",IF(R268&gt;='Rubrik'!$B$19,"Revize et",IF(R268&gt;='Rubrik'!$B$20,"Kartla test","Düşük öncelik"))))</x:f>
        <x:v>Revize et</x:v>
      </x:c>
      <x:c r="T268" s="50" t="str">
        <x:f>IF(AND(R268&gt;=85,P268&gt;=16,M268&gt;=12,L268&gt;=12),"Reel + Carousel",IF(AND(R268&gt;=85,P268&gt;=16,N268&gt;=8),"Soru odaklı Reel",IF(AND(R268&gt;=85,P268&gt;=16),"Reel / Short",IF(M268&gt;=11,"Carousel","Kart testi"))))</x:f>
        <x:v>Carousel</x:v>
      </x:c>
      <x:c r="U268" s="46" t="str">
        <x:v>En iyi kararı verenin daha mutsuz olması güçlü ters köşe; yeterince iyi stratejisi günlük hayata kolay taşınıyor.</x:v>
      </x:c>
      <x:c r="V268" s="46" t="str">
        <x:f>IF(Q268&lt;=3,"Kaynak kontrolü şart",IF(Q268=4,"Kaynak kontrolü önerilir","Standart doğrulama"))</x:f>
        <x:v>Kaynak kontrolü önerilir</x:v>
      </x:c>
    </x:row>
    <x:row r="269" ht="24" customHeight="1">
      <x:c r="A269" s="48" t="n">
        <x:f>COUNTIF($R$2:$R$751,"&gt;"&amp;R269)+COUNTIF($R$2:R269,R269)</x:f>
        <x:v>268</x:v>
      </x:c>
      <x:c r="B269" s="48" t="n">
        <x:v>1381</x:v>
      </x:c>
      <x:c r="C269" s="46" t="str">
        <x:v>Tetris etkisi ve beyin yeniden programlama</x:v>
      </x:c>
      <x:c r="D269" s="34" t="str">
        <x:v>Psikoloji</x:v>
      </x:c>
      <x:c r="E269" s="34" t="str">
        <x:v>Mutluluk</x:v>
      </x:c>
      <x:c r="F269" s="34" t="str">
        <x:v>Mutluluğun Peşinde</x:v>
      </x:c>
      <x:c r="G269" s="34" t="str">
        <x:v>Shawn Achor</x:v>
      </x:c>
      <x:c r="H269" s="50" t="str">
        <x:v>1</x:v>
      </x:c>
      <x:c r="I269" s="50" t="str">
        <x:v>Temel</x:v>
      </x:c>
      <x:c r="J269" s="51" t="n">
        <x:v>13</x:v>
      </x:c>
      <x:c r="K269" s="51" t="n">
        <x:v>7</x:v>
      </x:c>
      <x:c r="L269" s="51" t="n">
        <x:v>12</x:v>
      </x:c>
      <x:c r="M269" s="51" t="n">
        <x:v>12</x:v>
      </x:c>
      <x:c r="N269" s="51" t="n">
        <x:v>9</x:v>
      </x:c>
      <x:c r="O269" s="51" t="n">
        <x:v>8</x:v>
      </x:c>
      <x:c r="P269" s="51" t="n">
        <x:v>16</x:v>
      </x:c>
      <x:c r="Q269" s="51" t="n">
        <x:v>3</x:v>
      </x:c>
      <x:c r="R269" s="52" t="n">
        <x:f>SUM(J269:Q269)</x:f>
        <x:v>80</x:v>
      </x:c>
      <x:c r="S269" s="50" t="str">
        <x:f>IF(R269&gt;='Rubrik'!$B$17,"Öncelikli video",IF(R269&gt;='Rubrik'!$B$18,"Video kuyruğu",IF(R269&gt;='Rubrik'!$B$19,"Revize et",IF(R269&gt;='Rubrik'!$B$20,"Kartla test","Düşük öncelik"))))</x:f>
        <x:v>Revize et</x:v>
      </x:c>
      <x:c r="T269" s="50" t="str">
        <x:f>IF(AND(R269&gt;=85,P269&gt;=16,M269&gt;=12,L269&gt;=12),"Reel + Carousel",IF(AND(R269&gt;=85,P269&gt;=16,N269&gt;=8),"Soru odaklı Reel",IF(AND(R269&gt;=85,P269&gt;=16),"Reel / Short",IF(M269&gt;=11,"Carousel","Kart testi"))))</x:f>
        <x:v>Carousel</x:v>
      </x:c>
      <x:c r="U269" s="46" t="str">
        <x:v>Tetris parçalarını gerçek hayatta görme sahnesi çok görsel; şükran ve nöroplastisite sonucu biraz genellenmiş.</x:v>
      </x:c>
      <x:c r="V269" s="46" t="str">
        <x:f>IF(Q269&lt;=3,"Kaynak kontrolü şart",IF(Q269=4,"Kaynak kontrolü önerilir","Standart doğrulama"))</x:f>
        <x:v>Kaynak kontrolü şart</x:v>
      </x:c>
    </x:row>
    <x:row r="270" ht="24" customHeight="1">
      <x:c r="A270" s="48" t="n">
        <x:f>COUNTIF($R$2:$R$751,"&gt;"&amp;R270)+COUNTIF($R$2:R270,R270)</x:f>
        <x:v>269</x:v>
      </x:c>
      <x:c r="B270" s="48" t="n">
        <x:v>1400</x:v>
      </x:c>
      <x:c r="C270" s="46" t="str">
        <x:v>Wikipedia ve kolektif bilgi üretimi</x:v>
      </x:c>
      <x:c r="D270" s="34" t="str">
        <x:v>Bilim</x:v>
      </x:c>
      <x:c r="E270" s="34" t="str">
        <x:v>Teknoloji</x:v>
      </x:c>
      <x:c r="F270" s="34" t="str">
        <x:v>Zeki Kalabalıklar</x:v>
      </x:c>
      <x:c r="G270" s="34" t="str">
        <x:v>Howard Rheingold</x:v>
      </x:c>
      <x:c r="H270" s="50" t="str">
        <x:v>1</x:v>
      </x:c>
      <x:c r="I270" s="50" t="str">
        <x:v>Temel</x:v>
      </x:c>
      <x:c r="J270" s="51" t="n">
        <x:v>13</x:v>
      </x:c>
      <x:c r="K270" s="51" t="n">
        <x:v>7</x:v>
      </x:c>
      <x:c r="L270" s="51" t="n">
        <x:v>12</x:v>
      </x:c>
      <x:c r="M270" s="51" t="n">
        <x:v>11</x:v>
      </x:c>
      <x:c r="N270" s="51" t="n">
        <x:v>9</x:v>
      </x:c>
      <x:c r="O270" s="51" t="n">
        <x:v>8</x:v>
      </x:c>
      <x:c r="P270" s="51" t="n">
        <x:v>16</x:v>
      </x:c>
      <x:c r="Q270" s="51" t="n">
        <x:v>4</x:v>
      </x:c>
      <x:c r="R270" s="52" t="n">
        <x:f>SUM(J270:Q270)</x:f>
        <x:v>80</x:v>
      </x:c>
      <x:c r="S270" s="50" t="str">
        <x:f>IF(R270&gt;='Rubrik'!$B$17,"Öncelikli video",IF(R270&gt;='Rubrik'!$B$18,"Video kuyruğu",IF(R270&gt;='Rubrik'!$B$19,"Revize et",IF(R270&gt;='Rubrik'!$B$20,"Kartla test","Düşük öncelik"))))</x:f>
        <x:v>Revize et</x:v>
      </x:c>
      <x:c r="T270" s="50" t="str">
        <x:f>IF(AND(R270&gt;=85,P270&gt;=16,M270&gt;=12,L270&gt;=12),"Reel + Carousel",IF(AND(R270&gt;=85,P270&gt;=16,N270&gt;=8),"Soru odaklı Reel",IF(AND(R270&gt;=85,P270&gt;=16),"Reel / Short",IF(M270&gt;=11,"Carousel","Kart testi"))))</x:f>
        <x:v>Carousel</x:v>
      </x:c>
      <x:c r="U270" s="46" t="str">
        <x:v>Herkesin yazdığı ansiklopedinin uzmanlarla yarışması güçlü ters köşe; koşullara bağlı sonuç dengeli bitiyor.</x:v>
      </x:c>
      <x:c r="V270" s="46" t="str">
        <x:f>IF(Q270&lt;=3,"Kaynak kontrolü şart",IF(Q270=4,"Kaynak kontrolü önerilir","Standart doğrulama"))</x:f>
        <x:v>Kaynak kontrolü önerilir</x:v>
      </x:c>
    </x:row>
    <x:row r="271" ht="24" customHeight="1">
      <x:c r="A271" s="48" t="n">
        <x:f>COUNTIF($R$2:$R$751,"&gt;"&amp;R271)+COUNTIF($R$2:R271,R271)</x:f>
        <x:v>270</x:v>
      </x:c>
      <x:c r="B271" s="48" t="n">
        <x:v>1405</x:v>
      </x:c>
      <x:c r="C271" s="46" t="str">
        <x:v>İki dakikada karar ver</x:v>
      </x:c>
      <x:c r="D271" s="34" t="str">
        <x:v>Verimlilik</x:v>
      </x:c>
      <x:c r="E271" s="34" t="str">
        <x:v>Verimlilik</x:v>
      </x:c>
      <x:c r="F271" s="34" t="str">
        <x:v>Nasıl Başarılı Olunur</x:v>
      </x:c>
      <x:c r="G271" s="34" t="str">
        <x:v>David Allen</x:v>
      </x:c>
      <x:c r="H271" s="50" t="str">
        <x:v>1</x:v>
      </x:c>
      <x:c r="I271" s="50" t="str">
        <x:v>Temel</x:v>
      </x:c>
      <x:c r="J271" s="51" t="n">
        <x:v>13</x:v>
      </x:c>
      <x:c r="K271" s="51" t="n">
        <x:v>7</x:v>
      </x:c>
      <x:c r="L271" s="51" t="n">
        <x:v>12</x:v>
      </x:c>
      <x:c r="M271" s="51" t="n">
        <x:v>13</x:v>
      </x:c>
      <x:c r="N271" s="51" t="n">
        <x:v>9</x:v>
      </x:c>
      <x:c r="O271" s="51" t="n">
        <x:v>8</x:v>
      </x:c>
      <x:c r="P271" s="51" t="n">
        <x:v>16</x:v>
      </x:c>
      <x:c r="Q271" s="51" t="n">
        <x:v>2</x:v>
      </x:c>
      <x:c r="R271" s="52" t="n">
        <x:f>SUM(J271:Q271)</x:f>
        <x:v>80</x:v>
      </x:c>
      <x:c r="S271" s="50" t="str">
        <x:f>IF(R271&gt;='Rubrik'!$B$17,"Öncelikli video",IF(R271&gt;='Rubrik'!$B$18,"Video kuyruğu",IF(R271&gt;='Rubrik'!$B$19,"Revize et",IF(R271&gt;='Rubrik'!$B$20,"Kartla test","Düşük öncelik"))))</x:f>
        <x:v>Revize et</x:v>
      </x:c>
      <x:c r="T271" s="50" t="str">
        <x:f>IF(AND(R271&gt;=85,P271&gt;=16,M271&gt;=12,L271&gt;=12),"Reel + Carousel",IF(AND(R271&gt;=85,P271&gt;=16,N271&gt;=8),"Soru odaklı Reel",IF(AND(R271&gt;=85,P271&gt;=16),"Reel / Short",IF(M271&gt;=11,"Carousel","Kart testi"))))</x:f>
        <x:v>Carousel</x:v>
      </x:c>
      <x:c r="U271" s="46" t="str">
        <x:v>Gece akla gelen kuru temizleme çok tanıdık; açık döngü çözümü pratik, 150–300 sayısı kaynaksız.</x:v>
      </x:c>
      <x:c r="V271" s="46" t="str">
        <x:f>IF(Q271&lt;=3,"Kaynak kontrolü şart",IF(Q271=4,"Kaynak kontrolü önerilir","Standart doğrulama"))</x:f>
        <x:v>Kaynak kontrolü şart</x:v>
      </x:c>
    </x:row>
    <x:row r="272" ht="24" customHeight="1">
      <x:c r="A272" s="48" t="n">
        <x:f>COUNTIF($R$2:$R$751,"&gt;"&amp;R272)+COUNTIF($R$2:R272,R272)</x:f>
        <x:v>271</x:v>
      </x:c>
      <x:c r="B272" s="48" t="n">
        <x:v>1424</x:v>
      </x:c>
      <x:c r="C272" s="46" t="str">
        <x:v>Otopilot modu ve bilinçsiz hayat</x:v>
      </x:c>
      <x:c r="D272" s="34" t="str">
        <x:v>Psikoloji</x:v>
      </x:c>
      <x:c r="E272" s="34" t="str">
        <x:v>Farkındalık</x:v>
      </x:c>
      <x:c r="F272" s="34" t="str">
        <x:v>Mindfulness</x:v>
      </x:c>
      <x:c r="G272" s="34" t="str">
        <x:v>Jon Kabat-Zinn</x:v>
      </x:c>
      <x:c r="H272" s="50" t="str">
        <x:v>1</x:v>
      </x:c>
      <x:c r="I272" s="50" t="str">
        <x:v>Temel</x:v>
      </x:c>
      <x:c r="J272" s="51" t="n">
        <x:v>13</x:v>
      </x:c>
      <x:c r="K272" s="51" t="n">
        <x:v>7</x:v>
      </x:c>
      <x:c r="L272" s="51" t="n">
        <x:v>12</x:v>
      </x:c>
      <x:c r="M272" s="51" t="n">
        <x:v>11</x:v>
      </x:c>
      <x:c r="N272" s="51" t="n">
        <x:v>9</x:v>
      </x:c>
      <x:c r="O272" s="51" t="n">
        <x:v>8</x:v>
      </x:c>
      <x:c r="P272" s="51" t="n">
        <x:v>16</x:v>
      </x:c>
      <x:c r="Q272" s="51" t="n">
        <x:v>4</x:v>
      </x:c>
      <x:c r="R272" s="52" t="n">
        <x:f>SUM(J272:Q272)</x:f>
        <x:v>80</x:v>
      </x:c>
      <x:c r="S272" s="50" t="str">
        <x:f>IF(R272&gt;='Rubrik'!$B$17,"Öncelikli video",IF(R272&gt;='Rubrik'!$B$18,"Video kuyruğu",IF(R272&gt;='Rubrik'!$B$19,"Revize et",IF(R272&gt;='Rubrik'!$B$20,"Kartla test","Düşük öncelik"))))</x:f>
        <x:v>Revize et</x:v>
      </x:c>
      <x:c r="T272" s="50" t="str">
        <x:f>IF(AND(R272&gt;=85,P272&gt;=16,M272&gt;=12,L272&gt;=12),"Reel + Carousel",IF(AND(R272&gt;=85,P272&gt;=16,N272&gt;=8),"Soru odaklı Reel",IF(AND(R272&gt;=85,P272&gt;=16),"Reel / Short",IF(M272&gt;=11,"Carousel","Kart testi"))))</x:f>
        <x:v>Carousel</x:v>
      </x:c>
      <x:c r="U272" s="46" t="str">
        <x:v>Eve nasıl geldiğini hatırlamama sahnesi herkesçe tanınır; otopilot ile canlılık karşıtlığı iyi çalışıyor.</x:v>
      </x:c>
      <x:c r="V272" s="46" t="str">
        <x:f>IF(Q272&lt;=3,"Kaynak kontrolü şart",IF(Q272=4,"Kaynak kontrolü önerilir","Standart doğrulama"))</x:f>
        <x:v>Kaynak kontrolü önerilir</x:v>
      </x:c>
    </x:row>
    <x:row r="273" ht="24" customHeight="1">
      <x:c r="A273" s="48" t="n">
        <x:f>COUNTIF($R$2:$R$751,"&gt;"&amp;R273)+COUNTIF($R$2:R273,R273)</x:f>
        <x:v>272</x:v>
      </x:c>
      <x:c r="B273" s="48" t="n">
        <x:v>1379</x:v>
      </x:c>
      <x:c r="C273" s="46" t="str">
        <x:v>Açıklama tarzı ve geleceğin şekli</x:v>
      </x:c>
      <x:c r="D273" s="34" t="str">
        <x:v>Psikoloji</x:v>
      </x:c>
      <x:c r="E273" s="34" t="str">
        <x:v>Psikoloji</x:v>
      </x:c>
      <x:c r="F273" s="34" t="str">
        <x:v>İyimserlik Öğrenmek</x:v>
      </x:c>
      <x:c r="G273" s="34" t="str">
        <x:v>Martin Seligman</x:v>
      </x:c>
      <x:c r="H273" s="50" t="str">
        <x:v>1</x:v>
      </x:c>
      <x:c r="I273" s="50" t="str">
        <x:v>Temel</x:v>
      </x:c>
      <x:c r="J273" s="51" t="n">
        <x:v>12</x:v>
      </x:c>
      <x:c r="K273" s="51" t="n">
        <x:v>7</x:v>
      </x:c>
      <x:c r="L273" s="51" t="n">
        <x:v>11</x:v>
      </x:c>
      <x:c r="M273" s="51" t="n">
        <x:v>13</x:v>
      </x:c>
      <x:c r="N273" s="51" t="n">
        <x:v>10</x:v>
      </x:c>
      <x:c r="O273" s="51" t="n">
        <x:v>7</x:v>
      </x:c>
      <x:c r="P273" s="51" t="n">
        <x:v>16</x:v>
      </x:c>
      <x:c r="Q273" s="51" t="n">
        <x:v>4</x:v>
      </x:c>
      <x:c r="R273" s="52" t="n">
        <x:f>SUM(J273:Q273)</x:f>
        <x:v>80</x:v>
      </x:c>
      <x:c r="S273" s="50" t="str">
        <x:f>IF(R273&gt;='Rubrik'!$B$17,"Öncelikli video",IF(R273&gt;='Rubrik'!$B$18,"Video kuyruğu",IF(R273&gt;='Rubrik'!$B$19,"Revize et",IF(R273&gt;='Rubrik'!$B$20,"Kartla test","Düşük öncelik"))))</x:f>
        <x:v>Revize et</x:v>
      </x:c>
      <x:c r="T273" s="50" t="str">
        <x:f>IF(AND(R273&gt;=85,P273&gt;=16,M273&gt;=12,L273&gt;=12),"Reel + Carousel",IF(AND(R273&gt;=85,P273&gt;=16,N273&gt;=8),"Soru odaklı Reel",IF(AND(R273&gt;=85,P273&gt;=16),"Reel / Short",IF(M273&gt;=11,"Carousel","Kart testi"))))</x:f>
        <x:v>Carousel</x:v>
      </x:c>
      <x:c r="U273" s="46" t="str">
        <x:v>Hep-her şey-benim yerine bu sefer-bu alan çerçevesi net, kaydedilebilir ve kişisel yanıta çok uygun.</x:v>
      </x:c>
      <x:c r="V273" s="46" t="str">
        <x:f>IF(Q273&lt;=3,"Kaynak kontrolü şart",IF(Q273=4,"Kaynak kontrolü önerilir","Standart doğrulama"))</x:f>
        <x:v>Kaynak kontrolü önerilir</x:v>
      </x:c>
    </x:row>
    <x:row r="274" ht="24" customHeight="1">
      <x:c r="A274" s="48" t="n">
        <x:f>COUNTIF($R$2:$R$751,"&gt;"&amp;R274)+COUNTIF($R$2:R274,R274)</x:f>
        <x:v>273</x:v>
      </x:c>
      <x:c r="B274" s="48" t="n">
        <x:v>1432</x:v>
      </x:c>
      <x:c r="C274" s="46" t="str">
        <x:v>OKR'ların doğuşu — Intel ve Andy Grove</x:v>
      </x:c>
      <x:c r="D274" s="34" t="str">
        <x:v>Liderlik</x:v>
      </x:c>
      <x:c r="E274" s="34" t="str">
        <x:v>Yönetim</x:v>
      </x:c>
      <x:c r="F274" s="34" t="str">
        <x:v>Büyüme Kültürü</x:v>
      </x:c>
      <x:c r="G274" s="34" t="str">
        <x:v>John Doerr</x:v>
      </x:c>
      <x:c r="H274" s="50" t="str">
        <x:v>1</x:v>
      </x:c>
      <x:c r="I274" s="50" t="str">
        <x:v>Temel</x:v>
      </x:c>
      <x:c r="J274" s="51" t="n">
        <x:v>12</x:v>
      </x:c>
      <x:c r="K274" s="51" t="n">
        <x:v>6</x:v>
      </x:c>
      <x:c r="L274" s="51" t="n">
        <x:v>11</x:v>
      </x:c>
      <x:c r="M274" s="51" t="n">
        <x:v>14</x:v>
      </x:c>
      <x:c r="N274" s="51" t="n">
        <x:v>9</x:v>
      </x:c>
      <x:c r="O274" s="51" t="n">
        <x:v>8</x:v>
      </x:c>
      <x:c r="P274" s="51" t="n">
        <x:v>16</x:v>
      </x:c>
      <x:c r="Q274" s="51" t="n">
        <x:v>4</x:v>
      </x:c>
      <x:c r="R274" s="52" t="n">
        <x:f>SUM(J274:Q274)</x:f>
        <x:v>80</x:v>
      </x:c>
      <x:c r="S274" s="50" t="str">
        <x:f>IF(R274&gt;='Rubrik'!$B$17,"Öncelikli video",IF(R274&gt;='Rubrik'!$B$18,"Video kuyruğu",IF(R274&gt;='Rubrik'!$B$19,"Revize et",IF(R274&gt;='Rubrik'!$B$20,"Kartla test","Düşük öncelik"))))</x:f>
        <x:v>Revize et</x:v>
      </x:c>
      <x:c r="T274" s="50" t="str">
        <x:f>IF(AND(R274&gt;=85,P274&gt;=16,M274&gt;=12,L274&gt;=12),"Reel + Carousel",IF(AND(R274&gt;=85,P274&gt;=16,N274&gt;=8),"Soru odaklı Reel",IF(AND(R274&gt;=85,P274&gt;=16),"Reel / Short",IF(M274&gt;=11,"Carousel","Kart testi"))))</x:f>
        <x:v>Carousel</x:v>
      </x:c>
      <x:c r="U274" s="46" t="str">
        <x:v>Intel’den Google’a taşınan iki soruluk OKR sistemi güvenilir, net ve yüksek uygulama değeri taşıyor.</x:v>
      </x:c>
      <x:c r="V274" s="46" t="str">
        <x:f>IF(Q274&lt;=3,"Kaynak kontrolü şart",IF(Q274=4,"Kaynak kontrolü önerilir","Standart doğrulama"))</x:f>
        <x:v>Kaynak kontrolü önerilir</x:v>
      </x:c>
    </x:row>
    <x:row r="275" ht="24" customHeight="1">
      <x:c r="A275" s="48" t="n">
        <x:f>COUNTIF($R$2:$R$751,"&gt;"&amp;R275)+COUNTIF($R$2:R275,R275)</x:f>
        <x:v>274</x:v>
      </x:c>
      <x:c r="B275" s="48" t="n">
        <x:v>1517</x:v>
      </x:c>
      <x:c r="C275" s="46" t="str">
        <x:v>Konuşmaların en kötü hataları</x:v>
      </x:c>
      <x:c r="D275" s="34" t="str">
        <x:v>Verimlilik</x:v>
      </x:c>
      <x:c r="E275" s="34" t="str">
        <x:v>Girişimcilik</x:v>
      </x:c>
      <x:c r="F275" s="34" t="str">
        <x:v>Müşteri Geliştirme</x:v>
      </x:c>
      <x:c r="G275" s="34" t="str">
        <x:v>Rob Fitzpatrick</x:v>
      </x:c>
      <x:c r="H275" s="50" t="str">
        <x:v>1</x:v>
      </x:c>
      <x:c r="I275" s="50" t="str">
        <x:v>Temel</x:v>
      </x:c>
      <x:c r="J275" s="51" t="n">
        <x:v>12</x:v>
      </x:c>
      <x:c r="K275" s="51" t="n">
        <x:v>6</x:v>
      </x:c>
      <x:c r="L275" s="51" t="n">
        <x:v>12</x:v>
      </x:c>
      <x:c r="M275" s="51" t="n">
        <x:v>15</x:v>
      </x:c>
      <x:c r="N275" s="51" t="n">
        <x:v>8</x:v>
      </x:c>
      <x:c r="O275" s="51" t="n">
        <x:v>7</x:v>
      </x:c>
      <x:c r="P275" s="51" t="n">
        <x:v>15</x:v>
      </x:c>
      <x:c r="Q275" s="51" t="n">
        <x:v>5</x:v>
      </x:c>
      <x:c r="R275" s="52" t="n">
        <x:f>SUM(J275:Q275)</x:f>
        <x:v>80</x:v>
      </x:c>
      <x:c r="S275" s="50" t="str">
        <x:f>IF(R275&gt;='Rubrik'!$B$17,"Öncelikli video",IF(R275&gt;='Rubrik'!$B$18,"Video kuyruğu",IF(R275&gt;='Rubrik'!$B$19,"Revize et",IF(R275&gt;='Rubrik'!$B$20,"Kartla test","Düşük öncelik"))))</x:f>
        <x:v>Revize et</x:v>
      </x:c>
      <x:c r="T275" s="50" t="str">
        <x:f>IF(AND(R275&gt;=85,P275&gt;=16,M275&gt;=12,L275&gt;=12),"Reel + Carousel",IF(AND(R275&gt;=85,P275&gt;=16,N275&gt;=8),"Soru odaklı Reel",IF(AND(R275&gt;=85,P275&gt;=16),"Reel / Short",IF(M275&gt;=11,"Carousel","Kart testi"))))</x:f>
        <x:v>Carousel</x:v>
      </x:c>
      <x:c r="U275" s="46" t="str">
        <x:v>Müşteri görüşmesindeki üç hata hemen kullanılabilecek net sorular veriyor; girişimci kitlesinde güçlü kaydetmelik.</x:v>
      </x:c>
      <x:c r="V275" s="46" t="str">
        <x:f>IF(Q275&lt;=3,"Kaynak kontrolü şart",IF(Q275=4,"Kaynak kontrolü önerilir","Standart doğrulama"))</x:f>
        <x:v>Standart doğrulama</x:v>
      </x:c>
    </x:row>
    <x:row r="276" ht="24" customHeight="1">
      <x:c r="A276" s="48" t="n">
        <x:f>COUNTIF($R$2:$R$751,"&gt;"&amp;R276)+COUNTIF($R$2:R276,R276)</x:f>
        <x:v>275</x:v>
      </x:c>
      <x:c r="B276" s="48" t="n">
        <x:v>1089</x:v>
      </x:c>
      <x:c r="C276" s="46" t="str">
        <x:v>IMVU'nun yanlış yolda koşması</x:v>
      </x:c>
      <x:c r="D276" s="34" t="str">
        <x:v>Verimlilik</x:v>
      </x:c>
      <x:c r="E276" s="34" t="str">
        <x:v>Girişimcilik</x:v>
      </x:c>
      <x:c r="F276" s="34" t="str">
        <x:v>Büyük Sıçrayış</x:v>
      </x:c>
      <x:c r="G276" s="34" t="str">
        <x:v>Eric Ries</x:v>
      </x:c>
      <x:c r="H276" s="50" t="str">
        <x:v>1</x:v>
      </x:c>
      <x:c r="I276" s="50" t="str">
        <x:v>Temel</x:v>
      </x:c>
      <x:c r="J276" s="51" t="n">
        <x:v>14</x:v>
      </x:c>
      <x:c r="K276" s="51" t="n">
        <x:v>7</x:v>
      </x:c>
      <x:c r="L276" s="51" t="n">
        <x:v>11</x:v>
      </x:c>
      <x:c r="M276" s="51" t="n">
        <x:v>14</x:v>
      </x:c>
      <x:c r="N276" s="51" t="n">
        <x:v>9</x:v>
      </x:c>
      <x:c r="O276" s="51" t="n">
        <x:v>7</x:v>
      </x:c>
      <x:c r="P276" s="51" t="n">
        <x:v>15</x:v>
      </x:c>
      <x:c r="Q276" s="51" t="n">
        <x:v>3</x:v>
      </x:c>
      <x:c r="R276" s="52" t="n">
        <x:f>SUM(J276:Q276)</x:f>
        <x:v>80</x:v>
      </x:c>
      <x:c r="S276" s="50" t="str">
        <x:f>IF(R276&gt;='Rubrik'!$B$17,"Öncelikli video",IF(R276&gt;='Rubrik'!$B$18,"Video kuyruğu",IF(R276&gt;='Rubrik'!$B$19,"Revize et",IF(R276&gt;='Rubrik'!$B$20,"Kartla test","Düşük öncelik"))))</x:f>
        <x:v>Revize et</x:v>
      </x:c>
      <x:c r="T276" s="50" t="str">
        <x:f>IF(AND(R276&gt;=85,P276&gt;=16,M276&gt;=12,L276&gt;=12),"Reel + Carousel",IF(AND(R276&gt;=85,P276&gt;=16,N276&gt;=8),"Soru odaklı Reel",IF(AND(R276&gt;=85,P276&gt;=16),"Reel / Short",IF(M276&gt;=11,"Carousel","Kart testi"))))</x:f>
        <x:v>Carousel</x:v>
      </x:c>
      <x:c r="U276" s="46" t="str">
        <x:v>Aylarca yanlış ürün yapma acısı ve pivot dersi girişimciler için hem paylaşılır hem kaydedilir.</x:v>
      </x:c>
      <x:c r="V276" s="46" t="str">
        <x:f>IF(Q276&lt;=3,"Kaynak kontrolü şart",IF(Q276=4,"Kaynak kontrolü önerilir","Standart doğrulama"))</x:f>
        <x:v>Kaynak kontrolü şart</x:v>
      </x:c>
    </x:row>
    <x:row r="277" ht="24" customHeight="1">
      <x:c r="A277" s="48" t="n">
        <x:f>COUNTIF($R$2:$R$751,"&gt;"&amp;R277)+COUNTIF($R$2:R277,R277)</x:f>
        <x:v>276</x:v>
      </x:c>
      <x:c r="B277" s="48" t="n">
        <x:v>1179</x:v>
      </x:c>
      <x:c r="C277" s="46" t="str">
        <x:v>İlham perisinin ziyareti</x:v>
      </x:c>
      <x:c r="D277" s="34" t="str">
        <x:v>Verimlilik</x:v>
      </x:c>
      <x:c r="E277" s="34" t="str">
        <x:v>Yaratıcılık</x:v>
      </x:c>
      <x:c r="F277" s="34" t="str">
        <x:v>Yaratıcı Olmak</x:v>
      </x:c>
      <x:c r="G277" s="34" t="str">
        <x:v>Elizabeth Gilbert</x:v>
      </x:c>
      <x:c r="H277" s="50" t="str">
        <x:v>1</x:v>
      </x:c>
      <x:c r="I277" s="50" t="str">
        <x:v>Temel</x:v>
      </x:c>
      <x:c r="J277" s="51" t="n">
        <x:v>13</x:v>
      </x:c>
      <x:c r="K277" s="51" t="n">
        <x:v>8</x:v>
      </x:c>
      <x:c r="L277" s="51" t="n">
        <x:v>10</x:v>
      </x:c>
      <x:c r="M277" s="51" t="n">
        <x:v>12</x:v>
      </x:c>
      <x:c r="N277" s="51" t="n">
        <x:v>10</x:v>
      </x:c>
      <x:c r="O277" s="51" t="n">
        <x:v>7</x:v>
      </x:c>
      <x:c r="P277" s="51" t="n">
        <x:v>15</x:v>
      </x:c>
      <x:c r="Q277" s="51" t="n">
        <x:v>5</x:v>
      </x:c>
      <x:c r="R277" s="52" t="n">
        <x:f>SUM(J277:Q277)</x:f>
        <x:v>80</x:v>
      </x:c>
      <x:c r="S277" s="50" t="str">
        <x:f>IF(R277&gt;='Rubrik'!$B$17,"Öncelikli video",IF(R277&gt;='Rubrik'!$B$18,"Video kuyruğu",IF(R277&gt;='Rubrik'!$B$19,"Revize et",IF(R277&gt;='Rubrik'!$B$20,"Kartla test","Düşük öncelik"))))</x:f>
        <x:v>Revize et</x:v>
      </x:c>
      <x:c r="T277" s="50" t="str">
        <x:f>IF(AND(R277&gt;=85,P277&gt;=16,M277&gt;=12,L277&gt;=12),"Reel + Carousel",IF(AND(R277&gt;=85,P277&gt;=16,N277&gt;=8),"Soru odaklı Reel",IF(AND(R277&gt;=85,P277&gt;=16),"Reel / Short",IF(M277&gt;=11,"Carousel","Kart testi"))))</x:f>
        <x:v>Carousel</x:v>
      </x:c>
      <x:c r="U277" s="46" t="str">
        <x:v>İlham perisini çalışan masasında beklemek yaratıcılar için sıcak, akılda kalıcı ve anlatılabilir bir metafor.</x:v>
      </x:c>
      <x:c r="V277" s="46" t="str">
        <x:f>IF(Q277&lt;=3,"Kaynak kontrolü şart",IF(Q277=4,"Kaynak kontrolü önerilir","Standart doğrulama"))</x:f>
        <x:v>Standart doğrulama</x:v>
      </x:c>
    </x:row>
    <x:row r="278" ht="24" customHeight="1">
      <x:c r="A278" s="48" t="n">
        <x:f>COUNTIF($R$2:$R$751,"&gt;"&amp;R278)+COUNTIF($R$2:R278,R278)</x:f>
        <x:v>277</x:v>
      </x:c>
      <x:c r="B278" s="48" t="n">
        <x:v>1390</x:v>
      </x:c>
      <x:c r="C278" s="46" t="str">
        <x:v>Hedefin netliği ve beyin aktivasyonu</x:v>
      </x:c>
      <x:c r="D278" s="34" t="str">
        <x:v>Liderlik</x:v>
      </x:c>
      <x:c r="E278" s="34" t="str">
        <x:v>Hedefler</x:v>
      </x:c>
      <x:c r="F278" s="34" t="str">
        <x:v>Hedeflere Ulaşmak</x:v>
      </x:c>
      <x:c r="G278" s="34" t="str">
        <x:v>Brian Tracy</x:v>
      </x:c>
      <x:c r="H278" s="50" t="str">
        <x:v>1</x:v>
      </x:c>
      <x:c r="I278" s="50" t="str">
        <x:v>Temel</x:v>
      </x:c>
      <x:c r="J278" s="51" t="n">
        <x:v>14</x:v>
      </x:c>
      <x:c r="K278" s="51" t="n">
        <x:v>7</x:v>
      </x:c>
      <x:c r="L278" s="51" t="n">
        <x:v>13</x:v>
      </x:c>
      <x:c r="M278" s="51" t="n">
        <x:v>11</x:v>
      </x:c>
      <x:c r="N278" s="51" t="n">
        <x:v>9</x:v>
      </x:c>
      <x:c r="O278" s="51" t="n">
        <x:v>8</x:v>
      </x:c>
      <x:c r="P278" s="51" t="n">
        <x:v>17</x:v>
      </x:c>
      <x:c r="Q278" s="51" t="n">
        <x:v>0</x:v>
      </x:c>
      <x:c r="R278" s="52" t="n">
        <x:f>SUM(J278:Q278)</x:f>
        <x:v>79</x:v>
      </x:c>
      <x:c r="S278" s="50" t="str">
        <x:f>IF(R278&gt;='Rubrik'!$B$17,"Öncelikli video",IF(R278&gt;='Rubrik'!$B$18,"Video kuyruğu",IF(R278&gt;='Rubrik'!$B$19,"Revize et",IF(R278&gt;='Rubrik'!$B$20,"Kartla test","Düşük öncelik"))))</x:f>
        <x:v>Revize et</x:v>
      </x:c>
      <x:c r="T278" s="50" t="str">
        <x:f>IF(AND(R278&gt;=85,P278&gt;=16,M278&gt;=12,L278&gt;=12),"Reel + Carousel",IF(AND(R278&gt;=85,P278&gt;=16,N278&gt;=8),"Soru odaklı Reel",IF(AND(R278&gt;=85,P278&gt;=16),"Reel / Short",IF(M278&gt;=11,"Carousel","Kart testi"))))</x:f>
        <x:v>Carousel</x:v>
      </x:c>
      <x:c r="U278" s="46" t="str">
        <x:v>Yüzde üçün diğerlerinden on kat kazanması viral bir sonuç; ünlü hedef araştırması doğrulanmamış şehir efsanesi.</x:v>
      </x:c>
      <x:c r="V278" s="46" t="str">
        <x:f>IF(Q278&lt;=3,"Kaynak kontrolü şart",IF(Q278=4,"Kaynak kontrolü önerilir","Standart doğrulama"))</x:f>
        <x:v>Kaynak kontrolü şart</x:v>
      </x:c>
    </x:row>
    <x:row r="279" ht="24" customHeight="1">
      <x:c r="A279" s="48" t="n">
        <x:f>COUNTIF($R$2:$R$751,"&gt;"&amp;R279)+COUNTIF($R$2:R279,R279)</x:f>
        <x:v>278</x:v>
      </x:c>
      <x:c r="B279" s="48" t="n">
        <x:v>1713</x:v>
      </x:c>
      <x:c r="C279" s="46" t="str">
        <x:v>Ryan Holiday’nin Başarısı Neden Bir Uyarıya Dönüştü?</x:v>
      </x:c>
      <x:c r="D279" s="34" t="str">
        <x:v>Felsefe</x:v>
      </x:c>
      <x:c r="E279" s="34" t="str">
        <x:v>Felsefe</x:v>
      </x:c>
      <x:c r="F279" s="34" t="str">
        <x:v>Ego Is the Enemy</x:v>
      </x:c>
      <x:c r="G279" s="34" t="str">
        <x:v>Ryan Holiday</x:v>
      </x:c>
      <x:c r="H279" s="50" t="str">
        <x:v>2</x:v>
      </x:c>
      <x:c r="I279" s="50" t="str">
        <x:v>Zengin</x:v>
      </x:c>
      <x:c r="J279" s="51" t="n">
        <x:v>12</x:v>
      </x:c>
      <x:c r="K279" s="51" t="n">
        <x:v>6</x:v>
      </x:c>
      <x:c r="L279" s="51" t="n">
        <x:v>13</x:v>
      </x:c>
      <x:c r="M279" s="51" t="n">
        <x:v>11</x:v>
      </x:c>
      <x:c r="N279" s="51" t="n">
        <x:v>8</x:v>
      </x:c>
      <x:c r="O279" s="51" t="n">
        <x:v>8</x:v>
      </x:c>
      <x:c r="P279" s="51" t="n">
        <x:v>17</x:v>
      </x:c>
      <x:c r="Q279" s="51" t="n">
        <x:v>4</x:v>
      </x:c>
      <x:c r="R279" s="52" t="n">
        <x:f>SUM(J279:Q279)</x:f>
        <x:v>79</x:v>
      </x:c>
      <x:c r="S279" s="50" t="str">
        <x:f>IF(R279&gt;='Rubrik'!$B$17,"Öncelikli video",IF(R279&gt;='Rubrik'!$B$18,"Video kuyruğu",IF(R279&gt;='Rubrik'!$B$19,"Revize et",IF(R279&gt;='Rubrik'!$B$20,"Kartla test","Düşük öncelik"))))</x:f>
        <x:v>Revize et</x:v>
      </x:c>
      <x:c r="T279" s="50" t="str">
        <x:f>IF(AND(R279&gt;=85,P279&gt;=16,M279&gt;=12,L279&gt;=12),"Reel + Carousel",IF(AND(R279&gt;=85,P279&gt;=16,N279&gt;=8),"Soru odaklı Reel",IF(AND(R279&gt;=85,P279&gt;=16),"Reel / Short",IF(M279&gt;=11,"Carousel","Kart testi"))))</x:f>
        <x:v>Carousel</x:v>
      </x:c>
      <x:c r="U279" s="46" t="str">
        <x:v>Uygulanabilir çerçeve, hikâyeyi geri dönüp kaydetmeye değer kılıyor; olay örgüsü yeterli.</x:v>
      </x:c>
      <x:c r="V279" s="46" t="str">
        <x:f>IF(Q279&lt;=3,"Kaynak kontrolü şart",IF(Q279=4,"Kaynak kontrolü önerilir","Standart doğrulama"))</x:f>
        <x:v>Kaynak kontrolü önerilir</x:v>
      </x:c>
    </x:row>
    <x:row r="280" ht="24" customHeight="1">
      <x:c r="A280" s="48" t="n">
        <x:f>COUNTIF($R$2:$R$751,"&gt;"&amp;R280)+COUNTIF($R$2:R280,R280)</x:f>
        <x:v>279</x:v>
      </x:c>
      <x:c r="B280" s="48" t="n">
        <x:v>1738</x:v>
      </x:c>
      <x:c r="C280" s="46" t="str">
        <x:v>Kirli Bir Masa Ahlaki Yargıyı Neden Sertleştirdi?</x:v>
      </x:c>
      <x:c r="D280" s="34" t="str">
        <x:v>Finans</x:v>
      </x:c>
      <x:c r="E280" s="34" t="str">
        <x:v>İş &amp; Girişim</x:v>
      </x:c>
      <x:c r="F280" s="34" t="str">
        <x:v>The Righteous Mind</x:v>
      </x:c>
      <x:c r="G280" s="34" t="str">
        <x:v>Jonathan Haidt</x:v>
      </x:c>
      <x:c r="H280" s="50" t="str">
        <x:v>2</x:v>
      </x:c>
      <x:c r="I280" s="50" t="str">
        <x:v>Zengin</x:v>
      </x:c>
      <x:c r="J280" s="51" t="n">
        <x:v>12</x:v>
      </x:c>
      <x:c r="K280" s="51" t="n">
        <x:v>6</x:v>
      </x:c>
      <x:c r="L280" s="51" t="n">
        <x:v>13</x:v>
      </x:c>
      <x:c r="M280" s="51" t="n">
        <x:v>11</x:v>
      </x:c>
      <x:c r="N280" s="51" t="n">
        <x:v>8</x:v>
      </x:c>
      <x:c r="O280" s="51" t="n">
        <x:v>8</x:v>
      </x:c>
      <x:c r="P280" s="51" t="n">
        <x:v>17</x:v>
      </x:c>
      <x:c r="Q280" s="51" t="n">
        <x:v>4</x:v>
      </x:c>
      <x:c r="R280" s="52" t="n">
        <x:f>SUM(J280:Q280)</x:f>
        <x:v>79</x:v>
      </x:c>
      <x:c r="S280" s="50" t="str">
        <x:f>IF(R280&gt;='Rubrik'!$B$17,"Öncelikli video",IF(R280&gt;='Rubrik'!$B$18,"Video kuyruğu",IF(R280&gt;='Rubrik'!$B$19,"Revize et",IF(R280&gt;='Rubrik'!$B$20,"Kartla test","Düşük öncelik"))))</x:f>
        <x:v>Revize et</x:v>
      </x:c>
      <x:c r="T280" s="50" t="str">
        <x:f>IF(AND(R280&gt;=85,P280&gt;=16,M280&gt;=12,L280&gt;=12),"Reel + Carousel",IF(AND(R280&gt;=85,P280&gt;=16,N280&gt;=8),"Soru odaklı Reel",IF(AND(R280&gt;=85,P280&gt;=16),"Reel / Short",IF(M280&gt;=11,"Carousel","Kart testi"))))</x:f>
        <x:v>Carousel</x:v>
      </x:c>
      <x:c r="U280" s="46" t="str">
        <x:v>Duygusal karşıtlık paylaşma ve kişisel anlatma isteğini yükseltiyor; olay örgüsü yeterli.</x:v>
      </x:c>
      <x:c r="V280" s="46" t="str">
        <x:f>IF(Q280&lt;=3,"Kaynak kontrolü şart",IF(Q280=4,"Kaynak kontrolü önerilir","Standart doğrulama"))</x:f>
        <x:v>Kaynak kontrolü önerilir</x:v>
      </x:c>
    </x:row>
    <x:row r="281" ht="24" customHeight="1">
      <x:c r="A281" s="48" t="n">
        <x:f>COUNTIF($R$2:$R$751,"&gt;"&amp;R281)+COUNTIF($R$2:R281,R281)</x:f>
        <x:v>280</x:v>
      </x:c>
      <x:c r="B281" s="48" t="n">
        <x:v>1785</x:v>
      </x:c>
      <x:c r="C281" s="46" t="str">
        <x:v>Suçlamanın Altındaki İhtiyaç</x:v>
      </x:c>
      <x:c r="D281" s="34" t="str">
        <x:v>İletişim</x:v>
      </x:c>
      <x:c r="E281" s="34" t="str">
        <x:v>İletişim</x:v>
      </x:c>
      <x:c r="F281" s="34" t="str">
        <x:v>Nonviolent Communication</x:v>
      </x:c>
      <x:c r="G281" s="34" t="str">
        <x:v>Marshall B. Rosenberg</x:v>
      </x:c>
      <x:c r="H281" s="50" t="str">
        <x:v>F5</x:v>
      </x:c>
      <x:c r="I281" s="50" t="str">
        <x:v>Zengin</x:v>
      </x:c>
      <x:c r="J281" s="51" t="n">
        <x:v>12</x:v>
      </x:c>
      <x:c r="K281" s="51" t="n">
        <x:v>6</x:v>
      </x:c>
      <x:c r="L281" s="51" t="n">
        <x:v>13</x:v>
      </x:c>
      <x:c r="M281" s="51" t="n">
        <x:v>10</x:v>
      </x:c>
      <x:c r="N281" s="51" t="n">
        <x:v>9</x:v>
      </x:c>
      <x:c r="O281" s="51" t="n">
        <x:v>8</x:v>
      </x:c>
      <x:c r="P281" s="51" t="n">
        <x:v>17</x:v>
      </x:c>
      <x:c r="Q281" s="51" t="n">
        <x:v>4</x:v>
      </x:c>
      <x:c r="R281" s="52" t="n">
        <x:f>SUM(J281:Q281)</x:f>
        <x:v>79</x:v>
      </x:c>
      <x:c r="S281" s="50" t="str">
        <x:f>IF(R281&gt;='Rubrik'!$B$17,"Öncelikli video",IF(R281&gt;='Rubrik'!$B$18,"Video kuyruğu",IF(R281&gt;='Rubrik'!$B$19,"Revize et",IF(R281&gt;='Rubrik'!$B$20,"Kartla test","Düşük öncelik"))))</x:f>
        <x:v>Revize et</x:v>
      </x:c>
      <x:c r="T281" s="50" t="str">
        <x:f>IF(AND(R281&gt;=85,P281&gt;=16,M281&gt;=12,L281&gt;=12),"Reel + Carousel",IF(AND(R281&gt;=85,P281&gt;=16,N281&gt;=8),"Soru odaklı Reel",IF(AND(R281&gt;=85,P281&gt;=16),"Reel / Short",IF(M281&gt;=11,"Carousel","Kart testi"))))</x:f>
        <x:v>Kart testi</x:v>
      </x:c>
      <x:c r="U281" s="46" t="str">
        <x:v>Duygusal karşıtlık paylaşma ve kişisel anlatma isteğini yükseltiyor; olay örgüsü yeterli.</x:v>
      </x:c>
      <x:c r="V281" s="46" t="str">
        <x:f>IF(Q281&lt;=3,"Kaynak kontrolü şart",IF(Q281=4,"Kaynak kontrolü önerilir","Standart doğrulama"))</x:f>
        <x:v>Kaynak kontrolü önerilir</x:v>
      </x:c>
    </x:row>
    <x:row r="282" ht="24" customHeight="1">
      <x:c r="A282" s="48" t="n">
        <x:f>COUNTIF($R$2:$R$751,"&gt;"&amp;R282)+COUNTIF($R$2:R282,R282)</x:f>
        <x:v>281</x:v>
      </x:c>
      <x:c r="B282" s="48" t="n">
        <x:v>1798</x:v>
      </x:c>
      <x:c r="C282" s="46" t="str">
        <x:v>Kültür Pazarlığı</x:v>
      </x:c>
      <x:c r="D282" s="34" t="str">
        <x:v>Liderlik</x:v>
      </x:c>
      <x:c r="E282" s="34" t="str">
        <x:v>Liderlik</x:v>
      </x:c>
      <x:c r="F282" s="34" t="str">
        <x:v>Delivering Happiness</x:v>
      </x:c>
      <x:c r="G282" s="34" t="str">
        <x:v>Tony Hsieh</x:v>
      </x:c>
      <x:c r="H282" s="50" t="str">
        <x:v>C1</x:v>
      </x:c>
      <x:c r="I282" s="50" t="str">
        <x:v>Zengin</x:v>
      </x:c>
      <x:c r="J282" s="51" t="n">
        <x:v>12</x:v>
      </x:c>
      <x:c r="K282" s="51" t="n">
        <x:v>6</x:v>
      </x:c>
      <x:c r="L282" s="51" t="n">
        <x:v>13</x:v>
      </x:c>
      <x:c r="M282" s="51" t="n">
        <x:v>10</x:v>
      </x:c>
      <x:c r="N282" s="51" t="n">
        <x:v>9</x:v>
      </x:c>
      <x:c r="O282" s="51" t="n">
        <x:v>7</x:v>
      </x:c>
      <x:c r="P282" s="51" t="n">
        <x:v>17</x:v>
      </x:c>
      <x:c r="Q282" s="51" t="n">
        <x:v>5</x:v>
      </x:c>
      <x:c r="R282" s="52" t="n">
        <x:f>SUM(J282:Q282)</x:f>
        <x:v>79</x:v>
      </x:c>
      <x:c r="S282" s="50" t="str">
        <x:f>IF(R282&gt;='Rubrik'!$B$17,"Öncelikli video",IF(R282&gt;='Rubrik'!$B$18,"Video kuyruğu",IF(R282&gt;='Rubrik'!$B$19,"Revize et",IF(R282&gt;='Rubrik'!$B$20,"Kartla test","Düşük öncelik"))))</x:f>
        <x:v>Revize et</x:v>
      </x:c>
      <x:c r="T282" s="50" t="str">
        <x:f>IF(AND(R282&gt;=85,P282&gt;=16,M282&gt;=12,L282&gt;=12),"Reel + Carousel",IF(AND(R282&gt;=85,P282&gt;=16,N282&gt;=8),"Soru odaklı Reel",IF(AND(R282&gt;=85,P282&gt;=16),"Reel / Short",IF(M282&gt;=11,"Carousel","Kart testi"))))</x:f>
        <x:v>Kart testi</x:v>
      </x:c>
      <x:c r="U282" s="46" t="str">
        <x:v>Somut sahne ve sayısal ayrıntı güçlü bir video açılışı sağlıyor; olay örgüsü geliştirilmeli.</x:v>
      </x:c>
      <x:c r="V282" s="46" t="str">
        <x:f>IF(Q282&lt;=3,"Kaynak kontrolü şart",IF(Q282=4,"Kaynak kontrolü önerilir","Standart doğrulama"))</x:f>
        <x:v>Standart doğrulama</x:v>
      </x:c>
    </x:row>
    <x:row r="283" ht="24" customHeight="1">
      <x:c r="A283" s="48" t="n">
        <x:f>COUNTIF($R$2:$R$751,"&gt;"&amp;R283)+COUNTIF($R$2:R283,R283)</x:f>
        <x:v>282</x:v>
      </x:c>
      <x:c r="B283" s="48" t="n">
        <x:v>1250</x:v>
      </x:c>
      <x:c r="C283" s="46" t="str">
        <x:v>Serbest piyasanın en güçlü kuvveti</x:v>
      </x:c>
      <x:c r="D283" s="34" t="str">
        <x:v>Finans</x:v>
      </x:c>
      <x:c r="E283" s="34" t="str">
        <x:v>Finans</x:v>
      </x:c>
      <x:c r="F283" s="34" t="str">
        <x:v>Money: Master the Game</x:v>
      </x:c>
      <x:c r="G283" s="34" t="str">
        <x:v>Tony Robbins</x:v>
      </x:c>
      <x:c r="H283" s="50" t="str">
        <x:v>1</x:v>
      </x:c>
      <x:c r="I283" s="50" t="str">
        <x:v>Temel</x:v>
      </x:c>
      <x:c r="J283" s="51" t="n">
        <x:v>13</x:v>
      </x:c>
      <x:c r="K283" s="51" t="n">
        <x:v>6</x:v>
      </x:c>
      <x:c r="L283" s="51" t="n">
        <x:v>12</x:v>
      </x:c>
      <x:c r="M283" s="51" t="n">
        <x:v>13</x:v>
      </x:c>
      <x:c r="N283" s="51" t="n">
        <x:v>8</x:v>
      </x:c>
      <x:c r="O283" s="51" t="n">
        <x:v>8</x:v>
      </x:c>
      <x:c r="P283" s="51" t="n">
        <x:v>16</x:v>
      </x:c>
      <x:c r="Q283" s="51" t="n">
        <x:v>3</x:v>
      </x:c>
      <x:c r="R283" s="52" t="n">
        <x:f>SUM(J283:Q283)</x:f>
        <x:v>79</x:v>
      </x:c>
      <x:c r="S283" s="50" t="str">
        <x:f>IF(R283&gt;='Rubrik'!$B$17,"Öncelikli video",IF(R283&gt;='Rubrik'!$B$18,"Video kuyruğu",IF(R283&gt;='Rubrik'!$B$19,"Revize et",IF(R283&gt;='Rubrik'!$B$20,"Kartla test","Düşük öncelik"))))</x:f>
        <x:v>Revize et</x:v>
      </x:c>
      <x:c r="T283" s="50" t="str">
        <x:f>IF(AND(R283&gt;=85,P283&gt;=16,M283&gt;=12,L283&gt;=12),"Reel + Carousel",IF(AND(R283&gt;=85,P283&gt;=16,N283&gt;=8),"Soru odaklı Reel",IF(AND(R283&gt;=85,P283&gt;=16),"Reel / Short",IF(M283&gt;=11,"Carousel","Kart testi"))))</x:f>
        <x:v>Carousel</x:v>
      </x:c>
      <x:c r="U283" s="46" t="str">
        <x:v>İki kardeşin sayısal karşılaştırması güçlü bir ters köşe yaratıyor; getiri varsayımları açıklanmalı.</x:v>
      </x:c>
      <x:c r="V283" s="46" t="str">
        <x:f>IF(Q283&lt;=3,"Kaynak kontrolü şart",IF(Q283=4,"Kaynak kontrolü önerilir","Standart doğrulama"))</x:f>
        <x:v>Kaynak kontrolü şart</x:v>
      </x:c>
    </x:row>
    <x:row r="284" ht="24" customHeight="1">
      <x:c r="A284" s="48" t="n">
        <x:f>COUNTIF($R$2:$R$751,"&gt;"&amp;R284)+COUNTIF($R$2:R284,R284)</x:f>
        <x:v>283</x:v>
      </x:c>
      <x:c r="B284" s="48" t="n">
        <x:v>1270</x:v>
      </x:c>
      <x:c r="C284" s="46" t="str">
        <x:v>Vietnam gazilerinin dondurulmuş bedenleri</x:v>
      </x:c>
      <x:c r="D284" s="34" t="str">
        <x:v>Sağlık</x:v>
      </x:c>
      <x:c r="E284" s="34" t="str">
        <x:v>Sağlık</x:v>
      </x:c>
      <x:c r="F284" s="34" t="str">
        <x:v>Bedenin Sesi</x:v>
      </x:c>
      <x:c r="G284" s="34" t="str">
        <x:v>Bessel van der Kolk</x:v>
      </x:c>
      <x:c r="H284" s="50" t="str">
        <x:v>1</x:v>
      </x:c>
      <x:c r="I284" s="50" t="str">
        <x:v>Temel</x:v>
      </x:c>
      <x:c r="J284" s="51" t="n">
        <x:v>13</x:v>
      </x:c>
      <x:c r="K284" s="51" t="n">
        <x:v>8</x:v>
      </x:c>
      <x:c r="L284" s="51" t="n">
        <x:v>12</x:v>
      </x:c>
      <x:c r="M284" s="51" t="n">
        <x:v>9</x:v>
      </x:c>
      <x:c r="N284" s="51" t="n">
        <x:v>9</x:v>
      </x:c>
      <x:c r="O284" s="51" t="n">
        <x:v>8</x:v>
      </x:c>
      <x:c r="P284" s="51" t="n">
        <x:v>16</x:v>
      </x:c>
      <x:c r="Q284" s="51" t="n">
        <x:v>4</x:v>
      </x:c>
      <x:c r="R284" s="52" t="n">
        <x:f>SUM(J284:Q284)</x:f>
        <x:v>79</x:v>
      </x:c>
      <x:c r="S284" s="50" t="str">
        <x:f>IF(R284&gt;='Rubrik'!$B$17,"Öncelikli video",IF(R284&gt;='Rubrik'!$B$18,"Video kuyruğu",IF(R284&gt;='Rubrik'!$B$19,"Revize et",IF(R284&gt;='Rubrik'!$B$20,"Kartla test","Düşük öncelik"))))</x:f>
        <x:v>Revize et</x:v>
      </x:c>
      <x:c r="T284" s="50" t="str">
        <x:f>IF(AND(R284&gt;=85,P284&gt;=16,M284&gt;=12,L284&gt;=12),"Reel + Carousel",IF(AND(R284&gt;=85,P284&gt;=16,N284&gt;=8),"Soru odaklı Reel",IF(AND(R284&gt;=85,P284&gt;=16),"Reel / Short",IF(M284&gt;=11,"Carousel","Kart testi"))))</x:f>
        <x:v>Kart testi</x:v>
      </x:c>
      <x:c r="U284" s="46" t="str">
        <x:v>Gazinin beden-zihin ayrımı güçlü bir sahne ve unutulmaz cümle sunuyor; hassas travma dili korunmalı.</x:v>
      </x:c>
      <x:c r="V284" s="46" t="str">
        <x:f>IF(Q284&lt;=3,"Kaynak kontrolü şart",IF(Q284=4,"Kaynak kontrolü önerilir","Standart doğrulama"))</x:f>
        <x:v>Kaynak kontrolü önerilir</x:v>
      </x:c>
    </x:row>
    <x:row r="285" ht="24" customHeight="1">
      <x:c r="A285" s="48" t="n">
        <x:f>COUNTIF($R$2:$R$751,"&gt;"&amp;R285)+COUNTIF($R$2:R285,R285)</x:f>
        <x:v>284</x:v>
      </x:c>
      <x:c r="B285" s="48" t="n">
        <x:v>1335</x:v>
      </x:c>
      <x:c r="C285" s="46" t="str">
        <x:v>Özgürlük ve seçimin bedeli</x:v>
      </x:c>
      <x:c r="D285" s="34" t="str">
        <x:v>Felsefe</x:v>
      </x:c>
      <x:c r="E285" s="34" t="str">
        <x:v>Felsefe</x:v>
      </x:c>
      <x:c r="F285" s="34" t="str">
        <x:v>Her Şey Yolunda</x:v>
      </x:c>
      <x:c r="G285" s="34" t="str">
        <x:v>Mark Manson</x:v>
      </x:c>
      <x:c r="H285" s="50" t="str">
        <x:v>1</x:v>
      </x:c>
      <x:c r="I285" s="50" t="str">
        <x:v>Temel</x:v>
      </x:c>
      <x:c r="J285" s="51" t="n">
        <x:v>13</x:v>
      </x:c>
      <x:c r="K285" s="51" t="n">
        <x:v>7</x:v>
      </x:c>
      <x:c r="L285" s="51" t="n">
        <x:v>12</x:v>
      </x:c>
      <x:c r="M285" s="51" t="n">
        <x:v>12</x:v>
      </x:c>
      <x:c r="N285" s="51" t="n">
        <x:v>9</x:v>
      </x:c>
      <x:c r="O285" s="51" t="n">
        <x:v>7</x:v>
      </x:c>
      <x:c r="P285" s="51" t="n">
        <x:v>16</x:v>
      </x:c>
      <x:c r="Q285" s="51" t="n">
        <x:v>3</x:v>
      </x:c>
      <x:c r="R285" s="52" t="n">
        <x:f>SUM(J285:Q285)</x:f>
        <x:v>79</x:v>
      </x:c>
      <x:c r="S285" s="50" t="str">
        <x:f>IF(R285&gt;='Rubrik'!$B$17,"Öncelikli video",IF(R285&gt;='Rubrik'!$B$18,"Video kuyruğu",IF(R285&gt;='Rubrik'!$B$19,"Revize et",IF(R285&gt;='Rubrik'!$B$20,"Kartla test","Düşük öncelik"))))</x:f>
        <x:v>Revize et</x:v>
      </x:c>
      <x:c r="T285" s="50" t="str">
        <x:f>IF(AND(R285&gt;=85,P285&gt;=16,M285&gt;=12,L285&gt;=12),"Reel + Carousel",IF(AND(R285&gt;=85,P285&gt;=16,N285&gt;=8),"Soru odaklı Reel",IF(AND(R285&gt;=85,P285&gt;=16),"Reel / Short",IF(M285&gt;=11,"Carousel","Kart testi"))))</x:f>
        <x:v>Carousel</x:v>
      </x:c>
      <x:c r="U285" s="46" t="str">
        <x:v>Sonsuz seçenekten taahhüt özgürlüğüne dönüş paylaşılabilir; araştırma sonucu evrenselleştirilmiş.</x:v>
      </x:c>
      <x:c r="V285" s="46" t="str">
        <x:f>IF(Q285&lt;=3,"Kaynak kontrolü şart",IF(Q285=4,"Kaynak kontrolü önerilir","Standart doğrulama"))</x:f>
        <x:v>Kaynak kontrolü şart</x:v>
      </x:c>
    </x:row>
    <x:row r="286" ht="24" customHeight="1">
      <x:c r="A286" s="48" t="n">
        <x:f>COUNTIF($R$2:$R$751,"&gt;"&amp;R286)+COUNTIF($R$2:R286,R286)</x:f>
        <x:v>285</x:v>
      </x:c>
      <x:c r="B286" s="48" t="n">
        <x:v>1412</x:v>
      </x:c>
      <x:c r="C286" s="46" t="str">
        <x:v>Harvard Business School paradoksu</x:v>
      </x:c>
      <x:c r="D286" s="34" t="str">
        <x:v>Psikoloji</x:v>
      </x:c>
      <x:c r="E286" s="34" t="str">
        <x:v>Psikoloji</x:v>
      </x:c>
      <x:c r="F286" s="34" t="str">
        <x:v>Sessizlik</x:v>
      </x:c>
      <x:c r="G286" s="34" t="str">
        <x:v>Susan Cain</x:v>
      </x:c>
      <x:c r="H286" s="50" t="str">
        <x:v>1</x:v>
      </x:c>
      <x:c r="I286" s="50" t="str">
        <x:v>Temel</x:v>
      </x:c>
      <x:c r="J286" s="51" t="n">
        <x:v>13</x:v>
      </x:c>
      <x:c r="K286" s="51" t="n">
        <x:v>7</x:v>
      </x:c>
      <x:c r="L286" s="51" t="n">
        <x:v>12</x:v>
      </x:c>
      <x:c r="M286" s="51" t="n">
        <x:v>10</x:v>
      </x:c>
      <x:c r="N286" s="51" t="n">
        <x:v>10</x:v>
      </x:c>
      <x:c r="O286" s="51" t="n">
        <x:v>8</x:v>
      </x:c>
      <x:c r="P286" s="51" t="n">
        <x:v>16</x:v>
      </x:c>
      <x:c r="Q286" s="51" t="n">
        <x:v>3</x:v>
      </x:c>
      <x:c r="R286" s="52" t="n">
        <x:f>SUM(J286:Q286)</x:f>
        <x:v>79</x:v>
      </x:c>
      <x:c r="S286" s="50" t="str">
        <x:f>IF(R286&gt;='Rubrik'!$B$17,"Öncelikli video",IF(R286&gt;='Rubrik'!$B$18,"Video kuyruğu",IF(R286&gt;='Rubrik'!$B$19,"Revize et",IF(R286&gt;='Rubrik'!$B$20,"Kartla test","Düşük öncelik"))))</x:f>
        <x:v>Revize et</x:v>
      </x:c>
      <x:c r="T286" s="50" t="str">
        <x:f>IF(AND(R286&gt;=85,P286&gt;=16,M286&gt;=12,L286&gt;=12),"Reel + Carousel",IF(AND(R286&gt;=85,P286&gt;=16,N286&gt;=8),"Soru odaklı Reel",IF(AND(R286&gt;=85,P286&gt;=16),"Reel / Short",IF(M286&gt;=11,"Carousel","Kart testi"))))</x:f>
        <x:v>Kart testi</x:v>
      </x:c>
      <x:c r="U286" s="46" t="str">
        <x:v>Harvard’ın yüksek ses kültürü net bir çatışma yaratıyor; ünlü içe dönükler listesi kanıt yerine geçmiyor.</x:v>
      </x:c>
      <x:c r="V286" s="46" t="str">
        <x:f>IF(Q286&lt;=3,"Kaynak kontrolü şart",IF(Q286=4,"Kaynak kontrolü önerilir","Standart doğrulama"))</x:f>
        <x:v>Kaynak kontrolü şart</x:v>
      </x:c>
    </x:row>
    <x:row r="287" ht="24" customHeight="1">
      <x:c r="A287" s="48" t="n">
        <x:f>COUNTIF($R$2:$R$751,"&gt;"&amp;R287)+COUNTIF($R$2:R287,R287)</x:f>
        <x:v>286</x:v>
      </x:c>
      <x:c r="B287" s="48" t="n">
        <x:v>1413</x:v>
      </x:c>
      <x:c r="C287" s="46" t="str">
        <x:v>Sert satış ve empatin gücü</x:v>
      </x:c>
      <x:c r="D287" s="34" t="str">
        <x:v>Psikoloji</x:v>
      </x:c>
      <x:c r="E287" s="34" t="str">
        <x:v>Psikoloji</x:v>
      </x:c>
      <x:c r="F287" s="34" t="str">
        <x:v>Sessizlik</x:v>
      </x:c>
      <x:c r="G287" s="34" t="str">
        <x:v>Susan Cain</x:v>
      </x:c>
      <x:c r="H287" s="50" t="str">
        <x:v>1</x:v>
      </x:c>
      <x:c r="I287" s="50" t="str">
        <x:v>Temel</x:v>
      </x:c>
      <x:c r="J287" s="51" t="n">
        <x:v>12</x:v>
      </x:c>
      <x:c r="K287" s="51" t="n">
        <x:v>7</x:v>
      </x:c>
      <x:c r="L287" s="51" t="n">
        <x:v>12</x:v>
      </x:c>
      <x:c r="M287" s="51" t="n">
        <x:v>12</x:v>
      </x:c>
      <x:c r="N287" s="51" t="n">
        <x:v>9</x:v>
      </x:c>
      <x:c r="O287" s="51" t="n">
        <x:v>7</x:v>
      </x:c>
      <x:c r="P287" s="51" t="n">
        <x:v>16</x:v>
      </x:c>
      <x:c r="Q287" s="51" t="n">
        <x:v>4</x:v>
      </x:c>
      <x:c r="R287" s="52" t="n">
        <x:f>SUM(J287:Q287)</x:f>
        <x:v>79</x:v>
      </x:c>
      <x:c r="S287" s="50" t="str">
        <x:f>IF(R287&gt;='Rubrik'!$B$17,"Öncelikli video",IF(R287&gt;='Rubrik'!$B$18,"Video kuyruğu",IF(R287&gt;='Rubrik'!$B$19,"Revize et",IF(R287&gt;='Rubrik'!$B$20,"Kartla test","Düşük öncelik"))))</x:f>
        <x:v>Revize et</x:v>
      </x:c>
      <x:c r="T287" s="50" t="str">
        <x:f>IF(AND(R287&gt;=85,P287&gt;=16,M287&gt;=12,L287&gt;=12),"Reel + Carousel",IF(AND(R287&gt;=85,P287&gt;=16,N287&gt;=8),"Soru odaklı Reel",IF(AND(R287&gt;=85,P287&gt;=16),"Reel / Short",IF(M287&gt;=11,"Carousel","Kart testi"))))</x:f>
        <x:v>Carousel</x:v>
      </x:c>
      <x:c r="U287" s="46" t="str">
        <x:v>Satış makinesini ambivertlerin geçmesi iyi ters köşe; dinleme dersi iş ve ilişkide kolay uygulanıyor.</x:v>
      </x:c>
      <x:c r="V287" s="46" t="str">
        <x:f>IF(Q287&lt;=3,"Kaynak kontrolü şart",IF(Q287=4,"Kaynak kontrolü önerilir","Standart doğrulama"))</x:f>
        <x:v>Kaynak kontrolü önerilir</x:v>
      </x:c>
    </x:row>
    <x:row r="288" ht="24" customHeight="1">
      <x:c r="A288" s="48" t="n">
        <x:f>COUNTIF($R$2:$R$751,"&gt;"&amp;R288)+COUNTIF($R$2:R288,R288)</x:f>
        <x:v>287</x:v>
      </x:c>
      <x:c r="B288" s="48" t="n">
        <x:v>1319</x:v>
      </x:c>
      <x:c r="C288" s="46" t="str">
        <x:v>Zaman kutulaması ve taahhüt</x:v>
      </x:c>
      <x:c r="D288" s="34" t="str">
        <x:v>Verimlilik</x:v>
      </x:c>
      <x:c r="E288" s="34" t="str">
        <x:v>Verimlilik</x:v>
      </x:c>
      <x:c r="F288" s="34" t="str">
        <x:v>Indistractable</x:v>
      </x:c>
      <x:c r="G288" s="34" t="str">
        <x:v>Nir Eyal</x:v>
      </x:c>
      <x:c r="H288" s="50" t="str">
        <x:v>1</x:v>
      </x:c>
      <x:c r="I288" s="50" t="str">
        <x:v>Temel</x:v>
      </x:c>
      <x:c r="J288" s="51" t="n">
        <x:v>12</x:v>
      </x:c>
      <x:c r="K288" s="51" t="n">
        <x:v>6</x:v>
      </x:c>
      <x:c r="L288" s="51" t="n">
        <x:v>11</x:v>
      </x:c>
      <x:c r="M288" s="51" t="n">
        <x:v>14</x:v>
      </x:c>
      <x:c r="N288" s="51" t="n">
        <x:v>9</x:v>
      </x:c>
      <x:c r="O288" s="51" t="n">
        <x:v>7</x:v>
      </x:c>
      <x:c r="P288" s="51" t="n">
        <x:v>16</x:v>
      </x:c>
      <x:c r="Q288" s="51" t="n">
        <x:v>4</x:v>
      </x:c>
      <x:c r="R288" s="52" t="n">
        <x:f>SUM(J288:Q288)</x:f>
        <x:v>79</x:v>
      </x:c>
      <x:c r="S288" s="50" t="str">
        <x:f>IF(R288&gt;='Rubrik'!$B$17,"Öncelikli video",IF(R288&gt;='Rubrik'!$B$18,"Video kuyruğu",IF(R288&gt;='Rubrik'!$B$19,"Revize et",IF(R288&gt;='Rubrik'!$B$20,"Kartla test","Düşük öncelik"))))</x:f>
        <x:v>Revize et</x:v>
      </x:c>
      <x:c r="T288" s="50" t="str">
        <x:f>IF(AND(R288&gt;=85,P288&gt;=16,M288&gt;=12,L288&gt;=12),"Reel + Carousel",IF(AND(R288&gt;=85,P288&gt;=16,N288&gt;=8),"Soru odaklı Reel",IF(AND(R288&gt;=85,P288&gt;=16),"Reel / Short",IF(M288&gt;=11,"Carousel","Kart testi"))))</x:f>
        <x:v>Carousel</x:v>
      </x:c>
      <x:c r="U288" s="46" t="str">
        <x:v>Takvimde olmayanın gerçekleşmemesi güçlü, kaydedilebilir bir kural; öncelik sırası somut uygulama veriyor.</x:v>
      </x:c>
      <x:c r="V288" s="46" t="str">
        <x:f>IF(Q288&lt;=3,"Kaynak kontrolü şart",IF(Q288=4,"Kaynak kontrolü önerilir","Standart doğrulama"))</x:f>
        <x:v>Kaynak kontrolü önerilir</x:v>
      </x:c>
    </x:row>
    <x:row r="289" ht="24" customHeight="1">
      <x:c r="A289" s="48" t="n">
        <x:f>COUNTIF($R$2:$R$751,"&gt;"&amp;R289)+COUNTIF($R$2:R289,R289)</x:f>
        <x:v>288</x:v>
      </x:c>
      <x:c r="B289" s="48" t="n">
        <x:v>1359</x:v>
      </x:c>
      <x:c r="C289" s="46" t="str">
        <x:v>Pazarlama empati işidir</x:v>
      </x:c>
      <x:c r="D289" s="34" t="str">
        <x:v>Finans</x:v>
      </x:c>
      <x:c r="E289" s="34" t="str">
        <x:v>Pazarlama</x:v>
      </x:c>
      <x:c r="F289" s="34" t="str">
        <x:v>Unutulmaz Markalar</x:v>
      </x:c>
      <x:c r="G289" s="34" t="str">
        <x:v>Seth Godin</x:v>
      </x:c>
      <x:c r="H289" s="50" t="str">
        <x:v>1</x:v>
      </x:c>
      <x:c r="I289" s="50" t="str">
        <x:v>Temel</x:v>
      </x:c>
      <x:c r="J289" s="51" t="n">
        <x:v>12</x:v>
      </x:c>
      <x:c r="K289" s="51" t="n">
        <x:v>7</x:v>
      </x:c>
      <x:c r="L289" s="51" t="n">
        <x:v>12</x:v>
      </x:c>
      <x:c r="M289" s="51" t="n">
        <x:v>13</x:v>
      </x:c>
      <x:c r="N289" s="51" t="n">
        <x:v>9</x:v>
      </x:c>
      <x:c r="O289" s="51" t="n">
        <x:v>7</x:v>
      </x:c>
      <x:c r="P289" s="51" t="n">
        <x:v>15</x:v>
      </x:c>
      <x:c r="Q289" s="51" t="n">
        <x:v>4</x:v>
      </x:c>
      <x:c r="R289" s="52" t="n">
        <x:f>SUM(J289:Q289)</x:f>
        <x:v>79</x:v>
      </x:c>
      <x:c r="S289" s="50" t="str">
        <x:f>IF(R289&gt;='Rubrik'!$B$17,"Öncelikli video",IF(R289&gt;='Rubrik'!$B$18,"Video kuyruğu",IF(R289&gt;='Rubrik'!$B$19,"Revize et",IF(R289&gt;='Rubrik'!$B$20,"Kartla test","Düşük öncelik"))))</x:f>
        <x:v>Revize et</x:v>
      </x:c>
      <x:c r="T289" s="50" t="str">
        <x:f>IF(AND(R289&gt;=85,P289&gt;=16,M289&gt;=12,L289&gt;=12),"Reel + Carousel",IF(AND(R289&gt;=85,P289&gt;=16,N289&gt;=8),"Soru odaklı Reel",IF(AND(R289&gt;=85,P289&gt;=16),"Reel / Short",IF(M289&gt;=11,"Carousel","Kart testi"))))</x:f>
        <x:v>Carousel</x:v>
      </x:c>
      <x:c r="U289" s="46" t="str">
        <x:v>Pazarlamayı manipülasyondan empatiye çevirmek güçlü marka mesajı; söz-ver-sözünü-tut çerçevesi kaydedilir.</x:v>
      </x:c>
      <x:c r="V289" s="46" t="str">
        <x:f>IF(Q289&lt;=3,"Kaynak kontrolü şart",IF(Q289=4,"Kaynak kontrolü önerilir","Standart doğrulama"))</x:f>
        <x:v>Kaynak kontrolü önerilir</x:v>
      </x:c>
    </x:row>
    <x:row r="290" ht="24" customHeight="1">
      <x:c r="A290" s="48" t="n">
        <x:f>COUNTIF($R$2:$R$751,"&gt;"&amp;R290)+COUNTIF($R$2:R290,R290)</x:f>
        <x:v>289</x:v>
      </x:c>
      <x:c r="B290" s="48" t="n">
        <x:v>1606</x:v>
      </x:c>
      <x:c r="C290" s="46" t="str">
        <x:v>Otomatik sistem — para kararlarını irade dışına taşımak</x:v>
      </x:c>
      <x:c r="D290" s="34" t="str">
        <x:v>Finans</x:v>
      </x:c>
      <x:c r="E290" s="34" t="str">
        <x:v>Finans</x:v>
      </x:c>
      <x:c r="F290" s="34" t="str">
        <x:v>Zengin Olmayı Öğrenmek</x:v>
      </x:c>
      <x:c r="G290" s="34" t="str">
        <x:v>Ramit Sethi</x:v>
      </x:c>
      <x:c r="H290" s="50" t="str">
        <x:v>1</x:v>
      </x:c>
      <x:c r="I290" s="50" t="str">
        <x:v>Temel</x:v>
      </x:c>
      <x:c r="J290" s="51" t="n">
        <x:v>12</x:v>
      </x:c>
      <x:c r="K290" s="51" t="n">
        <x:v>6</x:v>
      </x:c>
      <x:c r="L290" s="51" t="n">
        <x:v>12</x:v>
      </x:c>
      <x:c r="M290" s="51" t="n">
        <x:v>15</x:v>
      </x:c>
      <x:c r="N290" s="51" t="n">
        <x:v>8</x:v>
      </x:c>
      <x:c r="O290" s="51" t="n">
        <x:v>6</x:v>
      </x:c>
      <x:c r="P290" s="51" t="n">
        <x:v>15</x:v>
      </x:c>
      <x:c r="Q290" s="51" t="n">
        <x:v>5</x:v>
      </x:c>
      <x:c r="R290" s="52" t="n">
        <x:f>SUM(J290:Q290)</x:f>
        <x:v>79</x:v>
      </x:c>
      <x:c r="S290" s="50" t="str">
        <x:f>IF(R290&gt;='Rubrik'!$B$17,"Öncelikli video",IF(R290&gt;='Rubrik'!$B$18,"Video kuyruğu",IF(R290&gt;='Rubrik'!$B$19,"Revize et",IF(R290&gt;='Rubrik'!$B$20,"Kartla test","Düşük öncelik"))))</x:f>
        <x:v>Revize et</x:v>
      </x:c>
      <x:c r="T290" s="50" t="str">
        <x:f>IF(AND(R290&gt;=85,P290&gt;=16,M290&gt;=12,L290&gt;=12),"Reel + Carousel",IF(AND(R290&gt;=85,P290&gt;=16,N290&gt;=8),"Soru odaklı Reel",IF(AND(R290&gt;=85,P290&gt;=16),"Reel / Short",IF(M290&gt;=11,"Carousel","Kart testi"))))</x:f>
        <x:v>Carousel</x:v>
      </x:c>
      <x:c r="U290" s="46" t="str">
        <x:v>Parayı otomatik pilotta biriktirmek net sistem ve anında eylem sunuyor; finans kitlesinde güçlü kaydetmelik.</x:v>
      </x:c>
      <x:c r="V290" s="46" t="str">
        <x:f>IF(Q290&lt;=3,"Kaynak kontrolü şart",IF(Q290=4,"Kaynak kontrolü önerilir","Standart doğrulama"))</x:f>
        <x:v>Standart doğrulama</x:v>
      </x:c>
    </x:row>
    <x:row r="291" ht="24" customHeight="1">
      <x:c r="A291" s="48" t="n">
        <x:f>COUNTIF($R$2:$R$751,"&gt;"&amp;R291)+COUNTIF($R$2:R291,R291)</x:f>
        <x:v>290</x:v>
      </x:c>
      <x:c r="B291" s="48" t="n">
        <x:v>1078</x:v>
      </x:c>
      <x:c r="C291" s="46" t="str">
        <x:v>Kapıya ayak koyma tekniği</x:v>
      </x:c>
      <x:c r="D291" s="34" t="str">
        <x:v>Psikoloji</x:v>
      </x:c>
      <x:c r="E291" s="34" t="str">
        <x:v>Psikoloji</x:v>
      </x:c>
      <x:c r="F291" s="34" t="str">
        <x:v>Influence</x:v>
      </x:c>
      <x:c r="G291" s="34" t="str">
        <x:v>Robert Cialdini</x:v>
      </x:c>
      <x:c r="H291" s="50" t="str">
        <x:v>1</x:v>
      </x:c>
      <x:c r="I291" s="50" t="str">
        <x:v>Temel</x:v>
      </x:c>
      <x:c r="J291" s="51" t="n">
        <x:v>13</x:v>
      </x:c>
      <x:c r="K291" s="51" t="n">
        <x:v>7</x:v>
      </x:c>
      <x:c r="L291" s="51" t="n">
        <x:v>11</x:v>
      </x:c>
      <x:c r="M291" s="51" t="n">
        <x:v>13</x:v>
      </x:c>
      <x:c r="N291" s="51" t="n">
        <x:v>9</x:v>
      </x:c>
      <x:c r="O291" s="51" t="n">
        <x:v>7</x:v>
      </x:c>
      <x:c r="P291" s="51" t="n">
        <x:v>15</x:v>
      </x:c>
      <x:c r="Q291" s="51" t="n">
        <x:v>4</x:v>
      </x:c>
      <x:c r="R291" s="52" t="n">
        <x:f>SUM(J291:Q291)</x:f>
        <x:v>79</x:v>
      </x:c>
      <x:c r="S291" s="50" t="str">
        <x:f>IF(R291&gt;='Rubrik'!$B$17,"Öncelikli video",IF(R291&gt;='Rubrik'!$B$18,"Video kuyruğu",IF(R291&gt;='Rubrik'!$B$19,"Revize et",IF(R291&gt;='Rubrik'!$B$20,"Kartla test","Düşük öncelik"))))</x:f>
        <x:v>Revize et</x:v>
      </x:c>
      <x:c r="T291" s="50" t="str">
        <x:f>IF(AND(R291&gt;=85,P291&gt;=16,M291&gt;=12,L291&gt;=12),"Reel + Carousel",IF(AND(R291&gt;=85,P291&gt;=16,N291&gt;=8),"Soru odaklı Reel",IF(AND(R291&gt;=85,P291&gt;=16),"Reel / Short",IF(M291&gt;=11,"Carousel","Kart testi"))))</x:f>
        <x:v>Carousel</x:v>
      </x:c>
      <x:c r="U291" s="46" t="str">
        <x:v>Küçük evetten büyük levhaya sıçrama net, şaşırtıcı ve gündelik ikna davranışını sorgulatıyor.</x:v>
      </x:c>
      <x:c r="V291" s="46" t="str">
        <x:f>IF(Q291&lt;=3,"Kaynak kontrolü şart",IF(Q291=4,"Kaynak kontrolü önerilir","Standart doğrulama"))</x:f>
        <x:v>Kaynak kontrolü önerilir</x:v>
      </x:c>
    </x:row>
    <x:row r="292" ht="24" customHeight="1">
      <x:c r="A292" s="48" t="n">
        <x:f>COUNTIF($R$2:$R$751,"&gt;"&amp;R292)+COUNTIF($R$2:R292,R292)</x:f>
        <x:v>291</x:v>
      </x:c>
      <x:c r="B292" s="48" t="n">
        <x:v>1080</x:v>
      </x:c>
      <x:c r="C292" s="46" t="str">
        <x:v>Sosyal kanıt ve otel havluları</x:v>
      </x:c>
      <x:c r="D292" s="34" t="str">
        <x:v>Psikoloji</x:v>
      </x:c>
      <x:c r="E292" s="34" t="str">
        <x:v>Psikoloji</x:v>
      </x:c>
      <x:c r="F292" s="34" t="str">
        <x:v>Influence</x:v>
      </x:c>
      <x:c r="G292" s="34" t="str">
        <x:v>Robert Cialdini</x:v>
      </x:c>
      <x:c r="H292" s="50" t="str">
        <x:v>1</x:v>
      </x:c>
      <x:c r="I292" s="50" t="str">
        <x:v>Temel</x:v>
      </x:c>
      <x:c r="J292" s="51" t="n">
        <x:v>14</x:v>
      </x:c>
      <x:c r="K292" s="51" t="n">
        <x:v>7</x:v>
      </x:c>
      <x:c r="L292" s="51" t="n">
        <x:v>11</x:v>
      </x:c>
      <x:c r="M292" s="51" t="n">
        <x:v>13</x:v>
      </x:c>
      <x:c r="N292" s="51" t="n">
        <x:v>8</x:v>
      </x:c>
      <x:c r="O292" s="51" t="n">
        <x:v>7</x:v>
      </x:c>
      <x:c r="P292" s="51" t="n">
        <x:v>15</x:v>
      </x:c>
      <x:c r="Q292" s="51" t="n">
        <x:v>4</x:v>
      </x:c>
      <x:c r="R292" s="52" t="n">
        <x:f>SUM(J292:Q292)</x:f>
        <x:v>79</x:v>
      </x:c>
      <x:c r="S292" s="50" t="str">
        <x:f>IF(R292&gt;='Rubrik'!$B$17,"Öncelikli video",IF(R292&gt;='Rubrik'!$B$18,"Video kuyruğu",IF(R292&gt;='Rubrik'!$B$19,"Revize et",IF(R292&gt;='Rubrik'!$B$20,"Kartla test","Düşük öncelik"))))</x:f>
        <x:v>Revize et</x:v>
      </x:c>
      <x:c r="T292" s="50" t="str">
        <x:f>IF(AND(R292&gt;=85,P292&gt;=16,M292&gt;=12,L292&gt;=12),"Reel + Carousel",IF(AND(R292&gt;=85,P292&gt;=16,N292&gt;=8),"Soru odaklı Reel",IF(AND(R292&gt;=85,P292&gt;=16),"Reel / Short",IF(M292&gt;=11,"Carousel","Kart testi"))))</x:f>
        <x:v>Carousel</x:v>
      </x:c>
      <x:c r="U292" s="46" t="str">
        <x:v>Tek cümleyle değişen havlu davranışı somut sosyal kanıt sunuyor; kısa video kurgusu çok temiz.</x:v>
      </x:c>
      <x:c r="V292" s="46" t="str">
        <x:f>IF(Q292&lt;=3,"Kaynak kontrolü şart",IF(Q292=4,"Kaynak kontrolü önerilir","Standart doğrulama"))</x:f>
        <x:v>Kaynak kontrolü önerilir</x:v>
      </x:c>
    </x:row>
    <x:row r="293" ht="24" customHeight="1">
      <x:c r="A293" s="48" t="n">
        <x:f>COUNTIF($R$2:$R$751,"&gt;"&amp;R293)+COUNTIF($R$2:R293,R293)</x:f>
        <x:v>292</x:v>
      </x:c>
      <x:c r="B293" s="48" t="n">
        <x:v>1350</x:v>
      </x:c>
      <x:c r="C293" s="46" t="str">
        <x:v>Aralıklı tekrar ve unutma paradoksu</x:v>
      </x:c>
      <x:c r="D293" s="34" t="str">
        <x:v>Felsefe</x:v>
      </x:c>
      <x:c r="E293" s="34" t="str">
        <x:v>Öğrenme</x:v>
      </x:c>
      <x:c r="F293" s="34" t="str">
        <x:v>Öğrenmeyi Öğrenmek</x:v>
      </x:c>
      <x:c r="G293" s="34" t="str">
        <x:v>Peter Brown</x:v>
      </x:c>
      <x:c r="H293" s="50" t="str">
        <x:v>1</x:v>
      </x:c>
      <x:c r="I293" s="50" t="str">
        <x:v>Temel</x:v>
      </x:c>
      <x:c r="J293" s="51" t="n">
        <x:v>12</x:v>
      </x:c>
      <x:c r="K293" s="51" t="n">
        <x:v>6</x:v>
      </x:c>
      <x:c r="L293" s="51" t="n">
        <x:v>11</x:v>
      </x:c>
      <x:c r="M293" s="51" t="n">
        <x:v>14</x:v>
      </x:c>
      <x:c r="N293" s="51" t="n">
        <x:v>9</x:v>
      </x:c>
      <x:c r="O293" s="51" t="n">
        <x:v>7</x:v>
      </x:c>
      <x:c r="P293" s="51" t="n">
        <x:v>15</x:v>
      </x:c>
      <x:c r="Q293" s="51" t="n">
        <x:v>5</x:v>
      </x:c>
      <x:c r="R293" s="52" t="n">
        <x:f>SUM(J293:Q293)</x:f>
        <x:v>79</x:v>
      </x:c>
      <x:c r="S293" s="50" t="str">
        <x:f>IF(R293&gt;='Rubrik'!$B$17,"Öncelikli video",IF(R293&gt;='Rubrik'!$B$18,"Video kuyruğu",IF(R293&gt;='Rubrik'!$B$19,"Revize et",IF(R293&gt;='Rubrik'!$B$20,"Kartla test","Düşük öncelik"))))</x:f>
        <x:v>Revize et</x:v>
      </x:c>
      <x:c r="T293" s="50" t="str">
        <x:f>IF(AND(R293&gt;=85,P293&gt;=16,M293&gt;=12,L293&gt;=12),"Reel + Carousel",IF(AND(R293&gt;=85,P293&gt;=16,N293&gt;=8),"Soru odaklı Reel",IF(AND(R293&gt;=85,P293&gt;=16),"Reel / Short",IF(M293&gt;=11,"Carousel","Kart testi"))))</x:f>
        <x:v>Carousel</x:v>
      </x:c>
      <x:c r="U293" s="46" t="str">
        <x:v>Biraz unutmanın öğrenmeyi güçlendirmesi iyi bir paradoks; aralıklı tekrar planı yüksek kaydetme değeri taşıyor.</x:v>
      </x:c>
      <x:c r="V293" s="46" t="str">
        <x:f>IF(Q293&lt;=3,"Kaynak kontrolü şart",IF(Q293=4,"Kaynak kontrolü önerilir","Standart doğrulama"))</x:f>
        <x:v>Standart doğrulama</x:v>
      </x:c>
    </x:row>
    <x:row r="294" ht="24" customHeight="1">
      <x:c r="A294" s="48" t="n">
        <x:f>COUNTIF($R$2:$R$751,"&gt;"&amp;R294)+COUNTIF($R$2:R294,R294)</x:f>
        <x:v>293</x:v>
      </x:c>
      <x:c r="B294" s="48" t="n">
        <x:v>1744</x:v>
      </x:c>
      <x:c r="C294" s="46" t="str">
        <x:v>Küçük Bir Ada Çöküşten Nasıl Kaçtı?</x:v>
      </x:c>
      <x:c r="D294" s="34" t="str">
        <x:v>Tarih</x:v>
      </x:c>
      <x:c r="E294" s="34" t="str">
        <x:v>Tarih</x:v>
      </x:c>
      <x:c r="F294" s="34" t="str">
        <x:v>Collapse</x:v>
      </x:c>
      <x:c r="G294" s="34" t="str">
        <x:v>Jared Diamond</x:v>
      </x:c>
      <x:c r="H294" s="50" t="str">
        <x:v>2</x:v>
      </x:c>
      <x:c r="I294" s="50" t="str">
        <x:v>Zengin</x:v>
      </x:c>
      <x:c r="J294" s="51" t="n">
        <x:v>12</x:v>
      </x:c>
      <x:c r="K294" s="51" t="n">
        <x:v>6</x:v>
      </x:c>
      <x:c r="L294" s="51" t="n">
        <x:v>13</x:v>
      </x:c>
      <x:c r="M294" s="51" t="n">
        <x:v>10</x:v>
      </x:c>
      <x:c r="N294" s="51" t="n">
        <x:v>8</x:v>
      </x:c>
      <x:c r="O294" s="51" t="n">
        <x:v>7</x:v>
      </x:c>
      <x:c r="P294" s="51" t="n">
        <x:v>18</x:v>
      </x:c>
      <x:c r="Q294" s="51" t="n">
        <x:v>4</x:v>
      </x:c>
      <x:c r="R294" s="52" t="n">
        <x:f>SUM(J294:Q294)</x:f>
        <x:v>78</x:v>
      </x:c>
      <x:c r="S294" s="50" t="str">
        <x:f>IF(R294&gt;='Rubrik'!$B$17,"Öncelikli video",IF(R294&gt;='Rubrik'!$B$18,"Video kuyruğu",IF(R294&gt;='Rubrik'!$B$19,"Revize et",IF(R294&gt;='Rubrik'!$B$20,"Kartla test","Düşük öncelik"))))</x:f>
        <x:v>Revize et</x:v>
      </x:c>
      <x:c r="T294" s="50" t="str">
        <x:f>IF(AND(R294&gt;=85,P294&gt;=16,M294&gt;=12,L294&gt;=12),"Reel + Carousel",IF(AND(R294&gt;=85,P294&gt;=16,N294&gt;=8),"Soru odaklı Reel",IF(AND(R294&gt;=85,P294&gt;=16),"Reel / Short",IF(M294&gt;=11,"Carousel","Kart testi"))))</x:f>
        <x:v>Kart testi</x:v>
      </x:c>
      <x:c r="U294" s="46" t="str">
        <x:v>Uygulanabilir çerçeve, hikâyeyi geri dönüp kaydetmeye değer kılıyor; olay örgüsü geliştirilmeli.</x:v>
      </x:c>
      <x:c r="V294" s="46" t="str">
        <x:f>IF(Q294&lt;=3,"Kaynak kontrolü şart",IF(Q294=4,"Kaynak kontrolü önerilir","Standart doğrulama"))</x:f>
        <x:v>Kaynak kontrolü önerilir</x:v>
      </x:c>
    </x:row>
    <x:row r="295" ht="24" customHeight="1">
      <x:c r="A295" s="48" t="n">
        <x:f>COUNTIF($R$2:$R$751,"&gt;"&amp;R295)+COUNTIF($R$2:R295,R295)</x:f>
        <x:v>294</x:v>
      </x:c>
      <x:c r="B295" s="48" t="n">
        <x:v>1760</x:v>
      </x:c>
      <x:c r="C295" s="46" t="str">
        <x:v>Ağaçların Gizli Ağı</x:v>
      </x:c>
      <x:c r="D295" s="34" t="str">
        <x:v>Psikoloji</x:v>
      </x:c>
      <x:c r="E295" s="34" t="str">
        <x:v>Psikoloji</x:v>
      </x:c>
      <x:c r="F295" s="34" t="str">
        <x:v>The Hidden Life of Trees</x:v>
      </x:c>
      <x:c r="G295" s="34" t="str">
        <x:v>Peter Wohlleben</x:v>
      </x:c>
      <x:c r="H295" s="50" t="str">
        <x:v>2</x:v>
      </x:c>
      <x:c r="I295" s="50" t="str">
        <x:v>Zengin</x:v>
      </x:c>
      <x:c r="J295" s="51" t="n">
        <x:v>11</x:v>
      </x:c>
      <x:c r="K295" s="51" t="n">
        <x:v>7</x:v>
      </x:c>
      <x:c r="L295" s="51" t="n">
        <x:v>13</x:v>
      </x:c>
      <x:c r="M295" s="51" t="n">
        <x:v>9</x:v>
      </x:c>
      <x:c r="N295" s="51" t="n">
        <x:v>9</x:v>
      </x:c>
      <x:c r="O295" s="51" t="n">
        <x:v>7</x:v>
      </x:c>
      <x:c r="P295" s="51" t="n">
        <x:v>18</x:v>
      </x:c>
      <x:c r="Q295" s="51" t="n">
        <x:v>4</x:v>
      </x:c>
      <x:c r="R295" s="52" t="n">
        <x:f>SUM(J295:Q295)</x:f>
        <x:v>78</x:v>
      </x:c>
      <x:c r="S295" s="50" t="str">
        <x:f>IF(R295&gt;='Rubrik'!$B$17,"Öncelikli video",IF(R295&gt;='Rubrik'!$B$18,"Video kuyruğu",IF(R295&gt;='Rubrik'!$B$19,"Revize et",IF(R295&gt;='Rubrik'!$B$20,"Kartla test","Düşük öncelik"))))</x:f>
        <x:v>Revize et</x:v>
      </x:c>
      <x:c r="T295" s="50" t="str">
        <x:f>IF(AND(R295&gt;=85,P295&gt;=16,M295&gt;=12,L295&gt;=12),"Reel + Carousel",IF(AND(R295&gt;=85,P295&gt;=16,N295&gt;=8),"Soru odaklı Reel",IF(AND(R295&gt;=85,P295&gt;=16),"Reel / Short",IF(M295&gt;=11,"Carousel","Kart testi"))))</x:f>
        <x:v>Kart testi</x:v>
      </x:c>
      <x:c r="U295" s="46" t="str">
        <x:v>Duygusal karşıtlık paylaşma ve kişisel anlatma isteğini yükseltiyor; olay örgüsü geliştirilmeli.</x:v>
      </x:c>
      <x:c r="V295" s="46" t="str">
        <x:f>IF(Q295&lt;=3,"Kaynak kontrolü şart",IF(Q295=4,"Kaynak kontrolü önerilir","Standart doğrulama"))</x:f>
        <x:v>Kaynak kontrolü önerilir</x:v>
      </x:c>
    </x:row>
    <x:row r="296" ht="24" customHeight="1">
      <x:c r="A296" s="48" t="n">
        <x:f>COUNTIF($R$2:$R$751,"&gt;"&amp;R296)+COUNTIF($R$2:R296,R296)</x:f>
        <x:v>295</x:v>
      </x:c>
      <x:c r="B296" s="48" t="n">
        <x:v>1777</x:v>
      </x:c>
      <x:c r="C296" s="46" t="str">
        <x:v>Bagajdan Doğan Nike</x:v>
      </x:c>
      <x:c r="D296" s="34" t="str">
        <x:v>Liderlik</x:v>
      </x:c>
      <x:c r="E296" s="34" t="str">
        <x:v>Liderlik</x:v>
      </x:c>
      <x:c r="F296" s="34" t="str">
        <x:v>Shoe Dog</x:v>
      </x:c>
      <x:c r="G296" s="34" t="str">
        <x:v>Phil Knight</x:v>
      </x:c>
      <x:c r="H296" s="50" t="str">
        <x:v>2</x:v>
      </x:c>
      <x:c r="I296" s="50" t="str">
        <x:v>Zengin</x:v>
      </x:c>
      <x:c r="J296" s="51" t="n">
        <x:v>12</x:v>
      </x:c>
      <x:c r="K296" s="51" t="n">
        <x:v>5</x:v>
      </x:c>
      <x:c r="L296" s="51" t="n">
        <x:v>13</x:v>
      </x:c>
      <x:c r="M296" s="51" t="n">
        <x:v>9</x:v>
      </x:c>
      <x:c r="N296" s="51" t="n">
        <x:v>7</x:v>
      </x:c>
      <x:c r="O296" s="51" t="n">
        <x:v>9</x:v>
      </x:c>
      <x:c r="P296" s="51" t="n">
        <x:v>18</x:v>
      </x:c>
      <x:c r="Q296" s="51" t="n">
        <x:v>5</x:v>
      </x:c>
      <x:c r="R296" s="52" t="n">
        <x:f>SUM(J296:Q296)</x:f>
        <x:v>78</x:v>
      </x:c>
      <x:c r="S296" s="50" t="str">
        <x:f>IF(R296&gt;='Rubrik'!$B$17,"Öncelikli video",IF(R296&gt;='Rubrik'!$B$18,"Video kuyruğu",IF(R296&gt;='Rubrik'!$B$19,"Revize et",IF(R296&gt;='Rubrik'!$B$20,"Kartla test","Düşük öncelik"))))</x:f>
        <x:v>Revize et</x:v>
      </x:c>
      <x:c r="T296" s="50" t="str">
        <x:f>IF(AND(R296&gt;=85,P296&gt;=16,M296&gt;=12,L296&gt;=12),"Reel + Carousel",IF(AND(R296&gt;=85,P296&gt;=16,N296&gt;=8),"Soru odaklı Reel",IF(AND(R296&gt;=85,P296&gt;=16),"Reel / Short",IF(M296&gt;=11,"Carousel","Kart testi"))))</x:f>
        <x:v>Kart testi</x:v>
      </x:c>
      <x:c r="U296" s="46" t="str">
        <x:v>Somut sahne ve sayısal ayrıntı güçlü bir video açılışı sağlıyor; ilk saniye etkisi yeterli.</x:v>
      </x:c>
      <x:c r="V296" s="46" t="str">
        <x:f>IF(Q296&lt;=3,"Kaynak kontrolü şart",IF(Q296=4,"Kaynak kontrolü önerilir","Standart doğrulama"))</x:f>
        <x:v>Standart doğrulama</x:v>
      </x:c>
    </x:row>
    <x:row r="297" ht="24" customHeight="1">
      <x:c r="A297" s="48" t="n">
        <x:f>COUNTIF($R$2:$R$751,"&gt;"&amp;R297)+COUNTIF($R$2:R297,R297)</x:f>
        <x:v>296</x:v>
      </x:c>
      <x:c r="B297" s="48" t="n">
        <x:v>1779</x:v>
      </x:c>
      <x:c r="C297" s="46" t="str">
        <x:v>Devralınan Şirketleri Değiştirmemek</x:v>
      </x:c>
      <x:c r="D297" s="34" t="str">
        <x:v>Liderlik</x:v>
      </x:c>
      <x:c r="E297" s="34" t="str">
        <x:v>Liderlik</x:v>
      </x:c>
      <x:c r="F297" s="34" t="str">
        <x:v>The Ride of a Lifetime</x:v>
      </x:c>
      <x:c r="G297" s="34" t="str">
        <x:v>Robert Iger</x:v>
      </x:c>
      <x:c r="H297" s="50" t="str">
        <x:v>2</x:v>
      </x:c>
      <x:c r="I297" s="50" t="str">
        <x:v>Zengin</x:v>
      </x:c>
      <x:c r="J297" s="51" t="n">
        <x:v>12</x:v>
      </x:c>
      <x:c r="K297" s="51" t="n">
        <x:v>6</x:v>
      </x:c>
      <x:c r="L297" s="51" t="n">
        <x:v>13</x:v>
      </x:c>
      <x:c r="M297" s="51" t="n">
        <x:v>8</x:v>
      </x:c>
      <x:c r="N297" s="51" t="n">
        <x:v>8</x:v>
      </x:c>
      <x:c r="O297" s="51" t="n">
        <x:v>9</x:v>
      </x:c>
      <x:c r="P297" s="51" t="n">
        <x:v>18</x:v>
      </x:c>
      <x:c r="Q297" s="51" t="n">
        <x:v>4</x:v>
      </x:c>
      <x:c r="R297" s="52" t="n">
        <x:f>SUM(J297:Q297)</x:f>
        <x:v>78</x:v>
      </x:c>
      <x:c r="S297" s="50" t="str">
        <x:f>IF(R297&gt;='Rubrik'!$B$17,"Öncelikli video",IF(R297&gt;='Rubrik'!$B$18,"Video kuyruğu",IF(R297&gt;='Rubrik'!$B$19,"Revize et",IF(R297&gt;='Rubrik'!$B$20,"Kartla test","Düşük öncelik"))))</x:f>
        <x:v>Revize et</x:v>
      </x:c>
      <x:c r="T297" s="50" t="str">
        <x:f>IF(AND(R297&gt;=85,P297&gt;=16,M297&gt;=12,L297&gt;=12),"Reel + Carousel",IF(AND(R297&gt;=85,P297&gt;=16,N297&gt;=8),"Soru odaklı Reel",IF(AND(R297&gt;=85,P297&gt;=16),"Reel / Short",IF(M297&gt;=11,"Carousel","Kart testi"))))</x:f>
        <x:v>Kart testi</x:v>
      </x:c>
      <x:c r="U297" s="46" t="str">
        <x:v>Merak sorusu ve karşıtlık ilk saniye etkisini güçlendiriyor; ilk saniye etkisi yeterli.</x:v>
      </x:c>
      <x:c r="V297" s="46" t="str">
        <x:f>IF(Q297&lt;=3,"Kaynak kontrolü şart",IF(Q297=4,"Kaynak kontrolü önerilir","Standart doğrulama"))</x:f>
        <x:v>Kaynak kontrolü önerilir</x:v>
      </x:c>
    </x:row>
    <x:row r="298" ht="24" customHeight="1">
      <x:c r="A298" s="48" t="n">
        <x:f>COUNTIF($R$2:$R$751,"&gt;"&amp;R298)+COUNTIF($R$2:R298,R298)</x:f>
        <x:v>297</x:v>
      </x:c>
      <x:c r="B298" s="48" t="n">
        <x:v>1794</x:v>
      </x:c>
      <x:c r="C298" s="46" t="str">
        <x:v>Boş Konfeti</x:v>
      </x:c>
      <x:c r="D298" s="34" t="str">
        <x:v>Liderlik</x:v>
      </x:c>
      <x:c r="E298" s="34" t="str">
        <x:v>Liderlik</x:v>
      </x:c>
      <x:c r="F298" s="34" t="str">
        <x:v>Delivering Happiness</x:v>
      </x:c>
      <x:c r="G298" s="34" t="str">
        <x:v>Tony Hsieh</x:v>
      </x:c>
      <x:c r="H298" s="50" t="str">
        <x:v>C1</x:v>
      </x:c>
      <x:c r="I298" s="50" t="str">
        <x:v>Zengin</x:v>
      </x:c>
      <x:c r="J298" s="51" t="n">
        <x:v>11</x:v>
      </x:c>
      <x:c r="K298" s="51" t="n">
        <x:v>7</x:v>
      </x:c>
      <x:c r="L298" s="51" t="n">
        <x:v>13</x:v>
      </x:c>
      <x:c r="M298" s="51" t="n">
        <x:v>10</x:v>
      </x:c>
      <x:c r="N298" s="51" t="n">
        <x:v>8</x:v>
      </x:c>
      <x:c r="O298" s="51" t="n">
        <x:v>8</x:v>
      </x:c>
      <x:c r="P298" s="51" t="n">
        <x:v>18</x:v>
      </x:c>
      <x:c r="Q298" s="51" t="n">
        <x:v>3</x:v>
      </x:c>
      <x:c r="R298" s="52" t="n">
        <x:f>SUM(J298:Q298)</x:f>
        <x:v>78</x:v>
      </x:c>
      <x:c r="S298" s="50" t="str">
        <x:f>IF(R298&gt;='Rubrik'!$B$17,"Öncelikli video",IF(R298&gt;='Rubrik'!$B$18,"Video kuyruğu",IF(R298&gt;='Rubrik'!$B$19,"Revize et",IF(R298&gt;='Rubrik'!$B$20,"Kartla test","Düşük öncelik"))))</x:f>
        <x:v>Revize et</x:v>
      </x:c>
      <x:c r="T298" s="50" t="str">
        <x:f>IF(AND(R298&gt;=85,P298&gt;=16,M298&gt;=12,L298&gt;=12),"Reel + Carousel",IF(AND(R298&gt;=85,P298&gt;=16,N298&gt;=8),"Soru odaklı Reel",IF(AND(R298&gt;=85,P298&gt;=16),"Reel / Short",IF(M298&gt;=11,"Carousel","Kart testi"))))</x:f>
        <x:v>Kart testi</x:v>
      </x:c>
      <x:c r="U298" s="46" t="str">
        <x:v>Uygulanabilir çerçeve, hikâyeyi geri dönüp kaydetmeye değer kılıyor; ilk saniye etkisi geliştirilmeli.</x:v>
      </x:c>
      <x:c r="V298" s="46" t="str">
        <x:f>IF(Q298&lt;=3,"Kaynak kontrolü şart",IF(Q298=4,"Kaynak kontrolü önerilir","Standart doğrulama"))</x:f>
        <x:v>Kaynak kontrolü şart</x:v>
      </x:c>
    </x:row>
    <x:row r="299" ht="24" customHeight="1">
      <x:c r="A299" s="48" t="n">
        <x:f>COUNTIF($R$2:$R$751,"&gt;"&amp;R299)+COUNTIF($R$2:R299,R299)</x:f>
        <x:v>298</x:v>
      </x:c>
      <x:c r="B299" s="48" t="n">
        <x:v>1706</x:v>
      </x:c>
      <x:c r="C299" s="46" t="str">
        <x:v>Bir Yüz Neden Binlerce İstatistikten Güçlüdür?</x:v>
      </x:c>
      <x:c r="D299" s="34" t="str">
        <x:v>Psikoloji</x:v>
      </x:c>
      <x:c r="E299" s="34" t="str">
        <x:v>Psikoloji</x:v>
      </x:c>
      <x:c r="F299" s="34" t="str">
        <x:v>Against Empathy</x:v>
      </x:c>
      <x:c r="G299" s="34" t="str">
        <x:v>Paul Bloom</x:v>
      </x:c>
      <x:c r="H299" s="50" t="str">
        <x:v>2</x:v>
      </x:c>
      <x:c r="I299" s="50" t="str">
        <x:v>Zengin</x:v>
      </x:c>
      <x:c r="J299" s="51" t="n">
        <x:v>12</x:v>
      </x:c>
      <x:c r="K299" s="51" t="n">
        <x:v>7</x:v>
      </x:c>
      <x:c r="L299" s="51" t="n">
        <x:v>13</x:v>
      </x:c>
      <x:c r="M299" s="51" t="n">
        <x:v>9</x:v>
      </x:c>
      <x:c r="N299" s="51" t="n">
        <x:v>9</x:v>
      </x:c>
      <x:c r="O299" s="51" t="n">
        <x:v>7</x:v>
      </x:c>
      <x:c r="P299" s="51" t="n">
        <x:v>17</x:v>
      </x:c>
      <x:c r="Q299" s="51" t="n">
        <x:v>4</x:v>
      </x:c>
      <x:c r="R299" s="52" t="n">
        <x:f>SUM(J299:Q299)</x:f>
        <x:v>78</x:v>
      </x:c>
      <x:c r="S299" s="50" t="str">
        <x:f>IF(R299&gt;='Rubrik'!$B$17,"Öncelikli video",IF(R299&gt;='Rubrik'!$B$18,"Video kuyruğu",IF(R299&gt;='Rubrik'!$B$19,"Revize et",IF(R299&gt;='Rubrik'!$B$20,"Kartla test","Düşük öncelik"))))</x:f>
        <x:v>Revize et</x:v>
      </x:c>
      <x:c r="T299" s="50" t="str">
        <x:f>IF(AND(R299&gt;=85,P299&gt;=16,M299&gt;=12,L299&gt;=12),"Reel + Carousel",IF(AND(R299&gt;=85,P299&gt;=16,N299&gt;=8),"Soru odaklı Reel",IF(AND(R299&gt;=85,P299&gt;=16),"Reel / Short",IF(M299&gt;=11,"Carousel","Kart testi"))))</x:f>
        <x:v>Kart testi</x:v>
      </x:c>
      <x:c r="U299" s="46" t="str">
        <x:v>Duygusal karşıtlık paylaşma ve kişisel anlatma isteğini yükseltiyor; olay örgüsü geliştirilmeli.</x:v>
      </x:c>
      <x:c r="V299" s="46" t="str">
        <x:f>IF(Q299&lt;=3,"Kaynak kontrolü şart",IF(Q299=4,"Kaynak kontrolü önerilir","Standart doğrulama"))</x:f>
        <x:v>Kaynak kontrolü önerilir</x:v>
      </x:c>
    </x:row>
    <x:row r="300" ht="24" customHeight="1">
      <x:c r="A300" s="48" t="n">
        <x:f>COUNTIF($R$2:$R$751,"&gt;"&amp;R300)+COUNTIF($R$2:R300,R300)</x:f>
        <x:v>299</x:v>
      </x:c>
      <x:c r="B300" s="48" t="n">
        <x:v>1727</x:v>
      </x:c>
      <x:c r="C300" s="46" t="str">
        <x:v>Aynı Dosyaya Bakan Uzmanlar Neden Farklı Fiyat Söyledi?</x:v>
      </x:c>
      <x:c r="D300" s="34" t="str">
        <x:v>Finans</x:v>
      </x:c>
      <x:c r="E300" s="34" t="str">
        <x:v>İş &amp; Girişim</x:v>
      </x:c>
      <x:c r="F300" s="34" t="str">
        <x:v>Noise</x:v>
      </x:c>
      <x:c r="G300" s="34" t="str">
        <x:v>Daniel Kahneman, Olivier Sibony ve Cass R. Sunstein</x:v>
      </x:c>
      <x:c r="H300" s="50" t="str">
        <x:v>2</x:v>
      </x:c>
      <x:c r="I300" s="50" t="str">
        <x:v>Zengin</x:v>
      </x:c>
      <x:c r="J300" s="51" t="n">
        <x:v>12</x:v>
      </x:c>
      <x:c r="K300" s="51" t="n">
        <x:v>7</x:v>
      </x:c>
      <x:c r="L300" s="51" t="n">
        <x:v>13</x:v>
      </x:c>
      <x:c r="M300" s="51" t="n">
        <x:v>9</x:v>
      </x:c>
      <x:c r="N300" s="51" t="n">
        <x:v>9</x:v>
      </x:c>
      <x:c r="O300" s="51" t="n">
        <x:v>7</x:v>
      </x:c>
      <x:c r="P300" s="51" t="n">
        <x:v>17</x:v>
      </x:c>
      <x:c r="Q300" s="51" t="n">
        <x:v>4</x:v>
      </x:c>
      <x:c r="R300" s="52" t="n">
        <x:f>SUM(J300:Q300)</x:f>
        <x:v>78</x:v>
      </x:c>
      <x:c r="S300" s="50" t="str">
        <x:f>IF(R300&gt;='Rubrik'!$B$17,"Öncelikli video",IF(R300&gt;='Rubrik'!$B$18,"Video kuyruğu",IF(R300&gt;='Rubrik'!$B$19,"Revize et",IF(R300&gt;='Rubrik'!$B$20,"Kartla test","Düşük öncelik"))))</x:f>
        <x:v>Revize et</x:v>
      </x:c>
      <x:c r="T300" s="50" t="str">
        <x:f>IF(AND(R300&gt;=85,P300&gt;=16,M300&gt;=12,L300&gt;=12),"Reel + Carousel",IF(AND(R300&gt;=85,P300&gt;=16,N300&gt;=8),"Soru odaklı Reel",IF(AND(R300&gt;=85,P300&gt;=16),"Reel / Short",IF(M300&gt;=11,"Carousel","Kart testi"))))</x:f>
        <x:v>Kart testi</x:v>
      </x:c>
      <x:c r="U300" s="46" t="str">
        <x:v>Duygusal karşıtlık paylaşma ve kişisel anlatma isteğini yükseltiyor; olay örgüsü geliştirilmeli.</x:v>
      </x:c>
      <x:c r="V300" s="46" t="str">
        <x:f>IF(Q300&lt;=3,"Kaynak kontrolü şart",IF(Q300=4,"Kaynak kontrolü önerilir","Standart doğrulama"))</x:f>
        <x:v>Kaynak kontrolü önerilir</x:v>
      </x:c>
    </x:row>
    <x:row r="301" ht="24" customHeight="1">
      <x:c r="A301" s="48" t="n">
        <x:f>COUNTIF($R$2:$R$751,"&gt;"&amp;R301)+COUNTIF($R$2:R301,R301)</x:f>
        <x:v>300</x:v>
      </x:c>
      <x:c r="B301" s="48" t="n">
        <x:v>1761</x:v>
      </x:c>
      <x:c r="C301" s="46" t="str">
        <x:v>Ne Bitki Ne Hayvan: Mantarların Dünyası</x:v>
      </x:c>
      <x:c r="D301" s="34" t="str">
        <x:v>Psikoloji</x:v>
      </x:c>
      <x:c r="E301" s="34" t="str">
        <x:v>Psikoloji</x:v>
      </x:c>
      <x:c r="F301" s="34" t="str">
        <x:v>Entangled Life</x:v>
      </x:c>
      <x:c r="G301" s="34" t="str">
        <x:v>Merlin Sheldrake</x:v>
      </x:c>
      <x:c r="H301" s="50" t="str">
        <x:v>2</x:v>
      </x:c>
      <x:c r="I301" s="50" t="str">
        <x:v>Zengin</x:v>
      </x:c>
      <x:c r="J301" s="51" t="n">
        <x:v>12</x:v>
      </x:c>
      <x:c r="K301" s="51" t="n">
        <x:v>7</x:v>
      </x:c>
      <x:c r="L301" s="51" t="n">
        <x:v>13</x:v>
      </x:c>
      <x:c r="M301" s="51" t="n">
        <x:v>10</x:v>
      </x:c>
      <x:c r="N301" s="51" t="n">
        <x:v>8</x:v>
      </x:c>
      <x:c r="O301" s="51" t="n">
        <x:v>7</x:v>
      </x:c>
      <x:c r="P301" s="51" t="n">
        <x:v>17</x:v>
      </x:c>
      <x:c r="Q301" s="51" t="n">
        <x:v>4</x:v>
      </x:c>
      <x:c r="R301" s="52" t="n">
        <x:f>SUM(J301:Q301)</x:f>
        <x:v>78</x:v>
      </x:c>
      <x:c r="S301" s="50" t="str">
        <x:f>IF(R301&gt;='Rubrik'!$B$17,"Öncelikli video",IF(R301&gt;='Rubrik'!$B$18,"Video kuyruğu",IF(R301&gt;='Rubrik'!$B$19,"Revize et",IF(R301&gt;='Rubrik'!$B$20,"Kartla test","Düşük öncelik"))))</x:f>
        <x:v>Revize et</x:v>
      </x:c>
      <x:c r="T301" s="50" t="str">
        <x:f>IF(AND(R301&gt;=85,P301&gt;=16,M301&gt;=12,L301&gt;=12),"Reel + Carousel",IF(AND(R301&gt;=85,P301&gt;=16,N301&gt;=8),"Soru odaklı Reel",IF(AND(R301&gt;=85,P301&gt;=16),"Reel / Short",IF(M301&gt;=11,"Carousel","Kart testi"))))</x:f>
        <x:v>Kart testi</x:v>
      </x:c>
      <x:c r="U301" s="46" t="str">
        <x:v>Duygusal karşıtlık paylaşma ve kişisel anlatma isteğini yükseltiyor; olay örgüsü geliştirilmeli.</x:v>
      </x:c>
      <x:c r="V301" s="46" t="str">
        <x:f>IF(Q301&lt;=3,"Kaynak kontrolü şart",IF(Q301=4,"Kaynak kontrolü önerilir","Standart doğrulama"))</x:f>
        <x:v>Kaynak kontrolü önerilir</x:v>
      </x:c>
    </x:row>
    <x:row r="302" ht="24" customHeight="1">
      <x:c r="A302" s="48" t="n">
        <x:f>COUNTIF($R$2:$R$751,"&gt;"&amp;R302)+COUNTIF($R$2:R302,R302)</x:f>
        <x:v>301</x:v>
      </x:c>
      <x:c r="B302" s="48" t="n">
        <x:v>1775</x:v>
      </x:c>
      <x:c r="C302" s="46" t="str">
        <x:v>Yokluğun Zihni Daraltması</x:v>
      </x:c>
      <x:c r="D302" s="34" t="str">
        <x:v>Finans</x:v>
      </x:c>
      <x:c r="E302" s="34" t="str">
        <x:v>İş &amp; Girişim</x:v>
      </x:c>
      <x:c r="F302" s="34" t="str">
        <x:v>Scarcity</x:v>
      </x:c>
      <x:c r="G302" s="34" t="str">
        <x:v>Sendhil Mullainathan ve Eldar Shafir</x:v>
      </x:c>
      <x:c r="H302" s="50" t="str">
        <x:v>2</x:v>
      </x:c>
      <x:c r="I302" s="50" t="str">
        <x:v>Zengin</x:v>
      </x:c>
      <x:c r="J302" s="51" t="n">
        <x:v>12</x:v>
      </x:c>
      <x:c r="K302" s="51" t="n">
        <x:v>6</x:v>
      </x:c>
      <x:c r="L302" s="51" t="n">
        <x:v>13</x:v>
      </x:c>
      <x:c r="M302" s="51" t="n">
        <x:v>10</x:v>
      </x:c>
      <x:c r="N302" s="51" t="n">
        <x:v>9</x:v>
      </x:c>
      <x:c r="O302" s="51" t="n">
        <x:v>7</x:v>
      </x:c>
      <x:c r="P302" s="51" t="n">
        <x:v>17</x:v>
      </x:c>
      <x:c r="Q302" s="51" t="n">
        <x:v>4</x:v>
      </x:c>
      <x:c r="R302" s="52" t="n">
        <x:f>SUM(J302:Q302)</x:f>
        <x:v>78</x:v>
      </x:c>
      <x:c r="S302" s="50" t="str">
        <x:f>IF(R302&gt;='Rubrik'!$B$17,"Öncelikli video",IF(R302&gt;='Rubrik'!$B$18,"Video kuyruğu",IF(R302&gt;='Rubrik'!$B$19,"Revize et",IF(R302&gt;='Rubrik'!$B$20,"Kartla test","Düşük öncelik"))))</x:f>
        <x:v>Revize et</x:v>
      </x:c>
      <x:c r="T302" s="50" t="str">
        <x:f>IF(AND(R302&gt;=85,P302&gt;=16,M302&gt;=12,L302&gt;=12),"Reel + Carousel",IF(AND(R302&gt;=85,P302&gt;=16,N302&gt;=8),"Soru odaklı Reel",IF(AND(R302&gt;=85,P302&gt;=16),"Reel / Short",IF(M302&gt;=11,"Carousel","Kart testi"))))</x:f>
        <x:v>Kart testi</x:v>
      </x:c>
      <x:c r="U302" s="46" t="str">
        <x:v>Duygusal karşıtlık paylaşma ve kişisel anlatma isteğini yükseltiyor; olay örgüsü geliştirilmeli.</x:v>
      </x:c>
      <x:c r="V302" s="46" t="str">
        <x:f>IF(Q302&lt;=3,"Kaynak kontrolü şart",IF(Q302=4,"Kaynak kontrolü önerilir","Standart doğrulama"))</x:f>
        <x:v>Kaynak kontrolü önerilir</x:v>
      </x:c>
    </x:row>
    <x:row r="303" ht="24" customHeight="1">
      <x:c r="A303" s="48" t="n">
        <x:f>COUNTIF($R$2:$R$751,"&gt;"&amp;R303)+COUNTIF($R$2:R303,R303)</x:f>
        <x:v>302</x:v>
      </x:c>
      <x:c r="B303" s="48" t="n">
        <x:v>1801</x:v>
      </x:c>
      <x:c r="C303" s="46" t="str">
        <x:v>Evet'in Ağırlığı</x:v>
      </x:c>
      <x:c r="D303" s="34" t="str">
        <x:v>Liderlik</x:v>
      </x:c>
      <x:c r="E303" s="34" t="str">
        <x:v>Liderlik</x:v>
      </x:c>
      <x:c r="F303" s="34" t="str">
        <x:v>The Culture Map</x:v>
      </x:c>
      <x:c r="G303" s="34" t="str">
        <x:v>Erin Meyer</x:v>
      </x:c>
      <x:c r="H303" s="50" t="str">
        <x:v>C2</x:v>
      </x:c>
      <x:c r="I303" s="50" t="str">
        <x:v>Zengin</x:v>
      </x:c>
      <x:c r="J303" s="51" t="n">
        <x:v>11</x:v>
      </x:c>
      <x:c r="K303" s="51" t="n">
        <x:v>6</x:v>
      </x:c>
      <x:c r="L303" s="51" t="n">
        <x:v>13</x:v>
      </x:c>
      <x:c r="M303" s="51" t="n">
        <x:v>11</x:v>
      </x:c>
      <x:c r="N303" s="51" t="n">
        <x:v>8</x:v>
      </x:c>
      <x:c r="O303" s="51" t="n">
        <x:v>8</x:v>
      </x:c>
      <x:c r="P303" s="51" t="n">
        <x:v>17</x:v>
      </x:c>
      <x:c r="Q303" s="51" t="n">
        <x:v>4</x:v>
      </x:c>
      <x:c r="R303" s="52" t="n">
        <x:f>SUM(J303:Q303)</x:f>
        <x:v>78</x:v>
      </x:c>
      <x:c r="S303" s="50" t="str">
        <x:f>IF(R303&gt;='Rubrik'!$B$17,"Öncelikli video",IF(R303&gt;='Rubrik'!$B$18,"Video kuyruğu",IF(R303&gt;='Rubrik'!$B$19,"Revize et",IF(R303&gt;='Rubrik'!$B$20,"Kartla test","Düşük öncelik"))))</x:f>
        <x:v>Revize et</x:v>
      </x:c>
      <x:c r="T303" s="50" t="str">
        <x:f>IF(AND(R303&gt;=85,P303&gt;=16,M303&gt;=12,L303&gt;=12),"Reel + Carousel",IF(AND(R303&gt;=85,P303&gt;=16,N303&gt;=8),"Soru odaklı Reel",IF(AND(R303&gt;=85,P303&gt;=16),"Reel / Short",IF(M303&gt;=11,"Carousel","Kart testi"))))</x:f>
        <x:v>Carousel</x:v>
      </x:c>
      <x:c r="U303" s="46" t="str">
        <x:v>Duygusal karşıtlık paylaşma ve kişisel anlatma isteğini yükseltiyor; ilk saniye etkisi geliştirilmeli.</x:v>
      </x:c>
      <x:c r="V303" s="46" t="str">
        <x:f>IF(Q303&lt;=3,"Kaynak kontrolü şart",IF(Q303=4,"Kaynak kontrolü önerilir","Standart doğrulama"))</x:f>
        <x:v>Kaynak kontrolü önerilir</x:v>
      </x:c>
    </x:row>
    <x:row r="304" ht="24" customHeight="1">
      <x:c r="A304" s="48" t="n">
        <x:f>COUNTIF($R$2:$R$751,"&gt;"&amp;R304)+COUNTIF($R$2:R304,R304)</x:f>
        <x:v>303</x:v>
      </x:c>
      <x:c r="B304" s="48" t="n">
        <x:v>1802</x:v>
      </x:c>
      <x:c r="C304" s="46" t="str">
        <x:v>Sözleşmeden Önce Kahve</x:v>
      </x:c>
      <x:c r="D304" s="34" t="str">
        <x:v>Liderlik</x:v>
      </x:c>
      <x:c r="E304" s="34" t="str">
        <x:v>Liderlik</x:v>
      </x:c>
      <x:c r="F304" s="34" t="str">
        <x:v>The Culture Map</x:v>
      </x:c>
      <x:c r="G304" s="34" t="str">
        <x:v>Erin Meyer</x:v>
      </x:c>
      <x:c r="H304" s="50" t="str">
        <x:v>C2</x:v>
      </x:c>
      <x:c r="I304" s="50" t="str">
        <x:v>Zengin</x:v>
      </x:c>
      <x:c r="J304" s="51" t="n">
        <x:v>12</x:v>
      </x:c>
      <x:c r="K304" s="51" t="n">
        <x:v>6</x:v>
      </x:c>
      <x:c r="L304" s="51" t="n">
        <x:v>13</x:v>
      </x:c>
      <x:c r="M304" s="51" t="n">
        <x:v>9</x:v>
      </x:c>
      <x:c r="N304" s="51" t="n">
        <x:v>8</x:v>
      </x:c>
      <x:c r="O304" s="51" t="n">
        <x:v>9</x:v>
      </x:c>
      <x:c r="P304" s="51" t="n">
        <x:v>17</x:v>
      </x:c>
      <x:c r="Q304" s="51" t="n">
        <x:v>4</x:v>
      </x:c>
      <x:c r="R304" s="52" t="n">
        <x:f>SUM(J304:Q304)</x:f>
        <x:v>78</x:v>
      </x:c>
      <x:c r="S304" s="50" t="str">
        <x:f>IF(R304&gt;='Rubrik'!$B$17,"Öncelikli video",IF(R304&gt;='Rubrik'!$B$18,"Video kuyruğu",IF(R304&gt;='Rubrik'!$B$19,"Revize et",IF(R304&gt;='Rubrik'!$B$20,"Kartla test","Düşük öncelik"))))</x:f>
        <x:v>Revize et</x:v>
      </x:c>
      <x:c r="T304" s="50" t="str">
        <x:f>IF(AND(R304&gt;=85,P304&gt;=16,M304&gt;=12,L304&gt;=12),"Reel + Carousel",IF(AND(R304&gt;=85,P304&gt;=16,N304&gt;=8),"Soru odaklı Reel",IF(AND(R304&gt;=85,P304&gt;=16),"Reel / Short",IF(M304&gt;=11,"Carousel","Kart testi"))))</x:f>
        <x:v>Kart testi</x:v>
      </x:c>
      <x:c r="U304" s="46" t="str">
        <x:v>Merak sorusu ve karşıtlık ilk saniye etkisini güçlendiriyor; ilk saniye etkisi yeterli.</x:v>
      </x:c>
      <x:c r="V304" s="46" t="str">
        <x:f>IF(Q304&lt;=3,"Kaynak kontrolü şart",IF(Q304=4,"Kaynak kontrolü önerilir","Standart doğrulama"))</x:f>
        <x:v>Kaynak kontrolü önerilir</x:v>
      </x:c>
    </x:row>
    <x:row r="305" ht="24" customHeight="1">
      <x:c r="A305" s="48" t="n">
        <x:f>COUNTIF($R$2:$R$751,"&gt;"&amp;R305)+COUNTIF($R$2:R305,R305)</x:f>
        <x:v>304</x:v>
      </x:c>
      <x:c r="B305" s="48" t="n">
        <x:v>1806</x:v>
      </x:c>
      <x:c r="C305" s="46" t="str">
        <x:v>Des Plaines’teki İlk Kopya</x:v>
      </x:c>
      <x:c r="D305" s="34" t="str">
        <x:v>Liderlik</x:v>
      </x:c>
      <x:c r="E305" s="34" t="str">
        <x:v>Liderlik</x:v>
      </x:c>
      <x:c r="F305" s="34" t="str">
        <x:v>Grinding It Out</x:v>
      </x:c>
      <x:c r="G305" s="34" t="str">
        <x:v>Ray Kroc</x:v>
      </x:c>
      <x:c r="H305" s="50" t="str">
        <x:v>C2</x:v>
      </x:c>
      <x:c r="I305" s="50" t="str">
        <x:v>Zengin</x:v>
      </x:c>
      <x:c r="J305" s="51" t="n">
        <x:v>13</x:v>
      </x:c>
      <x:c r="K305" s="51" t="n">
        <x:v>5</x:v>
      </x:c>
      <x:c r="L305" s="51" t="n">
        <x:v>13</x:v>
      </x:c>
      <x:c r="M305" s="51" t="n">
        <x:v>11</x:v>
      </x:c>
      <x:c r="N305" s="51" t="n">
        <x:v>7</x:v>
      </x:c>
      <x:c r="O305" s="51" t="n">
        <x:v>7</x:v>
      </x:c>
      <x:c r="P305" s="51" t="n">
        <x:v>17</x:v>
      </x:c>
      <x:c r="Q305" s="51" t="n">
        <x:v>5</x:v>
      </x:c>
      <x:c r="R305" s="52" t="n">
        <x:f>SUM(J305:Q305)</x:f>
        <x:v>78</x:v>
      </x:c>
      <x:c r="S305" s="50" t="str">
        <x:f>IF(R305&gt;='Rubrik'!$B$17,"Öncelikli video",IF(R305&gt;='Rubrik'!$B$18,"Video kuyruğu",IF(R305&gt;='Rubrik'!$B$19,"Revize et",IF(R305&gt;='Rubrik'!$B$20,"Kartla test","Düşük öncelik"))))</x:f>
        <x:v>Revize et</x:v>
      </x:c>
      <x:c r="T305" s="50" t="str">
        <x:f>IF(AND(R305&gt;=85,P305&gt;=16,M305&gt;=12,L305&gt;=12),"Reel + Carousel",IF(AND(R305&gt;=85,P305&gt;=16,N305&gt;=8),"Soru odaklı Reel",IF(AND(R305&gt;=85,P305&gt;=16),"Reel / Short",IF(M305&gt;=11,"Carousel","Kart testi"))))</x:f>
        <x:v>Carousel</x:v>
      </x:c>
      <x:c r="U305" s="46" t="str">
        <x:v>Somut sahne ve sayısal ayrıntı güçlü bir video açılışı sağlıyor; olay örgüsü geliştirilmeli.</x:v>
      </x:c>
      <x:c r="V305" s="46" t="str">
        <x:f>IF(Q305&lt;=3,"Kaynak kontrolü şart",IF(Q305=4,"Kaynak kontrolü önerilir","Standart doğrulama"))</x:f>
        <x:v>Standart doğrulama</x:v>
      </x:c>
    </x:row>
    <x:row r="306" ht="24" customHeight="1">
      <x:c r="A306" s="48" t="n">
        <x:f>COUNTIF($R$2:$R$751,"&gt;"&amp;R306)+COUNTIF($R$2:R306,R306)</x:f>
        <x:v>305</x:v>
      </x:c>
      <x:c r="B306" s="48" t="n">
        <x:v>1808</x:v>
      </x:c>
      <x:c r="C306" s="46" t="str">
        <x:v>Hamburger Üniversitesi</x:v>
      </x:c>
      <x:c r="D306" s="34" t="str">
        <x:v>Liderlik</x:v>
      </x:c>
      <x:c r="E306" s="34" t="str">
        <x:v>Liderlik</x:v>
      </x:c>
      <x:c r="F306" s="34" t="str">
        <x:v>Grinding It Out</x:v>
      </x:c>
      <x:c r="G306" s="34" t="str">
        <x:v>Ray Kroc</x:v>
      </x:c>
      <x:c r="H306" s="50" t="str">
        <x:v>C2</x:v>
      </x:c>
      <x:c r="I306" s="50" t="str">
        <x:v>Zengin</x:v>
      </x:c>
      <x:c r="J306" s="51" t="n">
        <x:v>12</x:v>
      </x:c>
      <x:c r="K306" s="51" t="n">
        <x:v>7</x:v>
      </x:c>
      <x:c r="L306" s="51" t="n">
        <x:v>13</x:v>
      </x:c>
      <x:c r="M306" s="51" t="n">
        <x:v>10</x:v>
      </x:c>
      <x:c r="N306" s="51" t="n">
        <x:v>8</x:v>
      </x:c>
      <x:c r="O306" s="51" t="n">
        <x:v>7</x:v>
      </x:c>
      <x:c r="P306" s="51" t="n">
        <x:v>17</x:v>
      </x:c>
      <x:c r="Q306" s="51" t="n">
        <x:v>4</x:v>
      </x:c>
      <x:c r="R306" s="52" t="n">
        <x:f>SUM(J306:Q306)</x:f>
        <x:v>78</x:v>
      </x:c>
      <x:c r="S306" s="50" t="str">
        <x:f>IF(R306&gt;='Rubrik'!$B$17,"Öncelikli video",IF(R306&gt;='Rubrik'!$B$18,"Video kuyruğu",IF(R306&gt;='Rubrik'!$B$19,"Revize et",IF(R306&gt;='Rubrik'!$B$20,"Kartla test","Düşük öncelik"))))</x:f>
        <x:v>Revize et</x:v>
      </x:c>
      <x:c r="T306" s="50" t="str">
        <x:f>IF(AND(R306&gt;=85,P306&gt;=16,M306&gt;=12,L306&gt;=12),"Reel + Carousel",IF(AND(R306&gt;=85,P306&gt;=16,N306&gt;=8),"Soru odaklı Reel",IF(AND(R306&gt;=85,P306&gt;=16),"Reel / Short",IF(M306&gt;=11,"Carousel","Kart testi"))))</x:f>
        <x:v>Kart testi</x:v>
      </x:c>
      <x:c r="U306" s="46" t="str">
        <x:v>Duygusal karşıtlık paylaşma ve kişisel anlatma isteğini yükseltiyor; olay örgüsü geliştirilmeli.</x:v>
      </x:c>
      <x:c r="V306" s="46" t="str">
        <x:f>IF(Q306&lt;=3,"Kaynak kontrolü şart",IF(Q306=4,"Kaynak kontrolü önerilir","Standart doğrulama"))</x:f>
        <x:v>Kaynak kontrolü önerilir</x:v>
      </x:c>
    </x:row>
    <x:row r="307" ht="24" customHeight="1">
      <x:c r="A307" s="48" t="n">
        <x:f>COUNTIF($R$2:$R$751,"&gt;"&amp;R307)+COUNTIF($R$2:R307,R307)</x:f>
        <x:v>306</x:v>
      </x:c>
      <x:c r="B307" s="48" t="n">
        <x:v>1378</x:v>
      </x:c>
      <x:c r="C307" s="46" t="str">
        <x:v>Öğrenilmiş çaresizlik deneyi</x:v>
      </x:c>
      <x:c r="D307" s="34" t="str">
        <x:v>Psikoloji</x:v>
      </x:c>
      <x:c r="E307" s="34" t="str">
        <x:v>Psikoloji</x:v>
      </x:c>
      <x:c r="F307" s="34" t="str">
        <x:v>İyimserlik Öğrenmek</x:v>
      </x:c>
      <x:c r="G307" s="34" t="str">
        <x:v>Martin Seligman</x:v>
      </x:c>
      <x:c r="H307" s="50" t="str">
        <x:v>1</x:v>
      </x:c>
      <x:c r="I307" s="50" t="str">
        <x:v>Temel</x:v>
      </x:c>
      <x:c r="J307" s="51" t="n">
        <x:v>14</x:v>
      </x:c>
      <x:c r="K307" s="51" t="n">
        <x:v>8</x:v>
      </x:c>
      <x:c r="L307" s="51" t="n">
        <x:v>12</x:v>
      </x:c>
      <x:c r="M307" s="51" t="n">
        <x:v>8</x:v>
      </x:c>
      <x:c r="N307" s="51" t="n">
        <x:v>9</x:v>
      </x:c>
      <x:c r="O307" s="51" t="n">
        <x:v>9</x:v>
      </x:c>
      <x:c r="P307" s="51" t="n">
        <x:v>17</x:v>
      </x:c>
      <x:c r="Q307" s="51" t="n">
        <x:v>1</x:v>
      </x:c>
      <x:c r="R307" s="52" t="n">
        <x:f>SUM(J307:Q307)</x:f>
        <x:v>78</x:v>
      </x:c>
      <x:c r="S307" s="50" t="str">
        <x:f>IF(R307&gt;='Rubrik'!$B$17,"Öncelikli video",IF(R307&gt;='Rubrik'!$B$18,"Video kuyruğu",IF(R307&gt;='Rubrik'!$B$19,"Revize et",IF(R307&gt;='Rubrik'!$B$20,"Kartla test","Düşük öncelik"))))</x:f>
        <x:v>Revize et</x:v>
      </x:c>
      <x:c r="T307" s="50" t="str">
        <x:f>IF(AND(R307&gt;=85,P307&gt;=16,M307&gt;=12,L307&gt;=12),"Reel + Carousel",IF(AND(R307&gt;=85,P307&gt;=16,N307&gt;=8),"Soru odaklı Reel",IF(AND(R307&gt;=85,P307&gt;=16),"Reel / Short",IF(M307&gt;=11,"Carousel","Kart testi"))))</x:f>
        <x:v>Kart testi</x:v>
      </x:c>
      <x:c r="U307" s="46" t="str">
        <x:v>Kaçabilecekken yerde kalan köpek unutulmaz bir sahne; depresyonu kimyasal olmayan öğrenmeye indirgemek sakıncalı.</x:v>
      </x:c>
      <x:c r="V307" s="46" t="str">
        <x:f>IF(Q307&lt;=3,"Kaynak kontrolü şart",IF(Q307=4,"Kaynak kontrolü önerilir","Standart doğrulama"))</x:f>
        <x:v>Kaynak kontrolü şart</x:v>
      </x:c>
    </x:row>
    <x:row r="308" ht="24" customHeight="1">
      <x:c r="A308" s="48" t="n">
        <x:f>COUNTIF($R$2:$R$751,"&gt;"&amp;R308)+COUNTIF($R$2:R308,R308)</x:f>
        <x:v>307</x:v>
      </x:c>
      <x:c r="B308" s="48" t="n">
        <x:v>1274</x:v>
      </x:c>
      <x:c r="C308" s="46" t="str">
        <x:v>Öğleden sonra çöküşü ve şekerleme sırrı</x:v>
      </x:c>
      <x:c r="D308" s="34" t="str">
        <x:v>Verimlilik</x:v>
      </x:c>
      <x:c r="E308" s="34" t="str">
        <x:v>Verimlilik</x:v>
      </x:c>
      <x:c r="F308" s="34" t="str">
        <x:v>Saatlerin Efendisi</x:v>
      </x:c>
      <x:c r="G308" s="34" t="str">
        <x:v>Daniel Pink</x:v>
      </x:c>
      <x:c r="H308" s="50" t="str">
        <x:v>1</x:v>
      </x:c>
      <x:c r="I308" s="50" t="str">
        <x:v>Temel</x:v>
      </x:c>
      <x:c r="J308" s="51" t="n">
        <x:v>13</x:v>
      </x:c>
      <x:c r="K308" s="51" t="n">
        <x:v>6</x:v>
      </x:c>
      <x:c r="L308" s="51" t="n">
        <x:v>12</x:v>
      </x:c>
      <x:c r="M308" s="51" t="n">
        <x:v>13</x:v>
      </x:c>
      <x:c r="N308" s="51" t="n">
        <x:v>8</x:v>
      </x:c>
      <x:c r="O308" s="51" t="n">
        <x:v>7</x:v>
      </x:c>
      <x:c r="P308" s="51" t="n">
        <x:v>16</x:v>
      </x:c>
      <x:c r="Q308" s="51" t="n">
        <x:v>3</x:v>
      </x:c>
      <x:c r="R308" s="52" t="n">
        <x:f>SUM(J308:Q308)</x:f>
        <x:v>78</x:v>
      </x:c>
      <x:c r="S308" s="50" t="str">
        <x:f>IF(R308&gt;='Rubrik'!$B$17,"Öncelikli video",IF(R308&gt;='Rubrik'!$B$18,"Video kuyruğu",IF(R308&gt;='Rubrik'!$B$19,"Revize et",IF(R308&gt;='Rubrik'!$B$20,"Kartla test","Düşük öncelik"))))</x:f>
        <x:v>Revize et</x:v>
      </x:c>
      <x:c r="T308" s="50" t="str">
        <x:f>IF(AND(R308&gt;=85,P308&gt;=16,M308&gt;=12,L308&gt;=12),"Reel + Carousel",IF(AND(R308&gt;=85,P308&gt;=16,N308&gt;=8),"Soru odaklı Reel",IF(AND(R308&gt;=85,P308&gt;=16),"Reel / Short",IF(M308&gt;=11,"Carousel","Kart testi"))))</x:f>
        <x:v>Carousel</x:v>
      </x:c>
      <x:c r="U308" s="46" t="str">
        <x:v>Öğleden sonra çöküşü ve “nappuccino” uygulanabilir, akılda kalıcı; süre ve performans iddiaları netleşmeli.</x:v>
      </x:c>
      <x:c r="V308" s="46" t="str">
        <x:f>IF(Q308&lt;=3,"Kaynak kontrolü şart",IF(Q308=4,"Kaynak kontrolü önerilir","Standart doğrulama"))</x:f>
        <x:v>Kaynak kontrolü şart</x:v>
      </x:c>
    </x:row>
    <x:row r="309" ht="24" customHeight="1">
      <x:c r="A309" s="48" t="n">
        <x:f>COUNTIF($R$2:$R$751,"&gt;"&amp;R309)+COUNTIF($R$2:R309,R309)</x:f>
        <x:v>308</x:v>
      </x:c>
      <x:c r="B309" s="48" t="n">
        <x:v>1331</x:v>
      </x:c>
      <x:c r="C309" s="46" t="str">
        <x:v>Çaresizlik döngüsü ve sorumluluk</x:v>
      </x:c>
      <x:c r="D309" s="34" t="str">
        <x:v>Büyüme</x:v>
      </x:c>
      <x:c r="E309" s="34" t="str">
        <x:v>Kişisel Gelişim</x:v>
      </x:c>
      <x:c r="F309" s="34" t="str">
        <x:v>Özgür Olmak</x:v>
      </x:c>
      <x:c r="G309" s="34" t="str">
        <x:v>Mark Manson</x:v>
      </x:c>
      <x:c r="H309" s="50" t="str">
        <x:v>1</x:v>
      </x:c>
      <x:c r="I309" s="50" t="str">
        <x:v>Temel</x:v>
      </x:c>
      <x:c r="J309" s="51" t="n">
        <x:v>13</x:v>
      </x:c>
      <x:c r="K309" s="51" t="n">
        <x:v>7</x:v>
      </x:c>
      <x:c r="L309" s="51" t="n">
        <x:v>12</x:v>
      </x:c>
      <x:c r="M309" s="51" t="n">
        <x:v>11</x:v>
      </x:c>
      <x:c r="N309" s="51" t="n">
        <x:v>9</x:v>
      </x:c>
      <x:c r="O309" s="51" t="n">
        <x:v>7</x:v>
      </x:c>
      <x:c r="P309" s="51" t="n">
        <x:v>16</x:v>
      </x:c>
      <x:c r="Q309" s="51" t="n">
        <x:v>3</x:v>
      </x:c>
      <x:c r="R309" s="52" t="n">
        <x:f>SUM(J309:Q309)</x:f>
        <x:v>78</x:v>
      </x:c>
      <x:c r="S309" s="50" t="str">
        <x:f>IF(R309&gt;='Rubrik'!$B$17,"Öncelikli video",IF(R309&gt;='Rubrik'!$B$18,"Video kuyruğu",IF(R309&gt;='Rubrik'!$B$19,"Revize et",IF(R309&gt;='Rubrik'!$B$20,"Kartla test","Düşük öncelik"))))</x:f>
        <x:v>Revize et</x:v>
      </x:c>
      <x:c r="T309" s="50" t="str">
        <x:f>IF(AND(R309&gt;=85,P309&gt;=16,M309&gt;=12,L309&gt;=12),"Reel + Carousel",IF(AND(R309&gt;=85,P309&gt;=16,N309&gt;=8),"Soru odaklı Reel",IF(AND(R309&gt;=85,P309&gt;=16),"Reel / Short",IF(M309&gt;=11,"Carousel","Kart testi"))))</x:f>
        <x:v>Carousel</x:v>
      </x:c>
      <x:c r="U309" s="46" t="str">
        <x:v>Hata ile sorumluluk ayrımı güçlü ve güçlendirici; mağdurluk dili ile Frankl atfı hassas kullanılmalı.</x:v>
      </x:c>
      <x:c r="V309" s="46" t="str">
        <x:f>IF(Q309&lt;=3,"Kaynak kontrolü şart",IF(Q309=4,"Kaynak kontrolü önerilir","Standart doğrulama"))</x:f>
        <x:v>Kaynak kontrolü şart</x:v>
      </x:c>
    </x:row>
    <x:row r="310" ht="24" customHeight="1">
      <x:c r="A310" s="48" t="n">
        <x:f>COUNTIF($R$2:$R$751,"&gt;"&amp;R310)+COUNTIF($R$2:R310,R310)</x:f>
        <x:v>309</x:v>
      </x:c>
      <x:c r="B310" s="48" t="n">
        <x:v>1376</x:v>
      </x:c>
      <x:c r="C310" s="46" t="str">
        <x:v>Kontrol edilebilen ve edilemeyen</x:v>
      </x:c>
      <x:c r="D310" s="34" t="str">
        <x:v>Felsefe</x:v>
      </x:c>
      <x:c r="E310" s="34" t="str">
        <x:v>Felsefe</x:v>
      </x:c>
      <x:c r="F310" s="34" t="str">
        <x:v>Stoacılık</x:v>
      </x:c>
      <x:c r="G310" s="34" t="str">
        <x:v>Marcus Aurelius</x:v>
      </x:c>
      <x:c r="H310" s="50" t="str">
        <x:v>1</x:v>
      </x:c>
      <x:c r="I310" s="50" t="str">
        <x:v>Temel</x:v>
      </x:c>
      <x:c r="J310" s="51" t="n">
        <x:v>12</x:v>
      </x:c>
      <x:c r="K310" s="51" t="n">
        <x:v>7</x:v>
      </x:c>
      <x:c r="L310" s="51" t="n">
        <x:v>12</x:v>
      </x:c>
      <x:c r="M310" s="51" t="n">
        <x:v>13</x:v>
      </x:c>
      <x:c r="N310" s="51" t="n">
        <x:v>9</x:v>
      </x:c>
      <x:c r="O310" s="51" t="n">
        <x:v>7</x:v>
      </x:c>
      <x:c r="P310" s="51" t="n">
        <x:v>16</x:v>
      </x:c>
      <x:c r="Q310" s="51" t="n">
        <x:v>2</x:v>
      </x:c>
      <x:c r="R310" s="52" t="n">
        <x:f>SUM(J310:Q310)</x:f>
        <x:v>78</x:v>
      </x:c>
      <x:c r="S310" s="50" t="str">
        <x:f>IF(R310&gt;='Rubrik'!$B$17,"Öncelikli video",IF(R310&gt;='Rubrik'!$B$18,"Video kuyruğu",IF(R310&gt;='Rubrik'!$B$19,"Revize et",IF(R310&gt;='Rubrik'!$B$20,"Kartla test","Düşük öncelik"))))</x:f>
        <x:v>Revize et</x:v>
      </x:c>
      <x:c r="T310" s="50" t="str">
        <x:f>IF(AND(R310&gt;=85,P310&gt;=16,M310&gt;=12,L310&gt;=12),"Reel + Carousel",IF(AND(R310&gt;=85,P310&gt;=16,N310&gt;=8),"Soru odaklı Reel",IF(AND(R310&gt;=85,P310&gt;=16),"Reel / Short",IF(M310&gt;=11,"Carousel","Kart testi"))))</x:f>
        <x:v>Carousel</x:v>
      </x:c>
      <x:c r="U310" s="46" t="str">
        <x:v>Kontrol ayrımı çok kullanışlı; öğretinin Marcus’a özgü sunulması ve mutluluk iddiası aşırı kesin.</x:v>
      </x:c>
      <x:c r="V310" s="46" t="str">
        <x:f>IF(Q310&lt;=3,"Kaynak kontrolü şart",IF(Q310=4,"Kaynak kontrolü önerilir","Standart doğrulama"))</x:f>
        <x:v>Kaynak kontrolü şart</x:v>
      </x:c>
    </x:row>
    <x:row r="311" ht="24" customHeight="1">
      <x:c r="A311" s="48" t="n">
        <x:f>COUNTIF($R$2:$R$751,"&gt;"&amp;R311)+COUNTIF($R$2:R311,R311)</x:f>
        <x:v>310</x:v>
      </x:c>
      <x:c r="B311" s="48" t="n">
        <x:v>1348</x:v>
      </x:c>
      <x:c r="C311" s="46" t="str">
        <x:v>Uyku ve hafıza pekiştirme</x:v>
      </x:c>
      <x:c r="D311" s="34" t="str">
        <x:v>Felsefe</x:v>
      </x:c>
      <x:c r="E311" s="34" t="str">
        <x:v>Öğrenme</x:v>
      </x:c>
      <x:c r="F311" s="34" t="str">
        <x:v>Öğrenmeyi Öğrenmek</x:v>
      </x:c>
      <x:c r="G311" s="34" t="str">
        <x:v>Peter Brown</x:v>
      </x:c>
      <x:c r="H311" s="50" t="str">
        <x:v>1</x:v>
      </x:c>
      <x:c r="I311" s="50" t="str">
        <x:v>Temel</x:v>
      </x:c>
      <x:c r="J311" s="51" t="n">
        <x:v>13</x:v>
      </x:c>
      <x:c r="K311" s="51" t="n">
        <x:v>6</x:v>
      </x:c>
      <x:c r="L311" s="51" t="n">
        <x:v>11</x:v>
      </x:c>
      <x:c r="M311" s="51" t="n">
        <x:v>13</x:v>
      </x:c>
      <x:c r="N311" s="51" t="n">
        <x:v>8</x:v>
      </x:c>
      <x:c r="O311" s="51" t="n">
        <x:v>8</x:v>
      </x:c>
      <x:c r="P311" s="51" t="n">
        <x:v>16</x:v>
      </x:c>
      <x:c r="Q311" s="51" t="n">
        <x:v>3</x:v>
      </x:c>
      <x:c r="R311" s="52" t="n">
        <x:f>SUM(J311:Q311)</x:f>
        <x:v>78</x:v>
      </x:c>
      <x:c r="S311" s="50" t="str">
        <x:f>IF(R311&gt;='Rubrik'!$B$17,"Öncelikli video",IF(R311&gt;='Rubrik'!$B$18,"Video kuyruğu",IF(R311&gt;='Rubrik'!$B$19,"Revize et",IF(R311&gt;='Rubrik'!$B$20,"Kartla test","Düşük öncelik"))))</x:f>
        <x:v>Revize et</x:v>
      </x:c>
      <x:c r="T311" s="50" t="str">
        <x:f>IF(AND(R311&gt;=85,P311&gt;=16,M311&gt;=12,L311&gt;=12),"Reel + Carousel",IF(AND(R311&gt;=85,P311&gt;=16,N311&gt;=8),"Soru odaklı Reel",IF(AND(R311&gt;=85,P311&gt;=16),"Reel / Short",IF(M311&gt;=11,"Carousel","Kart testi"))))</x:f>
        <x:v>Carousel</x:v>
      </x:c>
      <x:c r="U311" s="46" t="str">
        <x:v>Aynı 12 saatte uyuyan grubun üstünlüğü iyi deney akışı sunuyor; akşam çalışma tavsiyesi fazla genellenmiş.</x:v>
      </x:c>
      <x:c r="V311" s="46" t="str">
        <x:f>IF(Q311&lt;=3,"Kaynak kontrolü şart",IF(Q311=4,"Kaynak kontrolü önerilir","Standart doğrulama"))</x:f>
        <x:v>Kaynak kontrolü şart</x:v>
      </x:c>
    </x:row>
    <x:row r="312" ht="24" customHeight="1">
      <x:c r="A312" s="48" t="n">
        <x:f>COUNTIF($R$2:$R$751,"&gt;"&amp;R312)+COUNTIF($R$2:R312,R312)</x:f>
        <x:v>311</x:v>
      </x:c>
      <x:c r="B312" s="48" t="n">
        <x:v>1280</x:v>
      </x:c>
      <x:c r="C312" s="46" t="str">
        <x:v>Cesur liderliğin bedeli</x:v>
      </x:c>
      <x:c r="D312" s="34" t="str">
        <x:v>Liderlik</x:v>
      </x:c>
      <x:c r="E312" s="34" t="str">
        <x:v>Liderlik</x:v>
      </x:c>
      <x:c r="F312" s="34" t="str">
        <x:v>Karanlığın Ötesi</x:v>
      </x:c>
      <x:c r="G312" s="34" t="str">
        <x:v>Brené Brown</x:v>
      </x:c>
      <x:c r="H312" s="50" t="str">
        <x:v>1</x:v>
      </x:c>
      <x:c r="I312" s="50" t="str">
        <x:v>Temel</x:v>
      </x:c>
      <x:c r="J312" s="51" t="n">
        <x:v>12</x:v>
      </x:c>
      <x:c r="K312" s="51" t="n">
        <x:v>7</x:v>
      </x:c>
      <x:c r="L312" s="51" t="n">
        <x:v>11</x:v>
      </x:c>
      <x:c r="M312" s="51" t="n">
        <x:v>13</x:v>
      </x:c>
      <x:c r="N312" s="51" t="n">
        <x:v>9</x:v>
      </x:c>
      <x:c r="O312" s="51" t="n">
        <x:v>7</x:v>
      </x:c>
      <x:c r="P312" s="51" t="n">
        <x:v>15</x:v>
      </x:c>
      <x:c r="Q312" s="51" t="n">
        <x:v>4</x:v>
      </x:c>
      <x:c r="R312" s="52" t="n">
        <x:f>SUM(J312:Q312)</x:f>
        <x:v>78</x:v>
      </x:c>
      <x:c r="S312" s="50" t="str">
        <x:f>IF(R312&gt;='Rubrik'!$B$17,"Öncelikli video",IF(R312&gt;='Rubrik'!$B$18,"Video kuyruğu",IF(R312&gt;='Rubrik'!$B$19,"Revize et",IF(R312&gt;='Rubrik'!$B$20,"Kartla test","Düşük öncelik"))))</x:f>
        <x:v>Revize et</x:v>
      </x:c>
      <x:c r="T312" s="50" t="str">
        <x:f>IF(AND(R312&gt;=85,P312&gt;=16,M312&gt;=12,L312&gt;=12),"Reel + Carousel",IF(AND(R312&gt;=85,P312&gt;=16,N312&gt;=8),"Soru odaklı Reel",IF(AND(R312&gt;=85,P312&gt;=16),"Reel / Short",IF(M312&gt;=11,"Carousel","Kart testi"))))</x:f>
        <x:v>Carousel</x:v>
      </x:c>
      <x:c r="U312" s="46" t="str">
        <x:v>Zor konuşmayı tek cümleyle başlatma önerisi uygulanabilir ve güncel; anlatı örneği biraz genel kalıyor.</x:v>
      </x:c>
      <x:c r="V312" s="46" t="str">
        <x:f>IF(Q312&lt;=3,"Kaynak kontrolü şart",IF(Q312=4,"Kaynak kontrolü önerilir","Standart doğrulama"))</x:f>
        <x:v>Kaynak kontrolü önerilir</x:v>
      </x:c>
    </x:row>
    <x:row r="313" ht="24" customHeight="1">
      <x:c r="A313" s="48" t="n">
        <x:f>COUNTIF($R$2:$R$751,"&gt;"&amp;R313)+COUNTIF($R$2:R313,R313)</x:f>
        <x:v>312</x:v>
      </x:c>
      <x:c r="B313" s="48" t="n">
        <x:v>1324</x:v>
      </x:c>
      <x:c r="C313" s="46" t="str">
        <x:v>Sabah sayfaları ritüeli</x:v>
      </x:c>
      <x:c r="D313" s="34" t="str">
        <x:v>Verimlilik</x:v>
      </x:c>
      <x:c r="E313" s="34" t="str">
        <x:v>Yaratıcılık</x:v>
      </x:c>
      <x:c r="F313" s="34" t="str">
        <x:v>Yaratıcı Beyin</x:v>
      </x:c>
      <x:c r="G313" s="34" t="str">
        <x:v>Julia Cameron</x:v>
      </x:c>
      <x:c r="H313" s="50" t="str">
        <x:v>1</x:v>
      </x:c>
      <x:c r="I313" s="50" t="str">
        <x:v>Temel</x:v>
      </x:c>
      <x:c r="J313" s="51" t="n">
        <x:v>12</x:v>
      </x:c>
      <x:c r="K313" s="51" t="n">
        <x:v>7</x:v>
      </x:c>
      <x:c r="L313" s="51" t="n">
        <x:v>11</x:v>
      </x:c>
      <x:c r="M313" s="51" t="n">
        <x:v>14</x:v>
      </x:c>
      <x:c r="N313" s="51" t="n">
        <x:v>9</x:v>
      </x:c>
      <x:c r="O313" s="51" t="n">
        <x:v>7</x:v>
      </x:c>
      <x:c r="P313" s="51" t="n">
        <x:v>15</x:v>
      </x:c>
      <x:c r="Q313" s="51" t="n">
        <x:v>3</x:v>
      </x:c>
      <x:c r="R313" s="52" t="n">
        <x:f>SUM(J313:Q313)</x:f>
        <x:v>78</x:v>
      </x:c>
      <x:c r="S313" s="50" t="str">
        <x:f>IF(R313&gt;='Rubrik'!$B$17,"Öncelikli video",IF(R313&gt;='Rubrik'!$B$18,"Video kuyruğu",IF(R313&gt;='Rubrik'!$B$19,"Revize et",IF(R313&gt;='Rubrik'!$B$20,"Kartla test","Düşük öncelik"))))</x:f>
        <x:v>Revize et</x:v>
      </x:c>
      <x:c r="T313" s="50" t="str">
        <x:f>IF(AND(R313&gt;=85,P313&gt;=16,M313&gt;=12,L313&gt;=12),"Reel + Carousel",IF(AND(R313&gt;=85,P313&gt;=16,N313&gt;=8),"Soru odaklı Reel",IF(AND(R313&gt;=85,P313&gt;=16),"Reel / Short",IF(M313&gt;=11,"Carousel","Kart testi"))))</x:f>
        <x:v>Carousel</x:v>
      </x:c>
      <x:c r="U313" s="46" t="str">
        <x:v>Üç sabah sayfası hemen denenebilir ve kaydedilebilir; katılımcıların çoğu iddiası ölçüsüz kalıyor.</x:v>
      </x:c>
      <x:c r="V313" s="46" t="str">
        <x:f>IF(Q313&lt;=3,"Kaynak kontrolü şart",IF(Q313=4,"Kaynak kontrolü önerilir","Standart doğrulama"))</x:f>
        <x:v>Kaynak kontrolü şart</x:v>
      </x:c>
    </x:row>
    <x:row r="314" ht="24" customHeight="1">
      <x:c r="A314" s="48" t="n">
        <x:f>COUNTIF($R$2:$R$751,"&gt;"&amp;R314)+COUNTIF($R$2:R314,R314)</x:f>
        <x:v>313</x:v>
      </x:c>
      <x:c r="B314" s="48" t="n">
        <x:v>1326</x:v>
      </x:c>
      <x:c r="C314" s="46" t="str">
        <x:v>Sanatçı buluşması ve ilham besleme</x:v>
      </x:c>
      <x:c r="D314" s="34" t="str">
        <x:v>Verimlilik</x:v>
      </x:c>
      <x:c r="E314" s="34" t="str">
        <x:v>Yaratıcılık</x:v>
      </x:c>
      <x:c r="F314" s="34" t="str">
        <x:v>Yaratıcı Beyin</x:v>
      </x:c>
      <x:c r="G314" s="34" t="str">
        <x:v>Julia Cameron</x:v>
      </x:c>
      <x:c r="H314" s="50" t="str">
        <x:v>1</x:v>
      </x:c>
      <x:c r="I314" s="50" t="str">
        <x:v>Temel</x:v>
      </x:c>
      <x:c r="J314" s="51" t="n">
        <x:v>12</x:v>
      </x:c>
      <x:c r="K314" s="51" t="n">
        <x:v>7</x:v>
      </x:c>
      <x:c r="L314" s="51" t="n">
        <x:v>11</x:v>
      </x:c>
      <x:c r="M314" s="51" t="n">
        <x:v>13</x:v>
      </x:c>
      <x:c r="N314" s="51" t="n">
        <x:v>9</x:v>
      </x:c>
      <x:c r="O314" s="51" t="n">
        <x:v>7</x:v>
      </x:c>
      <x:c r="P314" s="51" t="n">
        <x:v>15</x:v>
      </x:c>
      <x:c r="Q314" s="51" t="n">
        <x:v>4</x:v>
      </x:c>
      <x:c r="R314" s="52" t="n">
        <x:f>SUM(J314:Q314)</x:f>
        <x:v>78</x:v>
      </x:c>
      <x:c r="S314" s="50" t="str">
        <x:f>IF(R314&gt;='Rubrik'!$B$17,"Öncelikli video",IF(R314&gt;='Rubrik'!$B$18,"Video kuyruğu",IF(R314&gt;='Rubrik'!$B$19,"Revize et",IF(R314&gt;='Rubrik'!$B$20,"Kartla test","Düşük öncelik"))))</x:f>
        <x:v>Revize et</x:v>
      </x:c>
      <x:c r="T314" s="50" t="str">
        <x:f>IF(AND(R314&gt;=85,P314&gt;=16,M314&gt;=12,L314&gt;=12),"Reel + Carousel",IF(AND(R314&gt;=85,P314&gt;=16,N314&gt;=8),"Soru odaklı Reel",IF(AND(R314&gt;=85,P314&gt;=16),"Reel / Short",IF(M314&gt;=11,"Carousel","Kart testi"))))</x:f>
        <x:v>Carousel</x:v>
      </x:c>
      <x:c r="U314" s="46" t="str">
        <x:v>Kuruyan kuyu metaforu ve haftalık sanatçı buluşması yaratıcılar için sıcak, somut ve uygulanabilir.</x:v>
      </x:c>
      <x:c r="V314" s="46" t="str">
        <x:f>IF(Q314&lt;=3,"Kaynak kontrolü şart",IF(Q314=4,"Kaynak kontrolü önerilir","Standart doğrulama"))</x:f>
        <x:v>Kaynak kontrolü önerilir</x:v>
      </x:c>
    </x:row>
    <x:row r="315" ht="24" customHeight="1">
      <x:c r="A315" s="48" t="n">
        <x:f>COUNTIF($R$2:$R$751,"&gt;"&amp;R315)+COUNTIF($R$2:R315,R315)</x:f>
        <x:v>314</x:v>
      </x:c>
      <x:c r="B315" s="48" t="n">
        <x:v>1371</x:v>
      </x:c>
      <x:c r="C315" s="46" t="str">
        <x:v>Yansıtma ve derin dinleme</x:v>
      </x:c>
      <x:c r="D315" s="34" t="str">
        <x:v>İletişim</x:v>
      </x:c>
      <x:c r="E315" s="34" t="str">
        <x:v>Müzakere</x:v>
      </x:c>
      <x:c r="F315" s="34" t="str">
        <x:v>İnsanı Anlamak</x:v>
      </x:c>
      <x:c r="G315" s="34" t="str">
        <x:v>Chris Voss</x:v>
      </x:c>
      <x:c r="H315" s="50" t="str">
        <x:v>1</x:v>
      </x:c>
      <x:c r="I315" s="50" t="str">
        <x:v>Temel</x:v>
      </x:c>
      <x:c r="J315" s="51" t="n">
        <x:v>12</x:v>
      </x:c>
      <x:c r="K315" s="51" t="n">
        <x:v>6</x:v>
      </x:c>
      <x:c r="L315" s="51" t="n">
        <x:v>11</x:v>
      </x:c>
      <x:c r="M315" s="51" t="n">
        <x:v>14</x:v>
      </x:c>
      <x:c r="N315" s="51" t="n">
        <x:v>9</x:v>
      </x:c>
      <x:c r="O315" s="51" t="n">
        <x:v>7</x:v>
      </x:c>
      <x:c r="P315" s="51" t="n">
        <x:v>15</x:v>
      </x:c>
      <x:c r="Q315" s="51" t="n">
        <x:v>4</x:v>
      </x:c>
      <x:c r="R315" s="52" t="n">
        <x:f>SUM(J315:Q315)</x:f>
        <x:v>78</x:v>
      </x:c>
      <x:c r="S315" s="50" t="str">
        <x:f>IF(R315&gt;='Rubrik'!$B$17,"Öncelikli video",IF(R315&gt;='Rubrik'!$B$18,"Video kuyruğu",IF(R315&gt;='Rubrik'!$B$19,"Revize et",IF(R315&gt;='Rubrik'!$B$20,"Kartla test","Düşük öncelik"))))</x:f>
        <x:v>Revize et</x:v>
      </x:c>
      <x:c r="T315" s="50" t="str">
        <x:f>IF(AND(R315&gt;=85,P315&gt;=16,M315&gt;=12,L315&gt;=12),"Reel + Carousel",IF(AND(R315&gt;=85,P315&gt;=16,N315&gt;=8),"Soru odaklı Reel",IF(AND(R315&gt;=85,P315&gt;=16),"Reel / Short",IF(M315&gt;=11,"Carousel","Kart testi"))))</x:f>
        <x:v>Carousel</x:v>
      </x:c>
      <x:c r="U315" s="46" t="str">
        <x:v>Son üç kelimeyi tekrarlama tekniği şaşırtıcı derecede basit, örnekli ve hemen denenebilecek kadar somut.</x:v>
      </x:c>
      <x:c r="V315" s="46" t="str">
        <x:f>IF(Q315&lt;=3,"Kaynak kontrolü şart",IF(Q315=4,"Kaynak kontrolü önerilir","Standart doğrulama"))</x:f>
        <x:v>Kaynak kontrolü önerilir</x:v>
      </x:c>
    </x:row>
    <x:row r="316" ht="24" customHeight="1">
      <x:c r="A316" s="48" t="n">
        <x:f>COUNTIF($R$2:$R$751,"&gt;"&amp;R316)+COUNTIF($R$2:R316,R316)</x:f>
        <x:v>315</x:v>
      </x:c>
      <x:c r="B316" s="48" t="n">
        <x:v>1382</x:v>
      </x:c>
      <x:c r="C316" s="46" t="str">
        <x:v>Sosyal yatırım ve bağlantı kalkanı</x:v>
      </x:c>
      <x:c r="D316" s="34" t="str">
        <x:v>Psikoloji</x:v>
      </x:c>
      <x:c r="E316" s="34" t="str">
        <x:v>Mutluluk</x:v>
      </x:c>
      <x:c r="F316" s="34" t="str">
        <x:v>Mutluluğun Peşinde</x:v>
      </x:c>
      <x:c r="G316" s="34" t="str">
        <x:v>Shawn Achor</x:v>
      </x:c>
      <x:c r="H316" s="50" t="str">
        <x:v>1</x:v>
      </x:c>
      <x:c r="I316" s="50" t="str">
        <x:v>Temel</x:v>
      </x:c>
      <x:c r="J316" s="51" t="n">
        <x:v>12</x:v>
      </x:c>
      <x:c r="K316" s="51" t="n">
        <x:v>8</x:v>
      </x:c>
      <x:c r="L316" s="51" t="n">
        <x:v>11</x:v>
      </x:c>
      <x:c r="M316" s="51" t="n">
        <x:v>12</x:v>
      </x:c>
      <x:c r="N316" s="51" t="n">
        <x:v>10</x:v>
      </x:c>
      <x:c r="O316" s="51" t="n">
        <x:v>7</x:v>
      </x:c>
      <x:c r="P316" s="51" t="n">
        <x:v>15</x:v>
      </x:c>
      <x:c r="Q316" s="51" t="n">
        <x:v>3</x:v>
      </x:c>
      <x:c r="R316" s="52" t="n">
        <x:f>SUM(J316:Q316)</x:f>
        <x:v>78</x:v>
      </x:c>
      <x:c r="S316" s="50" t="str">
        <x:f>IF(R316&gt;='Rubrik'!$B$17,"Öncelikli video",IF(R316&gt;='Rubrik'!$B$18,"Video kuyruğu",IF(R316&gt;='Rubrik'!$B$19,"Revize et",IF(R316&gt;='Rubrik'!$B$20,"Kartla test","Düşük öncelik"))))</x:f>
        <x:v>Revize et</x:v>
      </x:c>
      <x:c r="T316" s="50" t="str">
        <x:f>IF(AND(R316&gt;=85,P316&gt;=16,M316&gt;=12,L316&gt;=12),"Reel + Carousel",IF(AND(R316&gt;=85,P316&gt;=16,N316&gt;=8),"Soru odaklı Reel",IF(AND(R316&gt;=85,P316&gt;=16),"Reel / Short",IF(M316&gt;=11,"Carousel","Kart testi"))))</x:f>
        <x:v>Carousel</x:v>
      </x:c>
      <x:c r="U316" s="46" t="str">
        <x:v>Streste içe kapanmak yerine bağ kurma önerisi sıcak ve uygulanabilir; hormon açıklamaları kaynak istemekte.</x:v>
      </x:c>
      <x:c r="V316" s="46" t="str">
        <x:f>IF(Q316&lt;=3,"Kaynak kontrolü şart",IF(Q316=4,"Kaynak kontrolü önerilir","Standart doğrulama"))</x:f>
        <x:v>Kaynak kontrolü şart</x:v>
      </x:c>
    </x:row>
    <x:row r="317" ht="24" customHeight="1">
      <x:c r="A317" s="48" t="n">
        <x:f>COUNTIF($R$2:$R$751,"&gt;"&amp;R317)+COUNTIF($R$2:R317,R317)</x:f>
        <x:v>316</x:v>
      </x:c>
      <x:c r="B317" s="48" t="n">
        <x:v>1418</x:v>
      </x:c>
      <x:c r="C317" s="46" t="str">
        <x:v>Dört eylem çerçevesi</x:v>
      </x:c>
      <x:c r="D317" s="34" t="str">
        <x:v>Liderlik</x:v>
      </x:c>
      <x:c r="E317" s="34" t="str">
        <x:v>Strateji</x:v>
      </x:c>
      <x:c r="F317" s="34" t="str">
        <x:v>Mavi Okyanus Stratejisi</x:v>
      </x:c>
      <x:c r="G317" s="34" t="str">
        <x:v>W. Chan Kim</x:v>
      </x:c>
      <x:c r="H317" s="50" t="str">
        <x:v>1</x:v>
      </x:c>
      <x:c r="I317" s="50" t="str">
        <x:v>Temel</x:v>
      </x:c>
      <x:c r="J317" s="51" t="n">
        <x:v>11</x:v>
      </x:c>
      <x:c r="K317" s="51" t="n">
        <x:v>6</x:v>
      </x:c>
      <x:c r="L317" s="51" t="n">
        <x:v>11</x:v>
      </x:c>
      <x:c r="M317" s="51" t="n">
        <x:v>14</x:v>
      </x:c>
      <x:c r="N317" s="51" t="n">
        <x:v>10</x:v>
      </x:c>
      <x:c r="O317" s="51" t="n">
        <x:v>7</x:v>
      </x:c>
      <x:c r="P317" s="51" t="n">
        <x:v>15</x:v>
      </x:c>
      <x:c r="Q317" s="51" t="n">
        <x:v>4</x:v>
      </x:c>
      <x:c r="R317" s="52" t="n">
        <x:f>SUM(J317:Q317)</x:f>
        <x:v>78</x:v>
      </x:c>
      <x:c r="S317" s="50" t="str">
        <x:f>IF(R317&gt;='Rubrik'!$B$17,"Öncelikli video",IF(R317&gt;='Rubrik'!$B$18,"Video kuyruğu",IF(R317&gt;='Rubrik'!$B$19,"Revize et",IF(R317&gt;='Rubrik'!$B$20,"Kartla test","Düşük öncelik"))))</x:f>
        <x:v>Revize et</x:v>
      </x:c>
      <x:c r="T317" s="50" t="str">
        <x:f>IF(AND(R317&gt;=85,P317&gt;=16,M317&gt;=12,L317&gt;=12),"Reel + Carousel",IF(AND(R317&gt;=85,P317&gt;=16,N317&gt;=8),"Soru odaklı Reel",IF(AND(R317&gt;=85,P317&gt;=16),"Reel / Short",IF(M317&gt;=11,"Carousel","Kart testi"))))</x:f>
        <x:v>Carousel</x:v>
      </x:c>
      <x:c r="U317" s="46" t="str">
        <x:v>Yok et-azalt-artır-yarat çerçevesi yüksek kaydetme değeri ve güçlü bir sesli çalışma sorusu sunuyor.</x:v>
      </x:c>
      <x:c r="V317" s="46" t="str">
        <x:f>IF(Q317&lt;=3,"Kaynak kontrolü şart",IF(Q317=4,"Kaynak kontrolü önerilir","Standart doğrulama"))</x:f>
        <x:v>Kaynak kontrolü önerilir</x:v>
      </x:c>
    </x:row>
    <x:row r="318" ht="24" customHeight="1">
      <x:c r="A318" s="48" t="n">
        <x:f>COUNTIF($R$2:$R$751,"&gt;"&amp;R318)+COUNTIF($R$2:R318,R318)</x:f>
        <x:v>317</x:v>
      </x:c>
      <x:c r="B318" s="48" t="n">
        <x:v>1062</x:v>
      </x:c>
      <x:c r="C318" s="46" t="str">
        <x:v>Çevre tasarımı ile alışkanlık</x:v>
      </x:c>
      <x:c r="D318" s="34" t="str">
        <x:v>Sağlık</x:v>
      </x:c>
      <x:c r="E318" s="34" t="str">
        <x:v>Alışkanlıklar</x:v>
      </x:c>
      <x:c r="F318" s="34" t="str">
        <x:v>Atomic Habits</x:v>
      </x:c>
      <x:c r="G318" s="34" t="str">
        <x:v>James Clear</x:v>
      </x:c>
      <x:c r="H318" s="50" t="str">
        <x:v>1</x:v>
      </x:c>
      <x:c r="I318" s="50" t="str">
        <x:v>Temel</x:v>
      </x:c>
      <x:c r="J318" s="51" t="n">
        <x:v>13</x:v>
      </x:c>
      <x:c r="K318" s="51" t="n">
        <x:v>7</x:v>
      </x:c>
      <x:c r="L318" s="51" t="n">
        <x:v>10</x:v>
      </x:c>
      <x:c r="M318" s="51" t="n">
        <x:v>14</x:v>
      </x:c>
      <x:c r="N318" s="51" t="n">
        <x:v>8</x:v>
      </x:c>
      <x:c r="O318" s="51" t="n">
        <x:v>7</x:v>
      </x:c>
      <x:c r="P318" s="51" t="n">
        <x:v>15</x:v>
      </x:c>
      <x:c r="Q318" s="51" t="n">
        <x:v>4</x:v>
      </x:c>
      <x:c r="R318" s="52" t="n">
        <x:f>SUM(J318:Q318)</x:f>
        <x:v>78</x:v>
      </x:c>
      <x:c r="S318" s="50" t="str">
        <x:f>IF(R318&gt;='Rubrik'!$B$17,"Öncelikli video",IF(R318&gt;='Rubrik'!$B$18,"Video kuyruğu",IF(R318&gt;='Rubrik'!$B$19,"Revize et",IF(R318&gt;='Rubrik'!$B$20,"Kartla test","Düşük öncelik"))))</x:f>
        <x:v>Revize et</x:v>
      </x:c>
      <x:c r="T318" s="50" t="str">
        <x:f>IF(AND(R318&gt;=85,P318&gt;=16,M318&gt;=12,L318&gt;=12),"Reel + Carousel",IF(AND(R318&gt;=85,P318&gt;=16,N318&gt;=8),"Soru odaklı Reel",IF(AND(R318&gt;=85,P318&gt;=16),"Reel / Short",IF(M318&gt;=11,"Carousel","Kart testi"))))</x:f>
        <x:v>Carousel</x:v>
      </x:c>
      <x:c r="U318" s="46" t="str">
        <x:v>Kola ve su yerleşimi görünür bir deney, net sonuç ve hemen uygulanabilecek çevre tasarımı dersi sunuyor.</x:v>
      </x:c>
      <x:c r="V318" s="46" t="str">
        <x:f>IF(Q318&lt;=3,"Kaynak kontrolü şart",IF(Q318=4,"Kaynak kontrolü önerilir","Standart doğrulama"))</x:f>
        <x:v>Kaynak kontrolü önerilir</x:v>
      </x:c>
    </x:row>
    <x:row r="319" ht="24" customHeight="1">
      <x:c r="A319" s="48" t="n">
        <x:f>COUNTIF($R$2:$R$751,"&gt;"&amp;R319)+COUNTIF($R$2:R319,R319)</x:f>
        <x:v>318</x:v>
      </x:c>
      <x:c r="B319" s="48" t="n">
        <x:v>1705</x:v>
      </x:c>
      <x:c r="C319" s="46" t="str">
        <x:v>Akış Rahatken Değil, Sınırdayken Neden Gelir?</x:v>
      </x:c>
      <x:c r="D319" s="34" t="str">
        <x:v>Psikoloji</x:v>
      </x:c>
      <x:c r="E319" s="34" t="str">
        <x:v>Psikoloji</x:v>
      </x:c>
      <x:c r="F319" s="34" t="str">
        <x:v>Flow</x:v>
      </x:c>
      <x:c r="G319" s="34" t="str">
        <x:v>Mihaly Csikszentmihalyi</x:v>
      </x:c>
      <x:c r="H319" s="50" t="str">
        <x:v>2</x:v>
      </x:c>
      <x:c r="I319" s="50" t="str">
        <x:v>Zengin</x:v>
      </x:c>
      <x:c r="J319" s="51" t="n">
        <x:v>12</x:v>
      </x:c>
      <x:c r="K319" s="51" t="n">
        <x:v>5</x:v>
      </x:c>
      <x:c r="L319" s="51" t="n">
        <x:v>13</x:v>
      </x:c>
      <x:c r="M319" s="51" t="n">
        <x:v>10</x:v>
      </x:c>
      <x:c r="N319" s="51" t="n">
        <x:v>8</x:v>
      </x:c>
      <x:c r="O319" s="51" t="n">
        <x:v>7</x:v>
      </x:c>
      <x:c r="P319" s="51" t="n">
        <x:v>18</x:v>
      </x:c>
      <x:c r="Q319" s="51" t="n">
        <x:v>4</x:v>
      </x:c>
      <x:c r="R319" s="52" t="n">
        <x:f>SUM(J319:Q319)</x:f>
        <x:v>77</x:v>
      </x:c>
      <x:c r="S319" s="50" t="str">
        <x:f>IF(R319&gt;='Rubrik'!$B$17,"Öncelikli video",IF(R319&gt;='Rubrik'!$B$18,"Video kuyruğu",IF(R319&gt;='Rubrik'!$B$19,"Revize et",IF(R319&gt;='Rubrik'!$B$20,"Kartla test","Düşük öncelik"))))</x:f>
        <x:v>Kartla test</x:v>
      </x:c>
      <x:c r="T319" s="50" t="str">
        <x:f>IF(AND(R319&gt;=85,P319&gt;=16,M319&gt;=12,L319&gt;=12),"Reel + Carousel",IF(AND(R319&gt;=85,P319&gt;=16,N319&gt;=8),"Soru odaklı Reel",IF(AND(R319&gt;=85,P319&gt;=16),"Reel / Short",IF(M319&gt;=11,"Carousel","Kart testi"))))</x:f>
        <x:v>Kart testi</x:v>
      </x:c>
      <x:c r="U319" s="46" t="str">
        <x:v>Uygulanabilir çerçeve, hikâyeyi geri dönüp kaydetmeye değer kılıyor; olay örgüsü geliştirilmeli.</x:v>
      </x:c>
      <x:c r="V319" s="46" t="str">
        <x:f>IF(Q319&lt;=3,"Kaynak kontrolü şart",IF(Q319=4,"Kaynak kontrolü önerilir","Standart doğrulama"))</x:f>
        <x:v>Kaynak kontrolü önerilir</x:v>
      </x:c>
    </x:row>
    <x:row r="320" ht="24" customHeight="1">
      <x:c r="A320" s="48" t="n">
        <x:f>COUNTIF($R$2:$R$751,"&gt;"&amp;R320)+COUNTIF($R$2:R320,R320)</x:f>
        <x:v>319</x:v>
      </x:c>
      <x:c r="B320" s="48" t="n">
        <x:v>1712</x:v>
      </x:c>
      <x:c r="C320" s="46" t="str">
        <x:v>Platon’a Göre İktidarı En Çok Kim Hak Eder?</x:v>
      </x:c>
      <x:c r="D320" s="34" t="str">
        <x:v>Felsefe</x:v>
      </x:c>
      <x:c r="E320" s="34" t="str">
        <x:v>Sosyoloji</x:v>
      </x:c>
      <x:c r="F320" s="34" t="str">
        <x:v>The Republic</x:v>
      </x:c>
      <x:c r="G320" s="34" t="str">
        <x:v>Plato</x:v>
      </x:c>
      <x:c r="H320" s="50" t="str">
        <x:v>2</x:v>
      </x:c>
      <x:c r="I320" s="50" t="str">
        <x:v>Zengin</x:v>
      </x:c>
      <x:c r="J320" s="51" t="n">
        <x:v>12</x:v>
      </x:c>
      <x:c r="K320" s="51" t="n">
        <x:v>7</x:v>
      </x:c>
      <x:c r="L320" s="51" t="n">
        <x:v>13</x:v>
      </x:c>
      <x:c r="M320" s="51" t="n">
        <x:v>9</x:v>
      </x:c>
      <x:c r="N320" s="51" t="n">
        <x:v>9</x:v>
      </x:c>
      <x:c r="O320" s="51" t="n">
        <x:v>6</x:v>
      </x:c>
      <x:c r="P320" s="51" t="n">
        <x:v>17</x:v>
      </x:c>
      <x:c r="Q320" s="51" t="n">
        <x:v>4</x:v>
      </x:c>
      <x:c r="R320" s="52" t="n">
        <x:f>SUM(J320:Q320)</x:f>
        <x:v>77</x:v>
      </x:c>
      <x:c r="S320" s="50" t="str">
        <x:f>IF(R320&gt;='Rubrik'!$B$17,"Öncelikli video",IF(R320&gt;='Rubrik'!$B$18,"Video kuyruğu",IF(R320&gt;='Rubrik'!$B$19,"Revize et",IF(R320&gt;='Rubrik'!$B$20,"Kartla test","Düşük öncelik"))))</x:f>
        <x:v>Kartla test</x:v>
      </x:c>
      <x:c r="T320" s="50" t="str">
        <x:f>IF(AND(R320&gt;=85,P320&gt;=16,M320&gt;=12,L320&gt;=12),"Reel + Carousel",IF(AND(R320&gt;=85,P320&gt;=16,N320&gt;=8),"Soru odaklı Reel",IF(AND(R320&gt;=85,P320&gt;=16),"Reel / Short",IF(M320&gt;=11,"Carousel","Kart testi"))))</x:f>
        <x:v>Kart testi</x:v>
      </x:c>
      <x:c r="U320" s="46" t="str">
        <x:v>Duygusal karşıtlık paylaşma ve kişisel anlatma isteğini yükseltiyor; olay örgüsü geliştirilmeli.</x:v>
      </x:c>
      <x:c r="V320" s="46" t="str">
        <x:f>IF(Q320&lt;=3,"Kaynak kontrolü şart",IF(Q320=4,"Kaynak kontrolü önerilir","Standart doğrulama"))</x:f>
        <x:v>Kaynak kontrolü önerilir</x:v>
      </x:c>
    </x:row>
    <x:row r="321" ht="24" customHeight="1">
      <x:c r="A321" s="48" t="n">
        <x:f>COUNTIF($R$2:$R$751,"&gt;"&amp;R321)+COUNTIF($R$2:R321,R321)</x:f>
        <x:v>320</x:v>
      </x:c>
      <x:c r="B321" s="48" t="n">
        <x:v>1750</x:v>
      </x:c>
      <x:c r="C321" s="46" t="str">
        <x:v>John Glenn'in Güvendiği Hesap</x:v>
      </x:c>
      <x:c r="D321" s="34" t="str">
        <x:v>Tarih</x:v>
      </x:c>
      <x:c r="E321" s="34" t="str">
        <x:v>Tarih</x:v>
      </x:c>
      <x:c r="F321" s="34" t="str">
        <x:v>Hidden Figures</x:v>
      </x:c>
      <x:c r="G321" s="34" t="str">
        <x:v>Margot Lee Shetterly</x:v>
      </x:c>
      <x:c r="H321" s="50" t="str">
        <x:v>2</x:v>
      </x:c>
      <x:c r="I321" s="50" t="str">
        <x:v>Zengin</x:v>
      </x:c>
      <x:c r="J321" s="51" t="n">
        <x:v>13</x:v>
      </x:c>
      <x:c r="K321" s="51" t="n">
        <x:v>4</x:v>
      </x:c>
      <x:c r="L321" s="51" t="n">
        <x:v>13</x:v>
      </x:c>
      <x:c r="M321" s="51" t="n">
        <x:v>10</x:v>
      </x:c>
      <x:c r="N321" s="51" t="n">
        <x:v>8</x:v>
      </x:c>
      <x:c r="O321" s="51" t="n">
        <x:v>7</x:v>
      </x:c>
      <x:c r="P321" s="51" t="n">
        <x:v>17</x:v>
      </x:c>
      <x:c r="Q321" s="51" t="n">
        <x:v>5</x:v>
      </x:c>
      <x:c r="R321" s="52" t="n">
        <x:f>SUM(J321:Q321)</x:f>
        <x:v>77</x:v>
      </x:c>
      <x:c r="S321" s="50" t="str">
        <x:f>IF(R321&gt;='Rubrik'!$B$17,"Öncelikli video",IF(R321&gt;='Rubrik'!$B$18,"Video kuyruğu",IF(R321&gt;='Rubrik'!$B$19,"Revize et",IF(R321&gt;='Rubrik'!$B$20,"Kartla test","Düşük öncelik"))))</x:f>
        <x:v>Kartla test</x:v>
      </x:c>
      <x:c r="T321" s="50" t="str">
        <x:f>IF(AND(R321&gt;=85,P321&gt;=16,M321&gt;=12,L321&gt;=12),"Reel + Carousel",IF(AND(R321&gt;=85,P321&gt;=16,N321&gt;=8),"Soru odaklı Reel",IF(AND(R321&gt;=85,P321&gt;=16),"Reel / Short",IF(M321&gt;=11,"Carousel","Kart testi"))))</x:f>
        <x:v>Kart testi</x:v>
      </x:c>
      <x:c r="U321" s="46" t="str">
        <x:v>Somut sahne ve sayısal ayrıntı güçlü bir video açılışı sağlıyor; olay örgüsü geliştirilmeli.</x:v>
      </x:c>
      <x:c r="V321" s="46" t="str">
        <x:f>IF(Q321&lt;=3,"Kaynak kontrolü şart",IF(Q321=4,"Kaynak kontrolü önerilir","Standart doğrulama"))</x:f>
        <x:v>Standart doğrulama</x:v>
      </x:c>
    </x:row>
    <x:row r="322" ht="24" customHeight="1">
      <x:c r="A322" s="48" t="n">
        <x:f>COUNTIF($R$2:$R$751,"&gt;"&amp;R322)+COUNTIF($R$2:R322,R322)</x:f>
        <x:v>321</x:v>
      </x:c>
      <x:c r="B322" s="48" t="n">
        <x:v>1762</x:v>
      </x:c>
      <x:c r="C322" s="46" t="str">
        <x:v>Denizde Kaybolmayı Bitiren Saat</x:v>
      </x:c>
      <x:c r="D322" s="34" t="str">
        <x:v>Psikoloji</x:v>
      </x:c>
      <x:c r="E322" s="34" t="str">
        <x:v>Psikoloji</x:v>
      </x:c>
      <x:c r="F322" s="34" t="str">
        <x:v>Longitude</x:v>
      </x:c>
      <x:c r="G322" s="34" t="str">
        <x:v>Dava Sobel</x:v>
      </x:c>
      <x:c r="H322" s="50" t="str">
        <x:v>2</x:v>
      </x:c>
      <x:c r="I322" s="50" t="str">
        <x:v>Zengin</x:v>
      </x:c>
      <x:c r="J322" s="51" t="n">
        <x:v>13</x:v>
      </x:c>
      <x:c r="K322" s="51" t="n">
        <x:v>4</x:v>
      </x:c>
      <x:c r="L322" s="51" t="n">
        <x:v>13</x:v>
      </x:c>
      <x:c r="M322" s="51" t="n">
        <x:v>10</x:v>
      </x:c>
      <x:c r="N322" s="51" t="n">
        <x:v>8</x:v>
      </x:c>
      <x:c r="O322" s="51" t="n">
        <x:v>7</x:v>
      </x:c>
      <x:c r="P322" s="51" t="n">
        <x:v>17</x:v>
      </x:c>
      <x:c r="Q322" s="51" t="n">
        <x:v>5</x:v>
      </x:c>
      <x:c r="R322" s="52" t="n">
        <x:f>SUM(J322:Q322)</x:f>
        <x:v>77</x:v>
      </x:c>
      <x:c r="S322" s="50" t="str">
        <x:f>IF(R322&gt;='Rubrik'!$B$17,"Öncelikli video",IF(R322&gt;='Rubrik'!$B$18,"Video kuyruğu",IF(R322&gt;='Rubrik'!$B$19,"Revize et",IF(R322&gt;='Rubrik'!$B$20,"Kartla test","Düşük öncelik"))))</x:f>
        <x:v>Kartla test</x:v>
      </x:c>
      <x:c r="T322" s="50" t="str">
        <x:f>IF(AND(R322&gt;=85,P322&gt;=16,M322&gt;=12,L322&gt;=12),"Reel + Carousel",IF(AND(R322&gt;=85,P322&gt;=16,N322&gt;=8),"Soru odaklı Reel",IF(AND(R322&gt;=85,P322&gt;=16),"Reel / Short",IF(M322&gt;=11,"Carousel","Kart testi"))))</x:f>
        <x:v>Kart testi</x:v>
      </x:c>
      <x:c r="U322" s="46" t="str">
        <x:v>Somut sahne ve sayısal ayrıntı güçlü bir video açılışı sağlıyor; olay örgüsü geliştirilmeli.</x:v>
      </x:c>
      <x:c r="V322" s="46" t="str">
        <x:f>IF(Q322&lt;=3,"Kaynak kontrolü şart",IF(Q322=4,"Kaynak kontrolü önerilir","Standart doğrulama"))</x:f>
        <x:v>Standart doğrulama</x:v>
      </x:c>
    </x:row>
    <x:row r="323" ht="24" customHeight="1">
      <x:c r="A323" s="48" t="n">
        <x:f>COUNTIF($R$2:$R$751,"&gt;"&amp;R323)+COUNTIF($R$2:R323,R323)</x:f>
        <x:v>322</x:v>
      </x:c>
      <x:c r="B323" s="48" t="n">
        <x:v>1780</x:v>
      </x:c>
      <x:c r="C323" s="46" t="str">
        <x:v>Kural Kitabını Yırtmak</x:v>
      </x:c>
      <x:c r="D323" s="34" t="str">
        <x:v>Liderlik</x:v>
      </x:c>
      <x:c r="E323" s="34" t="str">
        <x:v>Liderlik</x:v>
      </x:c>
      <x:c r="F323" s="34" t="str">
        <x:v>No Rules Rules</x:v>
      </x:c>
      <x:c r="G323" s="34" t="str">
        <x:v>Reed Hastings ve Erin Meyer</x:v>
      </x:c>
      <x:c r="H323" s="50" t="str">
        <x:v>2</x:v>
      </x:c>
      <x:c r="I323" s="50" t="str">
        <x:v>Zengin</x:v>
      </x:c>
      <x:c r="J323" s="51" t="n">
        <x:v>12</x:v>
      </x:c>
      <x:c r="K323" s="51" t="n">
        <x:v>7</x:v>
      </x:c>
      <x:c r="L323" s="51" t="n">
        <x:v>13</x:v>
      </x:c>
      <x:c r="M323" s="51" t="n">
        <x:v>10</x:v>
      </x:c>
      <x:c r="N323" s="51" t="n">
        <x:v>9</x:v>
      </x:c>
      <x:c r="O323" s="51" t="n">
        <x:v>6</x:v>
      </x:c>
      <x:c r="P323" s="51" t="n">
        <x:v>17</x:v>
      </x:c>
      <x:c r="Q323" s="51" t="n">
        <x:v>3</x:v>
      </x:c>
      <x:c r="R323" s="52" t="n">
        <x:f>SUM(J323:Q323)</x:f>
        <x:v>77</x:v>
      </x:c>
      <x:c r="S323" s="50" t="str">
        <x:f>IF(R323&gt;='Rubrik'!$B$17,"Öncelikli video",IF(R323&gt;='Rubrik'!$B$18,"Video kuyruğu",IF(R323&gt;='Rubrik'!$B$19,"Revize et",IF(R323&gt;='Rubrik'!$B$20,"Kartla test","Düşük öncelik"))))</x:f>
        <x:v>Kartla test</x:v>
      </x:c>
      <x:c r="T323" s="50" t="str">
        <x:f>IF(AND(R323&gt;=85,P323&gt;=16,M323&gt;=12,L323&gt;=12),"Reel + Carousel",IF(AND(R323&gt;=85,P323&gt;=16,N323&gt;=8),"Soru odaklı Reel",IF(AND(R323&gt;=85,P323&gt;=16),"Reel / Short",IF(M323&gt;=11,"Carousel","Kart testi"))))</x:f>
        <x:v>Kart testi</x:v>
      </x:c>
      <x:c r="U323" s="46" t="str">
        <x:v>Duygusal karşıtlık paylaşma ve kişisel anlatma isteğini yükseltiyor; olay örgüsü geliştirilmeli.</x:v>
      </x:c>
      <x:c r="V323" s="46" t="str">
        <x:f>IF(Q323&lt;=3,"Kaynak kontrolü şart",IF(Q323=4,"Kaynak kontrolü önerilir","Standart doğrulama"))</x:f>
        <x:v>Kaynak kontrolü şart</x:v>
      </x:c>
    </x:row>
    <x:row r="324" ht="24" customHeight="1">
      <x:c r="A324" s="48" t="n">
        <x:f>COUNTIF($R$2:$R$751,"&gt;"&amp;R324)+COUNTIF($R$2:R324,R324)</x:f>
        <x:v>323</x:v>
      </x:c>
      <x:c r="B324" s="48" t="n">
        <x:v>1783</x:v>
      </x:c>
      <x:c r="C324" s="46" t="str">
        <x:v>Bay Piyasa ile Ortaklık</x:v>
      </x:c>
      <x:c r="D324" s="34" t="str">
        <x:v>Finans</x:v>
      </x:c>
      <x:c r="E324" s="34" t="str">
        <x:v>Finans</x:v>
      </x:c>
      <x:c r="F324" s="34" t="str">
        <x:v>The Intelligent Investor</x:v>
      </x:c>
      <x:c r="G324" s="34" t="str">
        <x:v>Benjamin Graham</x:v>
      </x:c>
      <x:c r="H324" s="50" t="str">
        <x:v>F5</x:v>
      </x:c>
      <x:c r="I324" s="50" t="str">
        <x:v>Zengin</x:v>
      </x:c>
      <x:c r="J324" s="51" t="n">
        <x:v>13</x:v>
      </x:c>
      <x:c r="K324" s="51" t="n">
        <x:v>5</x:v>
      </x:c>
      <x:c r="L324" s="51" t="n">
        <x:v>13</x:v>
      </x:c>
      <x:c r="M324" s="51" t="n">
        <x:v>10</x:v>
      </x:c>
      <x:c r="N324" s="51" t="n">
        <x:v>7</x:v>
      </x:c>
      <x:c r="O324" s="51" t="n">
        <x:v>7</x:v>
      </x:c>
      <x:c r="P324" s="51" t="n">
        <x:v>17</x:v>
      </x:c>
      <x:c r="Q324" s="51" t="n">
        <x:v>5</x:v>
      </x:c>
      <x:c r="R324" s="52" t="n">
        <x:f>SUM(J324:Q324)</x:f>
        <x:v>77</x:v>
      </x:c>
      <x:c r="S324" s="50" t="str">
        <x:f>IF(R324&gt;='Rubrik'!$B$17,"Öncelikli video",IF(R324&gt;='Rubrik'!$B$18,"Video kuyruğu",IF(R324&gt;='Rubrik'!$B$19,"Revize et",IF(R324&gt;='Rubrik'!$B$20,"Kartla test","Düşük öncelik"))))</x:f>
        <x:v>Kartla test</x:v>
      </x:c>
      <x:c r="T324" s="50" t="str">
        <x:f>IF(AND(R324&gt;=85,P324&gt;=16,M324&gt;=12,L324&gt;=12),"Reel + Carousel",IF(AND(R324&gt;=85,P324&gt;=16,N324&gt;=8),"Soru odaklı Reel",IF(AND(R324&gt;=85,P324&gt;=16),"Reel / Short",IF(M324&gt;=11,"Carousel","Kart testi"))))</x:f>
        <x:v>Kart testi</x:v>
      </x:c>
      <x:c r="U324" s="46" t="str">
        <x:v>Somut sahne ve sayısal ayrıntı güçlü bir video açılışı sağlıyor; olay örgüsü geliştirilmeli.</x:v>
      </x:c>
      <x:c r="V324" s="46" t="str">
        <x:f>IF(Q324&lt;=3,"Kaynak kontrolü şart",IF(Q324=4,"Kaynak kontrolü önerilir","Standart doğrulama"))</x:f>
        <x:v>Standart doğrulama</x:v>
      </x:c>
    </x:row>
    <x:row r="325" ht="24" customHeight="1">
      <x:c r="A325" s="48" t="n">
        <x:f>COUNTIF($R$2:$R$751,"&gt;"&amp;R325)+COUNTIF($R$2:R325,R325)</x:f>
        <x:v>324</x:v>
      </x:c>
      <x:c r="B325" s="48" t="n">
        <x:v>1787</x:v>
      </x:c>
      <x:c r="C325" s="46" t="str">
        <x:v>Suyun Sessiz Gücü</x:v>
      </x:c>
      <x:c r="D325" s="34" t="str">
        <x:v>Felsefe</x:v>
      </x:c>
      <x:c r="E325" s="34" t="str">
        <x:v>Felsefe</x:v>
      </x:c>
      <x:c r="F325" s="34" t="str">
        <x:v>Tao Te Ching</x:v>
      </x:c>
      <x:c r="G325" s="34" t="str">
        <x:v>Lao Tzu</x:v>
      </x:c>
      <x:c r="H325" s="50" t="str">
        <x:v>F5</x:v>
      </x:c>
      <x:c r="I325" s="50" t="str">
        <x:v>Zengin</x:v>
      </x:c>
      <x:c r="J325" s="51" t="n">
        <x:v>11</x:v>
      </x:c>
      <x:c r="K325" s="51" t="n">
        <x:v>7</x:v>
      </x:c>
      <x:c r="L325" s="51" t="n">
        <x:v>13</x:v>
      </x:c>
      <x:c r="M325" s="51" t="n">
        <x:v>10</x:v>
      </x:c>
      <x:c r="N325" s="51" t="n">
        <x:v>9</x:v>
      </x:c>
      <x:c r="O325" s="51" t="n">
        <x:v>6</x:v>
      </x:c>
      <x:c r="P325" s="51" t="n">
        <x:v>17</x:v>
      </x:c>
      <x:c r="Q325" s="51" t="n">
        <x:v>4</x:v>
      </x:c>
      <x:c r="R325" s="52" t="n">
        <x:f>SUM(J325:Q325)</x:f>
        <x:v>77</x:v>
      </x:c>
      <x:c r="S325" s="50" t="str">
        <x:f>IF(R325&gt;='Rubrik'!$B$17,"Öncelikli video",IF(R325&gt;='Rubrik'!$B$18,"Video kuyruğu",IF(R325&gt;='Rubrik'!$B$19,"Revize et",IF(R325&gt;='Rubrik'!$B$20,"Kartla test","Düşük öncelik"))))</x:f>
        <x:v>Kartla test</x:v>
      </x:c>
      <x:c r="T325" s="50" t="str">
        <x:f>IF(AND(R325&gt;=85,P325&gt;=16,M325&gt;=12,L325&gt;=12),"Reel + Carousel",IF(AND(R325&gt;=85,P325&gt;=16,N325&gt;=8),"Soru odaklı Reel",IF(AND(R325&gt;=85,P325&gt;=16),"Reel / Short",IF(M325&gt;=11,"Carousel","Kart testi"))))</x:f>
        <x:v>Kart testi</x:v>
      </x:c>
      <x:c r="U325" s="46" t="str">
        <x:v>Duygusal karşıtlık paylaşma ve kişisel anlatma isteğini yükseltiyor; olay örgüsü geliştirilmeli.</x:v>
      </x:c>
      <x:c r="V325" s="46" t="str">
        <x:f>IF(Q325&lt;=3,"Kaynak kontrolü şart",IF(Q325=4,"Kaynak kontrolü önerilir","Standart doğrulama"))</x:f>
        <x:v>Kaynak kontrolü önerilir</x:v>
      </x:c>
    </x:row>
    <x:row r="326" ht="24" customHeight="1">
      <x:c r="A326" s="48" t="n">
        <x:f>COUNTIF($R$2:$R$751,"&gt;"&amp;R326)+COUNTIF($R$2:R326,R326)</x:f>
        <x:v>325</x:v>
      </x:c>
      <x:c r="B326" s="48" t="n">
        <x:v>1790</x:v>
      </x:c>
      <x:c r="C326" s="46" t="str">
        <x:v>Serengeti'de Bir Pavyan Sürüsü</x:v>
      </x:c>
      <x:c r="D326" s="34" t="str">
        <x:v>Sağlık</x:v>
      </x:c>
      <x:c r="E326" s="34" t="str">
        <x:v>Sağlık</x:v>
      </x:c>
      <x:c r="F326" s="34" t="str">
        <x:v>Why Zebras Don't Get Ulcers</x:v>
      </x:c>
      <x:c r="G326" s="34" t="str">
        <x:v>Robert M. Sapolsky</x:v>
      </x:c>
      <x:c r="H326" s="50" t="str">
        <x:v>F6</x:v>
      </x:c>
      <x:c r="I326" s="50" t="str">
        <x:v>Zengin</x:v>
      </x:c>
      <x:c r="J326" s="51" t="n">
        <x:v>12</x:v>
      </x:c>
      <x:c r="K326" s="51" t="n">
        <x:v>7</x:v>
      </x:c>
      <x:c r="L326" s="51" t="n">
        <x:v>13</x:v>
      </x:c>
      <x:c r="M326" s="51" t="n">
        <x:v>10</x:v>
      </x:c>
      <x:c r="N326" s="51" t="n">
        <x:v>8</x:v>
      </x:c>
      <x:c r="O326" s="51" t="n">
        <x:v>7</x:v>
      </x:c>
      <x:c r="P326" s="51" t="n">
        <x:v>17</x:v>
      </x:c>
      <x:c r="Q326" s="51" t="n">
        <x:v>3</x:v>
      </x:c>
      <x:c r="R326" s="52" t="n">
        <x:f>SUM(J326:Q326)</x:f>
        <x:v>77</x:v>
      </x:c>
      <x:c r="S326" s="50" t="str">
        <x:f>IF(R326&gt;='Rubrik'!$B$17,"Öncelikli video",IF(R326&gt;='Rubrik'!$B$18,"Video kuyruğu",IF(R326&gt;='Rubrik'!$B$19,"Revize et",IF(R326&gt;='Rubrik'!$B$20,"Kartla test","Düşük öncelik"))))</x:f>
        <x:v>Kartla test</x:v>
      </x:c>
      <x:c r="T326" s="50" t="str">
        <x:f>IF(AND(R326&gt;=85,P326&gt;=16,M326&gt;=12,L326&gt;=12),"Reel + Carousel",IF(AND(R326&gt;=85,P326&gt;=16,N326&gt;=8),"Soru odaklı Reel",IF(AND(R326&gt;=85,P326&gt;=16),"Reel / Short",IF(M326&gt;=11,"Carousel","Kart testi"))))</x:f>
        <x:v>Kart testi</x:v>
      </x:c>
      <x:c r="U326" s="46" t="str">
        <x:v>Duygusal karşıtlık paylaşma ve kişisel anlatma isteğini yükseltiyor; olay örgüsü geliştirilmeli.</x:v>
      </x:c>
      <x:c r="V326" s="46" t="str">
        <x:f>IF(Q326&lt;=3,"Kaynak kontrolü şart",IF(Q326=4,"Kaynak kontrolü önerilir","Standart doğrulama"))</x:f>
        <x:v>Kaynak kontrolü şart</x:v>
      </x:c>
    </x:row>
    <x:row r="327" ht="24" customHeight="1">
      <x:c r="A327" s="48" t="n">
        <x:f>COUNTIF($R$2:$R$751,"&gt;"&amp;R327)+COUNTIF($R$2:R327,R327)</x:f>
        <x:v>326</x:v>
      </x:c>
      <x:c r="B327" s="48" t="n">
        <x:v>1085</x:v>
      </x:c>
      <x:c r="C327" s="46" t="str">
        <x:v>Wright Kardeşler ve Samuel Langley</x:v>
      </x:c>
      <x:c r="D327" s="34" t="str">
        <x:v>Liderlik</x:v>
      </x:c>
      <x:c r="E327" s="34" t="str">
        <x:v>Liderlik</x:v>
      </x:c>
      <x:c r="F327" s="34" t="str">
        <x:v>Başlangıç Noktası</x:v>
      </x:c>
      <x:c r="G327" s="34" t="str">
        <x:v>Simon Sinek</x:v>
      </x:c>
      <x:c r="H327" s="50" t="str">
        <x:v>1</x:v>
      </x:c>
      <x:c r="I327" s="50" t="str">
        <x:v>Temel</x:v>
      </x:c>
      <x:c r="J327" s="51" t="n">
        <x:v>14</x:v>
      </x:c>
      <x:c r="K327" s="51" t="n">
        <x:v>8</x:v>
      </x:c>
      <x:c r="L327" s="51" t="n">
        <x:v>12</x:v>
      </x:c>
      <x:c r="M327" s="51" t="n">
        <x:v>10</x:v>
      </x:c>
      <x:c r="N327" s="51" t="n">
        <x:v>9</x:v>
      </x:c>
      <x:c r="O327" s="51" t="n">
        <x:v>7</x:v>
      </x:c>
      <x:c r="P327" s="51" t="n">
        <x:v>16</x:v>
      </x:c>
      <x:c r="Q327" s="51" t="n">
        <x:v>1</x:v>
      </x:c>
      <x:c r="R327" s="52" t="n">
        <x:f>SUM(J327:Q327)</x:f>
        <x:v>77</x:v>
      </x:c>
      <x:c r="S327" s="50" t="str">
        <x:f>IF(R327&gt;='Rubrik'!$B$17,"Öncelikli video",IF(R327&gt;='Rubrik'!$B$18,"Video kuyruğu",IF(R327&gt;='Rubrik'!$B$19,"Revize et",IF(R327&gt;='Rubrik'!$B$20,"Kartla test","Düşük öncelik"))))</x:f>
        <x:v>Kartla test</x:v>
      </x:c>
      <x:c r="T327" s="50" t="str">
        <x:f>IF(AND(R327&gt;=85,P327&gt;=16,M327&gt;=12,L327&gt;=12),"Reel + Carousel",IF(AND(R327&gt;=85,P327&gt;=16,N327&gt;=8),"Soru odaklı Reel",IF(AND(R327&gt;=85,P327&gt;=16),"Reel / Short",IF(M327&gt;=11,"Carousel","Kart testi"))))</x:f>
        <x:v>Kart testi</x:v>
      </x:c>
      <x:c r="U327" s="46" t="str">
        <x:v>Milyonluk laboratuvar ile bisiklet dükkânı güçlü karşıtlık; sonucu yalnızca neden duygusuna bağlamak hatalı.</x:v>
      </x:c>
      <x:c r="V327" s="46" t="str">
        <x:f>IF(Q327&lt;=3,"Kaynak kontrolü şart",IF(Q327=4,"Kaynak kontrolü önerilir","Standart doğrulama"))</x:f>
        <x:v>Kaynak kontrolü şart</x:v>
      </x:c>
    </x:row>
    <x:row r="328" ht="24" customHeight="1">
      <x:c r="A328" s="48" t="n">
        <x:f>COUNTIF($R$2:$R$751,"&gt;"&amp;R328)+COUNTIF($R$2:R328,R328)</x:f>
        <x:v>327</x:v>
      </x:c>
      <x:c r="B328" s="48" t="n">
        <x:v>1291</x:v>
      </x:c>
      <x:c r="C328" s="46" t="str">
        <x:v>İki babanın iki dersi</x:v>
      </x:c>
      <x:c r="D328" s="34" t="str">
        <x:v>Finans</x:v>
      </x:c>
      <x:c r="E328" s="34" t="str">
        <x:v>Finans</x:v>
      </x:c>
      <x:c r="F328" s="34" t="str">
        <x:v>Zengin Baba Fakir Baba</x:v>
      </x:c>
      <x:c r="G328" s="34" t="str">
        <x:v>Robert Kiyosaki</x:v>
      </x:c>
      <x:c r="H328" s="50" t="str">
        <x:v>1</x:v>
      </x:c>
      <x:c r="I328" s="50" t="str">
        <x:v>Temel</x:v>
      </x:c>
      <x:c r="J328" s="51" t="n">
        <x:v>13</x:v>
      </x:c>
      <x:c r="K328" s="51" t="n">
        <x:v>6</x:v>
      </x:c>
      <x:c r="L328" s="51" t="n">
        <x:v>12</x:v>
      </x:c>
      <x:c r="M328" s="51" t="n">
        <x:v>12</x:v>
      </x:c>
      <x:c r="N328" s="51" t="n">
        <x:v>8</x:v>
      </x:c>
      <x:c r="O328" s="51" t="n">
        <x:v>8</x:v>
      </x:c>
      <x:c r="P328" s="51" t="n">
        <x:v>16</x:v>
      </x:c>
      <x:c r="Q328" s="51" t="n">
        <x:v>2</x:v>
      </x:c>
      <x:c r="R328" s="52" t="n">
        <x:f>SUM(J328:Q328)</x:f>
        <x:v>77</x:v>
      </x:c>
      <x:c r="S328" s="50" t="str">
        <x:f>IF(R328&gt;='Rubrik'!$B$17,"Öncelikli video",IF(R328&gt;='Rubrik'!$B$18,"Video kuyruğu",IF(R328&gt;='Rubrik'!$B$19,"Revize et",IF(R328&gt;='Rubrik'!$B$20,"Kartla test","Düşük öncelik"))))</x:f>
        <x:v>Kartla test</x:v>
      </x:c>
      <x:c r="T328" s="50" t="str">
        <x:f>IF(AND(R328&gt;=85,P328&gt;=16,M328&gt;=12,L328&gt;=12),"Reel + Carousel",IF(AND(R328&gt;=85,P328&gt;=16,N328&gt;=8),"Soru odaklı Reel",IF(AND(R328&gt;=85,P328&gt;=16),"Reel / Short",IF(M328&gt;=11,"Carousel","Kart testi"))))</x:f>
        <x:v>Carousel</x:v>
      </x:c>
      <x:c r="U328" s="46" t="str">
        <x:v>İki baba ve iki cümle çok net bir karşıtlık kuruyor; biyografik gerçeklik ve finans genellemeleri tartışmalı.</x:v>
      </x:c>
      <x:c r="V328" s="46" t="str">
        <x:f>IF(Q328&lt;=3,"Kaynak kontrolü şart",IF(Q328=4,"Kaynak kontrolü önerilir","Standart doğrulama"))</x:f>
        <x:v>Kaynak kontrolü şart</x:v>
      </x:c>
    </x:row>
    <x:row r="329" ht="24" customHeight="1">
      <x:c r="A329" s="48" t="n">
        <x:f>COUNTIF($R$2:$R$751,"&gt;"&amp;R329)+COUNTIF($R$2:R329,R329)</x:f>
        <x:v>328</x:v>
      </x:c>
      <x:c r="B329" s="48" t="n">
        <x:v>1333</x:v>
      </x:c>
      <x:c r="C329" s="46" t="str">
        <x:v>Umut paradoksu</x:v>
      </x:c>
      <x:c r="D329" s="34" t="str">
        <x:v>Felsefe</x:v>
      </x:c>
      <x:c r="E329" s="34" t="str">
        <x:v>Felsefe</x:v>
      </x:c>
      <x:c r="F329" s="34" t="str">
        <x:v>Her Şey Yolunda</x:v>
      </x:c>
      <x:c r="G329" s="34" t="str">
        <x:v>Mark Manson</x:v>
      </x:c>
      <x:c r="H329" s="50" t="str">
        <x:v>1</x:v>
      </x:c>
      <x:c r="I329" s="50" t="str">
        <x:v>Temel</x:v>
      </x:c>
      <x:c r="J329" s="51" t="n">
        <x:v>13</x:v>
      </x:c>
      <x:c r="K329" s="51" t="n">
        <x:v>7</x:v>
      </x:c>
      <x:c r="L329" s="51" t="n">
        <x:v>12</x:v>
      </x:c>
      <x:c r="M329" s="51" t="n">
        <x:v>10</x:v>
      </x:c>
      <x:c r="N329" s="51" t="n">
        <x:v>9</x:v>
      </x:c>
      <x:c r="O329" s="51" t="n">
        <x:v>7</x:v>
      </x:c>
      <x:c r="P329" s="51" t="n">
        <x:v>16</x:v>
      </x:c>
      <x:c r="Q329" s="51" t="n">
        <x:v>3</x:v>
      </x:c>
      <x:c r="R329" s="52" t="n">
        <x:f>SUM(J329:Q329)</x:f>
        <x:v>77</x:v>
      </x:c>
      <x:c r="S329" s="50" t="str">
        <x:f>IF(R329&gt;='Rubrik'!$B$17,"Öncelikli video",IF(R329&gt;='Rubrik'!$B$18,"Video kuyruğu",IF(R329&gt;='Rubrik'!$B$19,"Revize et",IF(R329&gt;='Rubrik'!$B$20,"Kartla test","Düşük öncelik"))))</x:f>
        <x:v>Kartla test</x:v>
      </x:c>
      <x:c r="T329" s="50" t="str">
        <x:f>IF(AND(R329&gt;=85,P329&gt;=16,M329&gt;=12,L329&gt;=12),"Reel + Carousel",IF(AND(R329&gt;=85,P329&gt;=16,N329&gt;=8),"Soru odaklı Reel",IF(AND(R329&gt;=85,P329&gt;=16),"Reel / Short",IF(M329&gt;=11,"Carousel","Kart testi"))))</x:f>
        <x:v>Kart testi</x:v>
      </x:c>
      <x:c r="U329" s="46" t="str">
        <x:v>Umudun şimdiyi yetersizleştirmesi dikkat çekici bir paradoks; umut hakkında fazla mutlak konuşuyor.</x:v>
      </x:c>
      <x:c r="V329" s="46" t="str">
        <x:f>IF(Q329&lt;=3,"Kaynak kontrolü şart",IF(Q329=4,"Kaynak kontrolü önerilir","Standart doğrulama"))</x:f>
        <x:v>Kaynak kontrolü şart</x:v>
      </x:c>
    </x:row>
    <x:row r="330" ht="24" customHeight="1">
      <x:c r="A330" s="48" t="n">
        <x:f>COUNTIF($R$2:$R$751,"&gt;"&amp;R330)+COUNTIF($R$2:R330,R330)</x:f>
        <x:v>329</x:v>
      </x:c>
      <x:c r="B330" s="48" t="n">
        <x:v>1396</x:v>
      </x:c>
      <x:c r="C330" s="46" t="str">
        <x:v>Sonsuz ve sonlu oyun farkı</x:v>
      </x:c>
      <x:c r="D330" s="34" t="str">
        <x:v>Liderlik</x:v>
      </x:c>
      <x:c r="E330" s="34" t="str">
        <x:v>Strateji</x:v>
      </x:c>
      <x:c r="F330" s="34" t="str">
        <x:v>Sonsuz Oyun</x:v>
      </x:c>
      <x:c r="G330" s="34" t="str">
        <x:v>Simon Sinek</x:v>
      </x:c>
      <x:c r="H330" s="50" t="str">
        <x:v>1</x:v>
      </x:c>
      <x:c r="I330" s="50" t="str">
        <x:v>Temel</x:v>
      </x:c>
      <x:c r="J330" s="51" t="n">
        <x:v>12</x:v>
      </x:c>
      <x:c r="K330" s="51" t="n">
        <x:v>6</x:v>
      </x:c>
      <x:c r="L330" s="51" t="n">
        <x:v>12</x:v>
      </x:c>
      <x:c r="M330" s="51" t="n">
        <x:v>12</x:v>
      </x:c>
      <x:c r="N330" s="51" t="n">
        <x:v>9</x:v>
      </x:c>
      <x:c r="O330" s="51" t="n">
        <x:v>7</x:v>
      </x:c>
      <x:c r="P330" s="51" t="n">
        <x:v>16</x:v>
      </x:c>
      <x:c r="Q330" s="51" t="n">
        <x:v>3</x:v>
      </x:c>
      <x:c r="R330" s="52" t="n">
        <x:f>SUM(J330:Q330)</x:f>
        <x:v>77</x:v>
      </x:c>
      <x:c r="S330" s="50" t="str">
        <x:f>IF(R330&gt;='Rubrik'!$B$17,"Öncelikli video",IF(R330&gt;='Rubrik'!$B$18,"Video kuyruğu",IF(R330&gt;='Rubrik'!$B$19,"Revize et",IF(R330&gt;='Rubrik'!$B$20,"Kartla test","Düşük öncelik"))))</x:f>
        <x:v>Kartla test</x:v>
      </x:c>
      <x:c r="T330" s="50" t="str">
        <x:f>IF(AND(R330&gt;=85,P330&gt;=16,M330&gt;=12,L330&gt;=12),"Reel + Carousel",IF(AND(R330&gt;=85,P330&gt;=16,N330&gt;=8),"Soru odaklı Reel",IF(AND(R330&gt;=85,P330&gt;=16),"Reel / Short",IF(M330&gt;=11,"Carousel","Kart testi"))))</x:f>
        <x:v>Carousel</x:v>
      </x:c>
      <x:c r="U330" s="46" t="str">
        <x:v>Sonlu ve sonsuz oyun ayrımı net, paylaşılabilir bir zihinsel model; şirket örnekleri seçmeci kalıyor.</x:v>
      </x:c>
      <x:c r="V330" s="46" t="str">
        <x:f>IF(Q330&lt;=3,"Kaynak kontrolü şart",IF(Q330=4,"Kaynak kontrolü önerilir","Standart doğrulama"))</x:f>
        <x:v>Kaynak kontrolü şart</x:v>
      </x:c>
    </x:row>
    <x:row r="331" ht="24" customHeight="1">
      <x:c r="A331" s="48" t="n">
        <x:f>COUNTIF($R$2:$R$751,"&gt;"&amp;R331)+COUNTIF($R$2:R331,R331)</x:f>
        <x:v>330</x:v>
      </x:c>
      <x:c r="B331" s="48" t="n">
        <x:v>1421</x:v>
      </x:c>
      <x:c r="C331" s="46" t="str">
        <x:v>Beş saniyelik kural ve momentum</x:v>
      </x:c>
      <x:c r="D331" s="34" t="str">
        <x:v>Sağlık</x:v>
      </x:c>
      <x:c r="E331" s="34" t="str">
        <x:v>Alışkanlıklar</x:v>
      </x:c>
      <x:c r="F331" s="34" t="str">
        <x:v>Mucize Sabah 2</x:v>
      </x:c>
      <x:c r="G331" s="34" t="str">
        <x:v>Hal Elrod</x:v>
      </x:c>
      <x:c r="H331" s="50" t="str">
        <x:v>1</x:v>
      </x:c>
      <x:c r="I331" s="50" t="str">
        <x:v>Temel</x:v>
      </x:c>
      <x:c r="J331" s="51" t="n">
        <x:v>13</x:v>
      </x:c>
      <x:c r="K331" s="51" t="n">
        <x:v>7</x:v>
      </x:c>
      <x:c r="L331" s="51" t="n">
        <x:v>12</x:v>
      </x:c>
      <x:c r="M331" s="51" t="n">
        <x:v>12</x:v>
      </x:c>
      <x:c r="N331" s="51" t="n">
        <x:v>9</x:v>
      </x:c>
      <x:c r="O331" s="51" t="n">
        <x:v>7</x:v>
      </x:c>
      <x:c r="P331" s="51" t="n">
        <x:v>16</x:v>
      </x:c>
      <x:c r="Q331" s="51" t="n">
        <x:v>1</x:v>
      </x:c>
      <x:c r="R331" s="52" t="n">
        <x:f>SUM(J331:Q331)</x:f>
        <x:v>77</x:v>
      </x:c>
      <x:c r="S331" s="50" t="str">
        <x:f>IF(R331&gt;='Rubrik'!$B$17,"Öncelikli video",IF(R331&gt;='Rubrik'!$B$18,"Video kuyruğu",IF(R331&gt;='Rubrik'!$B$19,"Revize et",IF(R331&gt;='Rubrik'!$B$20,"Kartla test","Düşük öncelik"))))</x:f>
        <x:v>Kartla test</x:v>
      </x:c>
      <x:c r="T331" s="50" t="str">
        <x:f>IF(AND(R331&gt;=85,P331&gt;=16,M331&gt;=12,L331&gt;=12),"Reel + Carousel",IF(AND(R331&gt;=85,P331&gt;=16,N331&gt;=8),"Soru odaklı Reel",IF(AND(R331&gt;=85,P331&gt;=16),"Reel / Short",IF(M331&gt;=11,"Carousel","Kart testi"))))</x:f>
        <x:v>Carousel</x:v>
      </x:c>
      <x:c r="U331" s="46" t="str">
        <x:v>Beş saniyelik tereddüt kapısı net ve uygulanabilir; Elrod-Mel Robbins atfı ile prefrontal açıklama güven vermiyor.</x:v>
      </x:c>
      <x:c r="V331" s="46" t="str">
        <x:f>IF(Q331&lt;=3,"Kaynak kontrolü şart",IF(Q331=4,"Kaynak kontrolü önerilir","Standart doğrulama"))</x:f>
        <x:v>Kaynak kontrolü şart</x:v>
      </x:c>
    </x:row>
    <x:row r="332" ht="24" customHeight="1">
      <x:c r="A332" s="48" t="n">
        <x:f>COUNTIF($R$2:$R$751,"&gt;"&amp;R332)+COUNTIF($R$2:R332,R332)</x:f>
        <x:v>331</x:v>
      </x:c>
      <x:c r="B332" s="48" t="n">
        <x:v>1282</x:v>
      </x:c>
      <x:c r="C332" s="46" t="str">
        <x:v>Santiago'nun tekrarlayan rüyası</x:v>
      </x:c>
      <x:c r="D332" s="34" t="str">
        <x:v>Büyüme</x:v>
      </x:c>
      <x:c r="E332" s="34" t="str">
        <x:v>İlham</x:v>
      </x:c>
      <x:c r="F332" s="34" t="str">
        <x:v>Kaybedilen Cennet</x:v>
      </x:c>
      <x:c r="G332" s="34" t="str">
        <x:v>Paulo Coelho</x:v>
      </x:c>
      <x:c r="H332" s="50" t="str">
        <x:v>1</x:v>
      </x:c>
      <x:c r="I332" s="50" t="str">
        <x:v>Temel</x:v>
      </x:c>
      <x:c r="J332" s="51" t="n">
        <x:v>12</x:v>
      </x:c>
      <x:c r="K332" s="51" t="n">
        <x:v>8</x:v>
      </x:c>
      <x:c r="L332" s="51" t="n">
        <x:v>11</x:v>
      </x:c>
      <x:c r="M332" s="51" t="n">
        <x:v>8</x:v>
      </x:c>
      <x:c r="N332" s="51" t="n">
        <x:v>9</x:v>
      </x:c>
      <x:c r="O332" s="51" t="n">
        <x:v>8</x:v>
      </x:c>
      <x:c r="P332" s="51" t="n">
        <x:v>16</x:v>
      </x:c>
      <x:c r="Q332" s="51" t="n">
        <x:v>5</x:v>
      </x:c>
      <x:c r="R332" s="52" t="n">
        <x:f>SUM(J332:Q332)</x:f>
        <x:v>77</x:v>
      </x:c>
      <x:c r="S332" s="50" t="str">
        <x:f>IF(R332&gt;='Rubrik'!$B$17,"Öncelikli video",IF(R332&gt;='Rubrik'!$B$18,"Video kuyruğu",IF(R332&gt;='Rubrik'!$B$19,"Revize et",IF(R332&gt;='Rubrik'!$B$20,"Kartla test","Düşük öncelik"))))</x:f>
        <x:v>Kartla test</x:v>
      </x:c>
      <x:c r="T332" s="50" t="str">
        <x:f>IF(AND(R332&gt;=85,P332&gt;=16,M332&gt;=12,L332&gt;=12),"Reel + Carousel",IF(AND(R332&gt;=85,P332&gt;=16,N332&gt;=8),"Soru odaklı Reel",IF(AND(R332&gt;=85,P332&gt;=16),"Reel / Short",IF(M332&gt;=11,"Carousel","Kart testi"))))</x:f>
        <x:v>Kart testi</x:v>
      </x:c>
      <x:c r="U332" s="46" t="str">
        <x:v>Santiago’nun rüya uğruna sürüden vazgeçişi duygusal ve sinematik; kurmaca bağlamı açık biçimde korunuyor.</x:v>
      </x:c>
      <x:c r="V332" s="46" t="str">
        <x:f>IF(Q332&lt;=3,"Kaynak kontrolü şart",IF(Q332=4,"Kaynak kontrolü önerilir","Standart doğrulama"))</x:f>
        <x:v>Standart doğrulama</x:v>
      </x:c>
    </x:row>
    <x:row r="333" ht="24" customHeight="1">
      <x:c r="A333" s="48" t="n">
        <x:f>COUNTIF($R$2:$R$751,"&gt;"&amp;R333)+COUNTIF($R$2:R333,R333)</x:f>
        <x:v>332</x:v>
      </x:c>
      <x:c r="B333" s="48" t="n">
        <x:v>1294</x:v>
      </x:c>
      <x:c r="C333" s="46" t="str">
        <x:v>Muse ve ürün testi deneyi</x:v>
      </x:c>
      <x:c r="D333" s="34" t="str">
        <x:v>Verimlilik</x:v>
      </x:c>
      <x:c r="E333" s="34" t="str">
        <x:v>Verimlilik</x:v>
      </x:c>
      <x:c r="F333" s="34" t="str">
        <x:v>The 4-Hour Workweek</x:v>
      </x:c>
      <x:c r="G333" s="34" t="str">
        <x:v>Tim Ferriss</x:v>
      </x:c>
      <x:c r="H333" s="50" t="str">
        <x:v>1</x:v>
      </x:c>
      <x:c r="I333" s="50" t="str">
        <x:v>Temel</x:v>
      </x:c>
      <x:c r="J333" s="51" t="n">
        <x:v>13</x:v>
      </x:c>
      <x:c r="K333" s="51" t="n">
        <x:v>6</x:v>
      </x:c>
      <x:c r="L333" s="51" t="n">
        <x:v>11</x:v>
      </x:c>
      <x:c r="M333" s="51" t="n">
        <x:v>13</x:v>
      </x:c>
      <x:c r="N333" s="51" t="n">
        <x:v>8</x:v>
      </x:c>
      <x:c r="O333" s="51" t="n">
        <x:v>8</x:v>
      </x:c>
      <x:c r="P333" s="51" t="n">
        <x:v>16</x:v>
      </x:c>
      <x:c r="Q333" s="51" t="n">
        <x:v>2</x:v>
      </x:c>
      <x:c r="R333" s="52" t="n">
        <x:f>SUM(J333:Q333)</x:f>
        <x:v>77</x:v>
      </x:c>
      <x:c r="S333" s="50" t="str">
        <x:f>IF(R333&gt;='Rubrik'!$B$17,"Öncelikli video",IF(R333&gt;='Rubrik'!$B$18,"Video kuyruğu",IF(R333&gt;='Rubrik'!$B$19,"Revize et",IF(R333&gt;='Rubrik'!$B$20,"Kartla test","Düşük öncelik"))))</x:f>
        <x:v>Kartla test</x:v>
      </x:c>
      <x:c r="T333" s="50" t="str">
        <x:f>IF(AND(R333&gt;=85,P333&gt;=16,M333&gt;=12,L333&gt;=12),"Reel + Carousel",IF(AND(R333&gt;=85,P333&gt;=16,N333&gt;=8),"Soru odaklı Reel",IF(AND(R333&gt;=85,P333&gt;=16),"Reel / Short",IF(M333&gt;=11,"Carousel","Kart testi"))))</x:f>
        <x:v>Carousel</x:v>
      </x:c>
      <x:c r="U333" s="46" t="str">
        <x:v>48 saatlik test girişimcilere somut yöntem veriyor; sahte satın alma akışının etik ve tarihsel yönü açıklanmalı.</x:v>
      </x:c>
      <x:c r="V333" s="46" t="str">
        <x:f>IF(Q333&lt;=3,"Kaynak kontrolü şart",IF(Q333=4,"Kaynak kontrolü önerilir","Standart doğrulama"))</x:f>
        <x:v>Kaynak kontrolü şart</x:v>
      </x:c>
    </x:row>
    <x:row r="334" ht="24" customHeight="1">
      <x:c r="A334" s="48" t="n">
        <x:f>COUNTIF($R$2:$R$751,"&gt;"&amp;R334)+COUNTIF($R$2:R334,R334)</x:f>
        <x:v>333</x:v>
      </x:c>
      <x:c r="B334" s="48" t="n">
        <x:v>1263</x:v>
      </x:c>
      <x:c r="C334" s="46" t="str">
        <x:v>Şu an yapıyor olmak, olmak değildir</x:v>
      </x:c>
      <x:c r="D334" s="34" t="str">
        <x:v>Felsefe</x:v>
      </x:c>
      <x:c r="E334" s="34" t="str">
        <x:v>Felsefe</x:v>
      </x:c>
      <x:c r="F334" s="34" t="str">
        <x:v>Ego Is the Enemy</x:v>
      </x:c>
      <x:c r="G334" s="34" t="str">
        <x:v>Ryan Holiday</x:v>
      </x:c>
      <x:c r="H334" s="50" t="str">
        <x:v>1</x:v>
      </x:c>
      <x:c r="I334" s="50" t="str">
        <x:v>Temel</x:v>
      </x:c>
      <x:c r="J334" s="51" t="n">
        <x:v>12</x:v>
      </x:c>
      <x:c r="K334" s="51" t="n">
        <x:v>7</x:v>
      </x:c>
      <x:c r="L334" s="51" t="n">
        <x:v>12</x:v>
      </x:c>
      <x:c r="M334" s="51" t="n">
        <x:v>12</x:v>
      </x:c>
      <x:c r="N334" s="51" t="n">
        <x:v>9</x:v>
      </x:c>
      <x:c r="O334" s="51" t="n">
        <x:v>6</x:v>
      </x:c>
      <x:c r="P334" s="51" t="n">
        <x:v>15</x:v>
      </x:c>
      <x:c r="Q334" s="51" t="n">
        <x:v>4</x:v>
      </x:c>
      <x:c r="R334" s="52" t="n">
        <x:f>SUM(J334:Q334)</x:f>
        <x:v>77</x:v>
      </x:c>
      <x:c r="S334" s="50" t="str">
        <x:f>IF(R334&gt;='Rubrik'!$B$17,"Öncelikli video",IF(R334&gt;='Rubrik'!$B$18,"Video kuyruğu",IF(R334&gt;='Rubrik'!$B$19,"Revize et",IF(R334&gt;='Rubrik'!$B$20,"Kartla test","Düşük öncelik"))))</x:f>
        <x:v>Kartla test</x:v>
      </x:c>
      <x:c r="T334" s="50" t="str">
        <x:f>IF(AND(R334&gt;=85,P334&gt;=16,M334&gt;=12,L334&gt;=12),"Reel + Carousel",IF(AND(R334&gt;=85,P334&gt;=16,N334&gt;=8),"Soru odaklı Reel",IF(AND(R334&gt;=85,P334&gt;=16),"Reel / Short",IF(M334&gt;=11,"Carousel","Kart testi"))))</x:f>
        <x:v>Carousel</x:v>
      </x:c>
      <x:c r="U334" s="46" t="str">
        <x:v>Yapmak ile olmak ayrımı kimlik üzerine güçlü bir içgörü ve kişisel sesli yanıt doğuruyor.</x:v>
      </x:c>
      <x:c r="V334" s="46" t="str">
        <x:f>IF(Q334&lt;=3,"Kaynak kontrolü şart",IF(Q334=4,"Kaynak kontrolü önerilir","Standart doğrulama"))</x:f>
        <x:v>Kaynak kontrolü önerilir</x:v>
      </x:c>
    </x:row>
    <x:row r="335" ht="24" customHeight="1">
      <x:c r="A335" s="48" t="n">
        <x:f>COUNTIF($R$2:$R$751,"&gt;"&amp;R335)+COUNTIF($R$2:R335,R335)</x:f>
        <x:v>334</x:v>
      </x:c>
      <x:c r="B335" s="48" t="n">
        <x:v>1278</x:v>
      </x:c>
      <x:c r="C335" s="46" t="str">
        <x:v>Gizler ve sırları aramak</x:v>
      </x:c>
      <x:c r="D335" s="34" t="str">
        <x:v>Verimlilik</x:v>
      </x:c>
      <x:c r="E335" s="34" t="str">
        <x:v>Girişimcilik</x:v>
      </x:c>
      <x:c r="F335" s="34" t="str">
        <x:v>Sıfır'dan Bir'e</x:v>
      </x:c>
      <x:c r="G335" s="34" t="str">
        <x:v>Peter Thiel</x:v>
      </x:c>
      <x:c r="H335" s="50" t="str">
        <x:v>1</x:v>
      </x:c>
      <x:c r="I335" s="50" t="str">
        <x:v>Temel</x:v>
      </x:c>
      <x:c r="J335" s="51" t="n">
        <x:v>13</x:v>
      </x:c>
      <x:c r="K335" s="51" t="n">
        <x:v>7</x:v>
      </x:c>
      <x:c r="L335" s="51" t="n">
        <x:v>12</x:v>
      </x:c>
      <x:c r="M335" s="51" t="n">
        <x:v>10</x:v>
      </x:c>
      <x:c r="N335" s="51" t="n">
        <x:v>10</x:v>
      </x:c>
      <x:c r="O335" s="51" t="n">
        <x:v>7</x:v>
      </x:c>
      <x:c r="P335" s="51" t="n">
        <x:v>15</x:v>
      </x:c>
      <x:c r="Q335" s="51" t="n">
        <x:v>3</x:v>
      </x:c>
      <x:c r="R335" s="52" t="n">
        <x:f>SUM(J335:Q335)</x:f>
        <x:v>77</x:v>
      </x:c>
      <x:c r="S335" s="50" t="str">
        <x:f>IF(R335&gt;='Rubrik'!$B$17,"Öncelikli video",IF(R335&gt;='Rubrik'!$B$18,"Video kuyruğu",IF(R335&gt;='Rubrik'!$B$19,"Revize et",IF(R335&gt;='Rubrik'!$B$20,"Kartla test","Düşük öncelik"))))</x:f>
        <x:v>Kartla test</x:v>
      </x:c>
      <x:c r="T335" s="50" t="str">
        <x:f>IF(AND(R335&gt;=85,P335&gt;=16,M335&gt;=12,L335&gt;=12),"Reel + Carousel",IF(AND(R335&gt;=85,P335&gt;=16,N335&gt;=8),"Soru odaklı Reel",IF(AND(R335&gt;=85,P335&gt;=16),"Reel / Short",IF(M335&gt;=11,"Carousel","Kart testi"))))</x:f>
        <x:v>Kart testi</x:v>
      </x:c>
      <x:c r="U335" s="46" t="str">
        <x:v>Konsensüse aykırı doğruyu bulma sorusu güçlü sohbet üretir; şirket örnekleri sonucu fazla kolaylaştırıyor.</x:v>
      </x:c>
      <x:c r="V335" s="46" t="str">
        <x:f>IF(Q335&lt;=3,"Kaynak kontrolü şart",IF(Q335=4,"Kaynak kontrolü önerilir","Standart doğrulama"))</x:f>
        <x:v>Kaynak kontrolü şart</x:v>
      </x:c>
    </x:row>
    <x:row r="336" ht="24" customHeight="1">
      <x:c r="A336" s="48" t="n">
        <x:f>COUNTIF($R$2:$R$751,"&gt;"&amp;R336)+COUNTIF($R$2:R336,R336)</x:f>
        <x:v>335</x:v>
      </x:c>
      <x:c r="B336" s="48" t="n">
        <x:v>1386</x:v>
      </x:c>
      <x:c r="C336" s="46" t="str">
        <x:v>Hiçbir zaman iki gün üst üste atla</x:v>
      </x:c>
      <x:c r="D336" s="34" t="str">
        <x:v>Sağlık</x:v>
      </x:c>
      <x:c r="E336" s="34" t="str">
        <x:v>Sağlık</x:v>
      </x:c>
      <x:c r="F336" s="34" t="str">
        <x:v>Sağlıklı Olmak</x:v>
      </x:c>
      <x:c r="G336" s="34" t="str">
        <x:v>James Clear</x:v>
      </x:c>
      <x:c r="H336" s="50" t="str">
        <x:v>1</x:v>
      </x:c>
      <x:c r="I336" s="50" t="str">
        <x:v>Temel</x:v>
      </x:c>
      <x:c r="J336" s="51" t="n">
        <x:v>12</x:v>
      </x:c>
      <x:c r="K336" s="51" t="n">
        <x:v>7</x:v>
      </x:c>
      <x:c r="L336" s="51" t="n">
        <x:v>12</x:v>
      </x:c>
      <x:c r="M336" s="51" t="n">
        <x:v>13</x:v>
      </x:c>
      <x:c r="N336" s="51" t="n">
        <x:v>9</x:v>
      </x:c>
      <x:c r="O336" s="51" t="n">
        <x:v>7</x:v>
      </x:c>
      <x:c r="P336" s="51" t="n">
        <x:v>15</x:v>
      </x:c>
      <x:c r="Q336" s="51" t="n">
        <x:v>2</x:v>
      </x:c>
      <x:c r="R336" s="52" t="n">
        <x:f>SUM(J336:Q336)</x:f>
        <x:v>77</x:v>
      </x:c>
      <x:c r="S336" s="50" t="str">
        <x:f>IF(R336&gt;='Rubrik'!$B$17,"Öncelikli video",IF(R336&gt;='Rubrik'!$B$18,"Video kuyruğu",IF(R336&gt;='Rubrik'!$B$19,"Revize et",IF(R336&gt;='Rubrik'!$B$20,"Kartla test","Düşük öncelik"))))</x:f>
        <x:v>Kartla test</x:v>
      </x:c>
      <x:c r="T336" s="50" t="str">
        <x:f>IF(AND(R336&gt;=85,P336&gt;=16,M336&gt;=12,L336&gt;=12),"Reel + Carousel",IF(AND(R336&gt;=85,P336&gt;=16,N336&gt;=8),"Soru odaklı Reel",IF(AND(R336&gt;=85,P336&gt;=16),"Reel / Short",IF(M336&gt;=11,"Carousel","Kart testi"))))</x:f>
        <x:v>Carousel</x:v>
      </x:c>
      <x:c r="U336" s="46" t="str">
        <x:v>“İki kez kaçırma” mükemmeliyetçiliği kıran güçlü bir kural; iki günde yeni norm açıklaması kanıtsız.</x:v>
      </x:c>
      <x:c r="V336" s="46" t="str">
        <x:f>IF(Q336&lt;=3,"Kaynak kontrolü şart",IF(Q336=4,"Kaynak kontrolü önerilir","Standart doğrulama"))</x:f>
        <x:v>Kaynak kontrolü şart</x:v>
      </x:c>
    </x:row>
    <x:row r="337" ht="24" customHeight="1">
      <x:c r="A337" s="48" t="n">
        <x:f>COUNTIF($R$2:$R$751,"&gt;"&amp;R337)+COUNTIF($R$2:R337,R337)</x:f>
        <x:v>336</x:v>
      </x:c>
      <x:c r="B337" s="48" t="n">
        <x:v>1246</x:v>
      </x:c>
      <x:c r="C337" s="46" t="str">
        <x:v>İlham perisi kapıya geldiğinde</x:v>
      </x:c>
      <x:c r="D337" s="34" t="str">
        <x:v>Verimlilik</x:v>
      </x:c>
      <x:c r="E337" s="34" t="str">
        <x:v>Yaratıcılık</x:v>
      </x:c>
      <x:c r="F337" s="34" t="str">
        <x:v>Yaratıcı Olmak</x:v>
      </x:c>
      <x:c r="G337" s="34" t="str">
        <x:v>Elizabeth Gilbert</x:v>
      </x:c>
      <x:c r="H337" s="50" t="str">
        <x:v>1</x:v>
      </x:c>
      <x:c r="I337" s="50" t="str">
        <x:v>Temel</x:v>
      </x:c>
      <x:c r="J337" s="51" t="n">
        <x:v>12</x:v>
      </x:c>
      <x:c r="K337" s="51" t="n">
        <x:v>7</x:v>
      </x:c>
      <x:c r="L337" s="51" t="n">
        <x:v>11</x:v>
      </x:c>
      <x:c r="M337" s="51" t="n">
        <x:v>12</x:v>
      </x:c>
      <x:c r="N337" s="51" t="n">
        <x:v>9</x:v>
      </x:c>
      <x:c r="O337" s="51" t="n">
        <x:v>7</x:v>
      </x:c>
      <x:c r="P337" s="51" t="n">
        <x:v>15</x:v>
      </x:c>
      <x:c r="Q337" s="51" t="n">
        <x:v>4</x:v>
      </x:c>
      <x:c r="R337" s="52" t="n">
        <x:f>SUM(J337:Q337)</x:f>
        <x:v>77</x:v>
      </x:c>
      <x:c r="S337" s="50" t="str">
        <x:f>IF(R337&gt;='Rubrik'!$B$17,"Öncelikli video",IF(R337&gt;='Rubrik'!$B$18,"Video kuyruğu",IF(R337&gt;='Rubrik'!$B$19,"Revize et",IF(R337&gt;='Rubrik'!$B$20,"Kartla test","Düşük öncelik"))))</x:f>
        <x:v>Kartla test</x:v>
      </x:c>
      <x:c r="T337" s="50" t="str">
        <x:f>IF(AND(R337&gt;=85,P337&gt;=16,M337&gt;=12,L337&gt;=12),"Reel + Carousel",IF(AND(R337&gt;=85,P337&gt;=16,N337&gt;=8),"Soru odaklı Reel",IF(AND(R337&gt;=85,P337&gt;=16),"Reel / Short",IF(M337&gt;=11,"Carousel","Kart testi"))))</x:f>
        <x:v>Carousel</x:v>
      </x:c>
      <x:c r="U337" s="46" t="str">
        <x:v>Çiftçi benzetmesi disiplin fikrini sıcak, uygulanabilir ve sesli düşünmeye açık bir anlatıya çeviriyor.</x:v>
      </x:c>
      <x:c r="V337" s="46" t="str">
        <x:f>IF(Q337&lt;=3,"Kaynak kontrolü şart",IF(Q337=4,"Kaynak kontrolü önerilir","Standart doğrulama"))</x:f>
        <x:v>Kaynak kontrolü önerilir</x:v>
      </x:c>
    </x:row>
    <x:row r="338" ht="24" customHeight="1">
      <x:c r="A338" s="48" t="n">
        <x:f>COUNTIF($R$2:$R$751,"&gt;"&amp;R338)+COUNTIF($R$2:R338,R338)</x:f>
        <x:v>337</x:v>
      </x:c>
      <x:c r="B338" s="48" t="n">
        <x:v>1332</x:v>
      </x:c>
      <x:c r="C338" s="46" t="str">
        <x:v>Belirsizliği kucaklamak</x:v>
      </x:c>
      <x:c r="D338" s="34" t="str">
        <x:v>Büyüme</x:v>
      </x:c>
      <x:c r="E338" s="34" t="str">
        <x:v>Kişisel Gelişim</x:v>
      </x:c>
      <x:c r="F338" s="34" t="str">
        <x:v>Özgür Olmak</x:v>
      </x:c>
      <x:c r="G338" s="34" t="str">
        <x:v>Mark Manson</x:v>
      </x:c>
      <x:c r="H338" s="50" t="str">
        <x:v>1</x:v>
      </x:c>
      <x:c r="I338" s="50" t="str">
        <x:v>Temel</x:v>
      </x:c>
      <x:c r="J338" s="51" t="n">
        <x:v>12</x:v>
      </x:c>
      <x:c r="K338" s="51" t="n">
        <x:v>7</x:v>
      </x:c>
      <x:c r="L338" s="51" t="n">
        <x:v>11</x:v>
      </x:c>
      <x:c r="M338" s="51" t="n">
        <x:v>12</x:v>
      </x:c>
      <x:c r="N338" s="51" t="n">
        <x:v>10</x:v>
      </x:c>
      <x:c r="O338" s="51" t="n">
        <x:v>7</x:v>
      </x:c>
      <x:c r="P338" s="51" t="n">
        <x:v>15</x:v>
      </x:c>
      <x:c r="Q338" s="51" t="n">
        <x:v>3</x:v>
      </x:c>
      <x:c r="R338" s="52" t="n">
        <x:f>SUM(J338:Q338)</x:f>
        <x:v>77</x:v>
      </x:c>
      <x:c r="S338" s="50" t="str">
        <x:f>IF(R338&gt;='Rubrik'!$B$17,"Öncelikli video",IF(R338&gt;='Rubrik'!$B$18,"Video kuyruğu",IF(R338&gt;='Rubrik'!$B$19,"Revize et",IF(R338&gt;='Rubrik'!$B$20,"Kartla test","Düşük öncelik"))))</x:f>
        <x:v>Kartla test</x:v>
      </x:c>
      <x:c r="T338" s="50" t="str">
        <x:f>IF(AND(R338&gt;=85,P338&gt;=16,M338&gt;=12,L338&gt;=12),"Reel + Carousel",IF(AND(R338&gt;=85,P338&gt;=16,N338&gt;=8),"Soru odaklı Reel",IF(AND(R338&gt;=85,P338&gt;=16),"Reel / Short",IF(M338&gt;=11,"Carousel","Kart testi"))))</x:f>
        <x:v>Carousel</x:v>
      </x:c>
      <x:c r="U338" s="46" t="str">
        <x:v>“Yanılıyor olabilirim” ilkesi kaydedilebilir ve güçlü sohbet açar; bağımlılık örnekleri fazla geniş bağlanmış.</x:v>
      </x:c>
      <x:c r="V338" s="46" t="str">
        <x:f>IF(Q338&lt;=3,"Kaynak kontrolü şart",IF(Q338=4,"Kaynak kontrolü önerilir","Standart doğrulama"))</x:f>
        <x:v>Kaynak kontrolü şart</x:v>
      </x:c>
    </x:row>
    <x:row r="339" ht="24" customHeight="1">
      <x:c r="A339" s="48" t="n">
        <x:f>COUNTIF($R$2:$R$751,"&gt;"&amp;R339)+COUNTIF($R$2:R339,R339)</x:f>
        <x:v>338</x:v>
      </x:c>
      <x:c r="B339" s="48" t="n">
        <x:v>1340</x:v>
      </x:c>
      <x:c r="C339" s="46" t="str">
        <x:v>Uyku ritueli ve ortam tasarımı</x:v>
      </x:c>
      <x:c r="D339" s="34" t="str">
        <x:v>Sağlık</x:v>
      </x:c>
      <x:c r="E339" s="34" t="str">
        <x:v>Sağlık</x:v>
      </x:c>
      <x:c r="F339" s="34" t="str">
        <x:v>Uyku Devrimi</x:v>
      </x:c>
      <x:c r="G339" s="34" t="str">
        <x:v>Arianna Huffington</x:v>
      </x:c>
      <x:c r="H339" s="50" t="str">
        <x:v>1</x:v>
      </x:c>
      <x:c r="I339" s="50" t="str">
        <x:v>Temel</x:v>
      </x:c>
      <x:c r="J339" s="51" t="n">
        <x:v>12</x:v>
      </x:c>
      <x:c r="K339" s="51" t="n">
        <x:v>6</x:v>
      </x:c>
      <x:c r="L339" s="51" t="n">
        <x:v>11</x:v>
      </x:c>
      <x:c r="M339" s="51" t="n">
        <x:v>14</x:v>
      </x:c>
      <x:c r="N339" s="51" t="n">
        <x:v>9</x:v>
      </x:c>
      <x:c r="O339" s="51" t="n">
        <x:v>7</x:v>
      </x:c>
      <x:c r="P339" s="51" t="n">
        <x:v>15</x:v>
      </x:c>
      <x:c r="Q339" s="51" t="n">
        <x:v>3</x:v>
      </x:c>
      <x:c r="R339" s="52" t="n">
        <x:f>SUM(J339:Q339)</x:f>
        <x:v>77</x:v>
      </x:c>
      <x:c r="S339" s="50" t="str">
        <x:f>IF(R339&gt;='Rubrik'!$B$17,"Öncelikli video",IF(R339&gt;='Rubrik'!$B$18,"Video kuyruğu",IF(R339&gt;='Rubrik'!$B$19,"Revize et",IF(R339&gt;='Rubrik'!$B$20,"Kartla test","Düşük öncelik"))))</x:f>
        <x:v>Kartla test</x:v>
      </x:c>
      <x:c r="T339" s="50" t="str">
        <x:f>IF(AND(R339&gt;=85,P339&gt;=16,M339&gt;=12,L339&gt;=12),"Reel + Carousel",IF(AND(R339&gt;=85,P339&gt;=16,N339&gt;=8),"Soru odaklı Reel",IF(AND(R339&gt;=85,P339&gt;=16),"Reel / Short",IF(M339&gt;=11,"Carousel","Kart testi"))))</x:f>
        <x:v>Carousel</x:v>
      </x:c>
      <x:c r="U339" s="46" t="str">
        <x:v>Telefonu odadan çıkarma ve banyo ritüeli hemen uygulanabilir; uyku kalitesi-süre kıyası aşırı genellenmiş.</x:v>
      </x:c>
      <x:c r="V339" s="46" t="str">
        <x:f>IF(Q339&lt;=3,"Kaynak kontrolü şart",IF(Q339=4,"Kaynak kontrolü önerilir","Standart doğrulama"))</x:f>
        <x:v>Kaynak kontrolü şart</x:v>
      </x:c>
    </x:row>
    <x:row r="340" ht="24" customHeight="1">
      <x:c r="A340" s="48" t="n">
        <x:f>COUNTIF($R$2:$R$751,"&gt;"&amp;R340)+COUNTIF($R$2:R340,R340)</x:f>
        <x:v>339</x:v>
      </x:c>
      <x:c r="B340" s="48" t="n">
        <x:v>1385</x:v>
      </x:c>
      <x:c r="C340" s="46" t="str">
        <x:v>Çevre ve sağlık kararları</x:v>
      </x:c>
      <x:c r="D340" s="34" t="str">
        <x:v>Sağlık</x:v>
      </x:c>
      <x:c r="E340" s="34" t="str">
        <x:v>Sağlık</x:v>
      </x:c>
      <x:c r="F340" s="34" t="str">
        <x:v>Sağlıklı Olmak</x:v>
      </x:c>
      <x:c r="G340" s="34" t="str">
        <x:v>James Clear</x:v>
      </x:c>
      <x:c r="H340" s="50" t="str">
        <x:v>1</x:v>
      </x:c>
      <x:c r="I340" s="50" t="str">
        <x:v>Temel</x:v>
      </x:c>
      <x:c r="J340" s="51" t="n">
        <x:v>12</x:v>
      </x:c>
      <x:c r="K340" s="51" t="n">
        <x:v>6</x:v>
      </x:c>
      <x:c r="L340" s="51" t="n">
        <x:v>11</x:v>
      </x:c>
      <x:c r="M340" s="51" t="n">
        <x:v>14</x:v>
      </x:c>
      <x:c r="N340" s="51" t="n">
        <x:v>9</x:v>
      </x:c>
      <x:c r="O340" s="51" t="n">
        <x:v>7</x:v>
      </x:c>
      <x:c r="P340" s="51" t="n">
        <x:v>15</x:v>
      </x:c>
      <x:c r="Q340" s="51" t="n">
        <x:v>3</x:v>
      </x:c>
      <x:c r="R340" s="52" t="n">
        <x:f>SUM(J340:Q340)</x:f>
        <x:v>77</x:v>
      </x:c>
      <x:c r="S340" s="50" t="str">
        <x:f>IF(R340&gt;='Rubrik'!$B$17,"Öncelikli video",IF(R340&gt;='Rubrik'!$B$18,"Video kuyruğu",IF(R340&gt;='Rubrik'!$B$19,"Revize et",IF(R340&gt;='Rubrik'!$B$20,"Kartla test","Düşük öncelik"))))</x:f>
        <x:v>Kartla test</x:v>
      </x:c>
      <x:c r="T340" s="50" t="str">
        <x:f>IF(AND(R340&gt;=85,P340&gt;=16,M340&gt;=12,L340&gt;=12),"Reel + Carousel",IF(AND(R340&gt;=85,P340&gt;=16,N340&gt;=8),"Soru odaklı Reel",IF(AND(R340&gt;=85,P340&gt;=16),"Reel / Short",IF(M340&gt;=11,"Carousel","Kart testi"))))</x:f>
        <x:v>Carousel</x:v>
      </x:c>
      <x:c r="U340" s="46" t="str">
        <x:v>Meyveyi görünür kılma müdahalesi basit ve yüksek kullanım değeri taşıyor; yüzde 18 verisi kaynaklanmalı.</x:v>
      </x:c>
      <x:c r="V340" s="46" t="str">
        <x:f>IF(Q340&lt;=3,"Kaynak kontrolü şart",IF(Q340=4,"Kaynak kontrolü önerilir","Standart doğrulama"))</x:f>
        <x:v>Kaynak kontrolü şart</x:v>
      </x:c>
    </x:row>
    <x:row r="341" ht="24" customHeight="1">
      <x:c r="A341" s="48" t="n">
        <x:f>COUNTIF($R$2:$R$751,"&gt;"&amp;R341)+COUNTIF($R$2:R341,R341)</x:f>
        <x:v>340</x:v>
      </x:c>
      <x:c r="B341" s="48" t="n">
        <x:v>1394</x:v>
      </x:c>
      <x:c r="C341" s="46" t="str">
        <x:v>80/20 ve kritik görevler</x:v>
      </x:c>
      <x:c r="D341" s="34" t="str">
        <x:v>Verimlilik</x:v>
      </x:c>
      <x:c r="E341" s="34" t="str">
        <x:v>Verimlilik</x:v>
      </x:c>
      <x:c r="F341" s="34" t="str">
        <x:v>Yeme Bozukluğu</x:v>
      </x:c>
      <x:c r="G341" s="34" t="str">
        <x:v>Brian Tracy</x:v>
      </x:c>
      <x:c r="H341" s="50" t="str">
        <x:v>1</x:v>
      </x:c>
      <x:c r="I341" s="50" t="str">
        <x:v>Temel</x:v>
      </x:c>
      <x:c r="J341" s="51" t="n">
        <x:v>12</x:v>
      </x:c>
      <x:c r="K341" s="51" t="n">
        <x:v>6</x:v>
      </x:c>
      <x:c r="L341" s="51" t="n">
        <x:v>11</x:v>
      </x:c>
      <x:c r="M341" s="51" t="n">
        <x:v>14</x:v>
      </x:c>
      <x:c r="N341" s="51" t="n">
        <x:v>9</x:v>
      </x:c>
      <x:c r="O341" s="51" t="n">
        <x:v>7</x:v>
      </x:c>
      <x:c r="P341" s="51" t="n">
        <x:v>15</x:v>
      </x:c>
      <x:c r="Q341" s="51" t="n">
        <x:v>3</x:v>
      </x:c>
      <x:c r="R341" s="52" t="n">
        <x:f>SUM(J341:Q341)</x:f>
        <x:v>77</x:v>
      </x:c>
      <x:c r="S341" s="50" t="str">
        <x:f>IF(R341&gt;='Rubrik'!$B$17,"Öncelikli video",IF(R341&gt;='Rubrik'!$B$18,"Video kuyruğu",IF(R341&gt;='Rubrik'!$B$19,"Revize et",IF(R341&gt;='Rubrik'!$B$20,"Kartla test","Düşük öncelik"))))</x:f>
        <x:v>Kartla test</x:v>
      </x:c>
      <x:c r="T341" s="50" t="str">
        <x:f>IF(AND(R341&gt;=85,P341&gt;=16,M341&gt;=12,L341&gt;=12),"Reel + Carousel",IF(AND(R341&gt;=85,P341&gt;=16,N341&gt;=8),"Soru odaklı Reel",IF(AND(R341&gt;=85,P341&gt;=16),"Reel / Short",IF(M341&gt;=11,"Carousel","Kart testi"))))</x:f>
        <x:v>Carousel</x:v>
      </x:c>
      <x:c r="U341" s="46" t="str">
        <x:v>ABCDE görev listesi yüksek kullanım değeri taşıyor; 80/20 oranı kesin yasa gibi ele alınmamalı.</x:v>
      </x:c>
      <x:c r="V341" s="46" t="str">
        <x:f>IF(Q341&lt;=3,"Kaynak kontrolü şart",IF(Q341=4,"Kaynak kontrolü önerilir","Standart doğrulama"))</x:f>
        <x:v>Kaynak kontrolü şart</x:v>
      </x:c>
    </x:row>
    <x:row r="342" ht="24" customHeight="1">
      <x:c r="A342" s="48" t="n">
        <x:f>COUNTIF($R$2:$R$751,"&gt;"&amp;R342)+COUNTIF($R$2:R342,R342)</x:f>
        <x:v>341</x:v>
      </x:c>
      <x:c r="B342" s="48" t="n">
        <x:v>1395</x:v>
      </x:c>
      <x:c r="C342" s="46" t="str">
        <x:v>Odaklanma ve tek görev ilkesi</x:v>
      </x:c>
      <x:c r="D342" s="34" t="str">
        <x:v>Verimlilik</x:v>
      </x:c>
      <x:c r="E342" s="34" t="str">
        <x:v>Verimlilik</x:v>
      </x:c>
      <x:c r="F342" s="34" t="str">
        <x:v>Yeme Bozukluğu</x:v>
      </x:c>
      <x:c r="G342" s="34" t="str">
        <x:v>Brian Tracy</x:v>
      </x:c>
      <x:c r="H342" s="50" t="str">
        <x:v>1</x:v>
      </x:c>
      <x:c r="I342" s="50" t="str">
        <x:v>Temel</x:v>
      </x:c>
      <x:c r="J342" s="51" t="n">
        <x:v>12</x:v>
      </x:c>
      <x:c r="K342" s="51" t="n">
        <x:v>6</x:v>
      </x:c>
      <x:c r="L342" s="51" t="n">
        <x:v>11</x:v>
      </x:c>
      <x:c r="M342" s="51" t="n">
        <x:v>14</x:v>
      </x:c>
      <x:c r="N342" s="51" t="n">
        <x:v>9</x:v>
      </x:c>
      <x:c r="O342" s="51" t="n">
        <x:v>7</x:v>
      </x:c>
      <x:c r="P342" s="51" t="n">
        <x:v>15</x:v>
      </x:c>
      <x:c r="Q342" s="51" t="n">
        <x:v>3</x:v>
      </x:c>
      <x:c r="R342" s="52" t="n">
        <x:f>SUM(J342:Q342)</x:f>
        <x:v>77</x:v>
      </x:c>
      <x:c r="S342" s="50" t="str">
        <x:f>IF(R342&gt;='Rubrik'!$B$17,"Öncelikli video",IF(R342&gt;='Rubrik'!$B$18,"Video kuyruğu",IF(R342&gt;='Rubrik'!$B$19,"Revize et",IF(R342&gt;='Rubrik'!$B$20,"Kartla test","Düşük öncelik"))))</x:f>
        <x:v>Kartla test</x:v>
      </x:c>
      <x:c r="T342" s="50" t="str">
        <x:f>IF(AND(R342&gt;=85,P342&gt;=16,M342&gt;=12,L342&gt;=12),"Reel + Carousel",IF(AND(R342&gt;=85,P342&gt;=16,N342&gt;=8),"Soru odaklı Reel",IF(AND(R342&gt;=85,P342&gt;=16),"Reel / Short",IF(M342&gt;=11,"Carousel","Kart testi"))))</x:f>
        <x:v>Carousel</x:v>
      </x:c>
      <x:c r="U342" s="46" t="str">
        <x:v>Tek görev blokları doğrudan uygulanabilir; yüzde 40 verim kaybı araştırması açık kaynakla desteklenmeli.</x:v>
      </x:c>
      <x:c r="V342" s="46" t="str">
        <x:f>IF(Q342&lt;=3,"Kaynak kontrolü şart",IF(Q342=4,"Kaynak kontrolü önerilir","Standart doğrulama"))</x:f>
        <x:v>Kaynak kontrolü şart</x:v>
      </x:c>
    </x:row>
    <x:row r="343" ht="24" customHeight="1">
      <x:c r="A343" s="48" t="n">
        <x:f>COUNTIF($R$2:$R$751,"&gt;"&amp;R343)+COUNTIF($R$2:R343,R343)</x:f>
        <x:v>342</x:v>
      </x:c>
      <x:c r="B343" s="48" t="n">
        <x:v>1111</x:v>
      </x:c>
      <x:c r="C343" s="46" t="str">
        <x:v>Mor inek metaforu</x:v>
      </x:c>
      <x:c r="D343" s="34" t="str">
        <x:v>Finans</x:v>
      </x:c>
      <x:c r="E343" s="34" t="str">
        <x:v>Pazarlama</x:v>
      </x:c>
      <x:c r="F343" s="34" t="str">
        <x:v>Purple Cow</x:v>
      </x:c>
      <x:c r="G343" s="34" t="str">
        <x:v>Seth Godin</x:v>
      </x:c>
      <x:c r="H343" s="50" t="str">
        <x:v>1</x:v>
      </x:c>
      <x:c r="I343" s="50" t="str">
        <x:v>Temel</x:v>
      </x:c>
      <x:c r="J343" s="51" t="n">
        <x:v>14</x:v>
      </x:c>
      <x:c r="K343" s="51" t="n">
        <x:v>7</x:v>
      </x:c>
      <x:c r="L343" s="51" t="n">
        <x:v>10</x:v>
      </x:c>
      <x:c r="M343" s="51" t="n">
        <x:v>12</x:v>
      </x:c>
      <x:c r="N343" s="51" t="n">
        <x:v>8</x:v>
      </x:c>
      <x:c r="O343" s="51" t="n">
        <x:v>7</x:v>
      </x:c>
      <x:c r="P343" s="51" t="n">
        <x:v>15</x:v>
      </x:c>
      <x:c r="Q343" s="51" t="n">
        <x:v>4</x:v>
      </x:c>
      <x:c r="R343" s="52" t="n">
        <x:f>SUM(J343:Q343)</x:f>
        <x:v>77</x:v>
      </x:c>
      <x:c r="S343" s="50" t="str">
        <x:f>IF(R343&gt;='Rubrik'!$B$17,"Öncelikli video",IF(R343&gt;='Rubrik'!$B$18,"Video kuyruğu",IF(R343&gt;='Rubrik'!$B$19,"Revize et",IF(R343&gt;='Rubrik'!$B$20,"Kartla test","Düşük öncelik"))))</x:f>
        <x:v>Kartla test</x:v>
      </x:c>
      <x:c r="T343" s="50" t="str">
        <x:f>IF(AND(R343&gt;=85,P343&gt;=16,M343&gt;=12,L343&gt;=12),"Reel + Carousel",IF(AND(R343&gt;=85,P343&gt;=16,N343&gt;=8),"Soru odaklı Reel",IF(AND(R343&gt;=85,P343&gt;=16),"Reel / Short",IF(M343&gt;=11,"Carousel","Kart testi"))))</x:f>
        <x:v>Carousel</x:v>
      </x:c>
      <x:c r="U343" s="46" t="str">
        <x:v>Mor inek tek karede anlaşılır ve marka tartışması açar; güçlü, basit ve görsel bir metafor.</x:v>
      </x:c>
      <x:c r="V343" s="46" t="str">
        <x:f>IF(Q343&lt;=3,"Kaynak kontrolü şart",IF(Q343=4,"Kaynak kontrolü önerilir","Standart doğrulama"))</x:f>
        <x:v>Kaynak kontrolü önerilir</x:v>
      </x:c>
    </x:row>
    <x:row r="344" ht="24" customHeight="1">
      <x:c r="A344" s="48" t="n">
        <x:f>COUNTIF($R$2:$R$751,"&gt;"&amp;R344)+COUNTIF($R$2:R344,R344)</x:f>
        <x:v>343</x:v>
      </x:c>
      <x:c r="B344" s="48" t="n">
        <x:v>1122</x:v>
      </x:c>
      <x:c r="C344" s="46" t="str">
        <x:v>Craving döngüsü ve diş macunu</x:v>
      </x:c>
      <x:c r="D344" s="34" t="str">
        <x:v>Sağlık</x:v>
      </x:c>
      <x:c r="E344" s="34" t="str">
        <x:v>Alışkanlıklar</x:v>
      </x:c>
      <x:c r="F344" s="34" t="str">
        <x:v>Alışkanlıkların Gücü</x:v>
      </x:c>
      <x:c r="G344" s="34" t="str">
        <x:v>Charles Duhigg</x:v>
      </x:c>
      <x:c r="H344" s="50" t="str">
        <x:v>1</x:v>
      </x:c>
      <x:c r="I344" s="50" t="str">
        <x:v>Temel</x:v>
      </x:c>
      <x:c r="J344" s="51" t="n">
        <x:v>14</x:v>
      </x:c>
      <x:c r="K344" s="51" t="n">
        <x:v>7</x:v>
      </x:c>
      <x:c r="L344" s="51" t="n">
        <x:v>10</x:v>
      </x:c>
      <x:c r="M344" s="51" t="n">
        <x:v>14</x:v>
      </x:c>
      <x:c r="N344" s="51" t="n">
        <x:v>8</x:v>
      </x:c>
      <x:c r="O344" s="51" t="n">
        <x:v>7</x:v>
      </x:c>
      <x:c r="P344" s="51" t="n">
        <x:v>15</x:v>
      </x:c>
      <x:c r="Q344" s="51" t="n">
        <x:v>2</x:v>
      </x:c>
      <x:c r="R344" s="52" t="n">
        <x:f>SUM(J344:Q344)</x:f>
        <x:v>77</x:v>
      </x:c>
      <x:c r="S344" s="50" t="str">
        <x:f>IF(R344&gt;='Rubrik'!$B$17,"Öncelikli video",IF(R344&gt;='Rubrik'!$B$18,"Video kuyruğu",IF(R344&gt;='Rubrik'!$B$19,"Revize et",IF(R344&gt;='Rubrik'!$B$20,"Kartla test","Düşük öncelik"))))</x:f>
        <x:v>Kartla test</x:v>
      </x:c>
      <x:c r="T344" s="50" t="str">
        <x:f>IF(AND(R344&gt;=85,P344&gt;=16,M344&gt;=12,L344&gt;=12),"Reel + Carousel",IF(AND(R344&gt;=85,P344&gt;=16,N344&gt;=8),"Soru odaklı Reel",IF(AND(R344&gt;=85,P344&gt;=16),"Reel / Short",IF(M344&gt;=11,"Carousel","Kart testi"))))</x:f>
        <x:v>Carousel</x:v>
      </x:c>
      <x:c r="U344" s="46" t="str">
        <x:v>Ağızdaki karıncalanmayı ödüle çeviren reklam öyküsü canlı; yaygınlık ve mekanizma iddiaları teyit ister.</x:v>
      </x:c>
      <x:c r="V344" s="46" t="str">
        <x:f>IF(Q344&lt;=3,"Kaynak kontrolü şart",IF(Q344=4,"Kaynak kontrolü önerilir","Standart doğrulama"))</x:f>
        <x:v>Kaynak kontrolü şart</x:v>
      </x:c>
    </x:row>
    <x:row r="345" ht="24" customHeight="1">
      <x:c r="A345" s="48" t="n">
        <x:f>COUNTIF($R$2:$R$751,"&gt;"&amp;R345)+COUNTIF($R$2:R345,R345)</x:f>
        <x:v>344</x:v>
      </x:c>
      <x:c r="B345" s="48" t="n">
        <x:v>1129</x:v>
      </x:c>
      <x:c r="C345" s="46" t="str">
        <x:v>Beynin plastikliği ve yeniden yazılma</x:v>
      </x:c>
      <x:c r="D345" s="34" t="str">
        <x:v>Psikoloji</x:v>
      </x:c>
      <x:c r="E345" s="34" t="str">
        <x:v>Psikoloji</x:v>
      </x:c>
      <x:c r="F345" s="34" t="str">
        <x:v>Büyüme Zihniyeti</x:v>
      </x:c>
      <x:c r="G345" s="34" t="str">
        <x:v>Carol Dweck</x:v>
      </x:c>
      <x:c r="H345" s="50" t="str">
        <x:v>1</x:v>
      </x:c>
      <x:c r="I345" s="50" t="str">
        <x:v>Temel</x:v>
      </x:c>
      <x:c r="J345" s="51" t="n">
        <x:v>14</x:v>
      </x:c>
      <x:c r="K345" s="51" t="n">
        <x:v>7</x:v>
      </x:c>
      <x:c r="L345" s="51" t="n">
        <x:v>10</x:v>
      </x:c>
      <x:c r="M345" s="51" t="n">
        <x:v>13</x:v>
      </x:c>
      <x:c r="N345" s="51" t="n">
        <x:v>9</x:v>
      </x:c>
      <x:c r="O345" s="51" t="n">
        <x:v>7</x:v>
      </x:c>
      <x:c r="P345" s="51" t="n">
        <x:v>15</x:v>
      </x:c>
      <x:c r="Q345" s="51" t="n">
        <x:v>2</x:v>
      </x:c>
      <x:c r="R345" s="52" t="n">
        <x:f>SUM(J345:Q345)</x:f>
        <x:v>77</x:v>
      </x:c>
      <x:c r="S345" s="50" t="str">
        <x:f>IF(R345&gt;='Rubrik'!$B$17,"Öncelikli video",IF(R345&gt;='Rubrik'!$B$18,"Video kuyruğu",IF(R345&gt;='Rubrik'!$B$19,"Revize et",IF(R345&gt;='Rubrik'!$B$20,"Kartla test","Düşük öncelik"))))</x:f>
        <x:v>Kartla test</x:v>
      </x:c>
      <x:c r="T345" s="50" t="str">
        <x:f>IF(AND(R345&gt;=85,P345&gt;=16,M345&gt;=12,L345&gt;=12),"Reel + Carousel",IF(AND(R345&gt;=85,P345&gt;=16,N345&gt;=8),"Soru odaklı Reel",IF(AND(R345&gt;=85,P345&gt;=16),"Reel / Short",IF(M345&gt;=11,"Carousel","Kart testi"))))</x:f>
        <x:v>Carousel</x:v>
      </x:c>
      <x:c r="U345" s="46" t="str">
        <x:v>Taksi şoförlerinin değişen beyni görsel kanıt sunuyor; bunu tüm yeteneklere taşımak nüans gerektiriyor.</x:v>
      </x:c>
      <x:c r="V345" s="46" t="str">
        <x:f>IF(Q345&lt;=3,"Kaynak kontrolü şart",IF(Q345=4,"Kaynak kontrolü önerilir","Standart doğrulama"))</x:f>
        <x:v>Kaynak kontrolü şart</x:v>
      </x:c>
    </x:row>
    <x:row r="346" ht="24" customHeight="1">
      <x:c r="A346" s="48" t="n">
        <x:f>COUNTIF($R$2:$R$751,"&gt;"&amp;R346)+COUNTIF($R$2:R346,R346)</x:f>
        <x:v>345</x:v>
      </x:c>
      <x:c r="B346" s="48" t="n">
        <x:v>1244</x:v>
      </x:c>
      <x:c r="C346" s="46" t="str">
        <x:v>Koch'un çalışma saatlerini yarıya indirmesi</x:v>
      </x:c>
      <x:c r="D346" s="34" t="str">
        <x:v>Verimlilik</x:v>
      </x:c>
      <x:c r="E346" s="34" t="str">
        <x:v>Verimlilik</x:v>
      </x:c>
      <x:c r="F346" s="34" t="str">
        <x:v>Pareto İlkesi</x:v>
      </x:c>
      <x:c r="G346" s="34" t="str">
        <x:v>Richard Koch</x:v>
      </x:c>
      <x:c r="H346" s="50" t="str">
        <x:v>1</x:v>
      </x:c>
      <x:c r="I346" s="50" t="str">
        <x:v>Temel</x:v>
      </x:c>
      <x:c r="J346" s="51" t="n">
        <x:v>13</x:v>
      </x:c>
      <x:c r="K346" s="51" t="n">
        <x:v>7</x:v>
      </x:c>
      <x:c r="L346" s="51" t="n">
        <x:v>10</x:v>
      </x:c>
      <x:c r="M346" s="51" t="n">
        <x:v>14</x:v>
      </x:c>
      <x:c r="N346" s="51" t="n">
        <x:v>9</x:v>
      </x:c>
      <x:c r="O346" s="51" t="n">
        <x:v>7</x:v>
      </x:c>
      <x:c r="P346" s="51" t="n">
        <x:v>15</x:v>
      </x:c>
      <x:c r="Q346" s="51" t="n">
        <x:v>2</x:v>
      </x:c>
      <x:c r="R346" s="52" t="n">
        <x:f>SUM(J346:Q346)</x:f>
        <x:v>77</x:v>
      </x:c>
      <x:c r="S346" s="50" t="str">
        <x:f>IF(R346&gt;='Rubrik'!$B$17,"Öncelikli video",IF(R346&gt;='Rubrik'!$B$18,"Video kuyruğu",IF(R346&gt;='Rubrik'!$B$19,"Revize et",IF(R346&gt;='Rubrik'!$B$20,"Kartla test","Düşük öncelik"))))</x:f>
        <x:v>Kartla test</x:v>
      </x:c>
      <x:c r="T346" s="50" t="str">
        <x:f>IF(AND(R346&gt;=85,P346&gt;=16,M346&gt;=12,L346&gt;=12),"Reel + Carousel",IF(AND(R346&gt;=85,P346&gt;=16,N346&gt;=8),"Soru odaklı Reel",IF(AND(R346&gt;=85,P346&gt;=16),"Reel / Short",IF(M346&gt;=11,"Carousel","Kart testi"))))</x:f>
        <x:v>Carousel</x:v>
      </x:c>
      <x:c r="U346" s="46" t="str">
        <x:v>80 saatten 50 saate inerken gelirin artması güçlü karşıtlık; sonuçlar öz anlatıya dayanıyor.</x:v>
      </x:c>
      <x:c r="V346" s="46" t="str">
        <x:f>IF(Q346&lt;=3,"Kaynak kontrolü şart",IF(Q346=4,"Kaynak kontrolü önerilir","Standart doğrulama"))</x:f>
        <x:v>Kaynak kontrolü şart</x:v>
      </x:c>
    </x:row>
    <x:row r="347" ht="24" customHeight="1">
      <x:c r="A347" s="48" t="n">
        <x:f>COUNTIF($R$2:$R$751,"&gt;"&amp;R347)+COUNTIF($R$2:R347,R347)</x:f>
        <x:v>346</x:v>
      </x:c>
      <x:c r="B347" s="48" t="n">
        <x:v>1070</x:v>
      </x:c>
      <x:c r="C347" s="46" t="str">
        <x:v>Carl Jung'un taş kulesi inzivası</x:v>
      </x:c>
      <x:c r="D347" s="34" t="str">
        <x:v>Verimlilik</x:v>
      </x:c>
      <x:c r="E347" s="34" t="str">
        <x:v>Verimlilik</x:v>
      </x:c>
      <x:c r="F347" s="34" t="str">
        <x:v>Derin Çalışma</x:v>
      </x:c>
      <x:c r="G347" s="34" t="str">
        <x:v>Cal Newport</x:v>
      </x:c>
      <x:c r="H347" s="50" t="str">
        <x:v>1</x:v>
      </x:c>
      <x:c r="I347" s="50" t="str">
        <x:v>Temel</x:v>
      </x:c>
      <x:c r="J347" s="51" t="n">
        <x:v>13</x:v>
      </x:c>
      <x:c r="K347" s="51" t="n">
        <x:v>8</x:v>
      </x:c>
      <x:c r="L347" s="51" t="n">
        <x:v>9</x:v>
      </x:c>
      <x:c r="M347" s="51" t="n">
        <x:v>12</x:v>
      </x:c>
      <x:c r="N347" s="51" t="n">
        <x:v>9</x:v>
      </x:c>
      <x:c r="O347" s="51" t="n">
        <x:v>7</x:v>
      </x:c>
      <x:c r="P347" s="51" t="n">
        <x:v>15</x:v>
      </x:c>
      <x:c r="Q347" s="51" t="n">
        <x:v>4</x:v>
      </x:c>
      <x:c r="R347" s="52" t="n">
        <x:f>SUM(J347:Q347)</x:f>
        <x:v>77</x:v>
      </x:c>
      <x:c r="S347" s="50" t="str">
        <x:f>IF(R347&gt;='Rubrik'!$B$17,"Öncelikli video",IF(R347&gt;='Rubrik'!$B$18,"Video kuyruğu",IF(R347&gt;='Rubrik'!$B$19,"Revize et",IF(R347&gt;='Rubrik'!$B$20,"Kartla test","Düşük öncelik"))))</x:f>
        <x:v>Kartla test</x:v>
      </x:c>
      <x:c r="T347" s="50" t="str">
        <x:f>IF(AND(R347&gt;=85,P347&gt;=16,M347&gt;=12,L347&gt;=12),"Reel + Carousel",IF(AND(R347&gt;=85,P347&gt;=16,N347&gt;=8),"Soru odaklı Reel",IF(AND(R347&gt;=85,P347&gt;=16),"Reel / Short",IF(M347&gt;=11,"Carousel","Kart testi"))))</x:f>
        <x:v>Carousel</x:v>
      </x:c>
      <x:c r="U347" s="46" t="str">
        <x:v>Taş kule, sessizlik ve Jung figürü güçlü görüntü kuruyor; odak üzerine kişisel bir yanıt doğuruyor.</x:v>
      </x:c>
      <x:c r="V347" s="46" t="str">
        <x:f>IF(Q347&lt;=3,"Kaynak kontrolü şart",IF(Q347=4,"Kaynak kontrolü önerilir","Standart doğrulama"))</x:f>
        <x:v>Kaynak kontrolü önerilir</x:v>
      </x:c>
    </x:row>
    <x:row r="348" ht="24" customHeight="1">
      <x:c r="A348" s="48" t="n">
        <x:f>COUNTIF($R$2:$R$751,"&gt;"&amp;R348)+COUNTIF($R$2:R348,R348)</x:f>
        <x:v>347</x:v>
      </x:c>
      <x:c r="B348" s="48" t="n">
        <x:v>1163</x:v>
      </x:c>
      <x:c r="C348" s="46" t="str">
        <x:v>İlk izlenim ve Warren Harding hatası</x:v>
      </x:c>
      <x:c r="D348" s="34" t="str">
        <x:v>Psikoloji</x:v>
      </x:c>
      <x:c r="E348" s="34" t="str">
        <x:v>Psikoloji</x:v>
      </x:c>
      <x:c r="F348" s="34" t="str">
        <x:v>Sezgi Gücü</x:v>
      </x:c>
      <x:c r="G348" s="34" t="str">
        <x:v>Malcolm Gladwell</x:v>
      </x:c>
      <x:c r="H348" s="50" t="str">
        <x:v>1</x:v>
      </x:c>
      <x:c r="I348" s="50" t="str">
        <x:v>Temel</x:v>
      </x:c>
      <x:c r="J348" s="51" t="n">
        <x:v>14</x:v>
      </x:c>
      <x:c r="K348" s="51" t="n">
        <x:v>8</x:v>
      </x:c>
      <x:c r="L348" s="51" t="n">
        <x:v>11</x:v>
      </x:c>
      <x:c r="M348" s="51" t="n">
        <x:v>11</x:v>
      </x:c>
      <x:c r="N348" s="51" t="n">
        <x:v>9</x:v>
      </x:c>
      <x:c r="O348" s="51" t="n">
        <x:v>7</x:v>
      </x:c>
      <x:c r="P348" s="51" t="n">
        <x:v>14</x:v>
      </x:c>
      <x:c r="Q348" s="51" t="n">
        <x:v>3</x:v>
      </x:c>
      <x:c r="R348" s="52" t="n">
        <x:f>SUM(J348:Q348)</x:f>
        <x:v>77</x:v>
      </x:c>
      <x:c r="S348" s="50" t="str">
        <x:f>IF(R348&gt;='Rubrik'!$B$17,"Öncelikli video",IF(R348&gt;='Rubrik'!$B$18,"Video kuyruğu",IF(R348&gt;='Rubrik'!$B$19,"Revize et",IF(R348&gt;='Rubrik'!$B$20,"Kartla test","Düşük öncelik"))))</x:f>
        <x:v>Kartla test</x:v>
      </x:c>
      <x:c r="T348" s="50" t="str">
        <x:f>IF(AND(R348&gt;=85,P348&gt;=16,M348&gt;=12,L348&gt;=12),"Reel + Carousel",IF(AND(R348&gt;=85,P348&gt;=16,N348&gt;=8),"Soru odaklı Reel",IF(AND(R348&gt;=85,P348&gt;=16),"Reel / Short",IF(M348&gt;=11,"Carousel","Kart testi"))))</x:f>
        <x:v>Carousel</x:v>
      </x:c>
      <x:c r="U348" s="46" t="str">
        <x:v>Başkan gibi görünmenin kötü başkana dönüşmesi güçlü uyarı; ilk izlenim için net bir denge sunuyor.</x:v>
      </x:c>
      <x:c r="V348" s="46" t="str">
        <x:f>IF(Q348&lt;=3,"Kaynak kontrolü şart",IF(Q348=4,"Kaynak kontrolü önerilir","Standart doğrulama"))</x:f>
        <x:v>Kaynak kontrolü şart</x:v>
      </x:c>
    </x:row>
    <x:row r="349" ht="24" customHeight="1">
      <x:c r="A349" s="48" t="n">
        <x:f>COUNTIF($R$2:$R$751,"&gt;"&amp;R349)+COUNTIF($R$2:R349,R349)</x:f>
        <x:v>348</x:v>
      </x:c>
      <x:c r="B349" s="48" t="n">
        <x:v>1128</x:v>
      </x:c>
      <x:c r="C349" s="46" t="str">
        <x:v>'Henüz' kelimesinin gücü</x:v>
      </x:c>
      <x:c r="D349" s="34" t="str">
        <x:v>Psikoloji</x:v>
      </x:c>
      <x:c r="E349" s="34" t="str">
        <x:v>Psikoloji</x:v>
      </x:c>
      <x:c r="F349" s="34" t="str">
        <x:v>Büyüme Zihniyeti</x:v>
      </x:c>
      <x:c r="G349" s="34" t="str">
        <x:v>Carol Dweck</x:v>
      </x:c>
      <x:c r="H349" s="50" t="str">
        <x:v>1</x:v>
      </x:c>
      <x:c r="I349" s="50" t="str">
        <x:v>Temel</x:v>
      </x:c>
      <x:c r="J349" s="51" t="n">
        <x:v>13</x:v>
      </x:c>
      <x:c r="K349" s="51" t="n">
        <x:v>8</x:v>
      </x:c>
      <x:c r="L349" s="51" t="n">
        <x:v>10</x:v>
      </x:c>
      <x:c r="M349" s="51" t="n">
        <x:v>14</x:v>
      </x:c>
      <x:c r="N349" s="51" t="n">
        <x:v>9</x:v>
      </x:c>
      <x:c r="O349" s="51" t="n">
        <x:v>7</x:v>
      </x:c>
      <x:c r="P349" s="51" t="n">
        <x:v>14</x:v>
      </x:c>
      <x:c r="Q349" s="51" t="n">
        <x:v>2</x:v>
      </x:c>
      <x:c r="R349" s="52" t="n">
        <x:f>SUM(J349:Q349)</x:f>
        <x:v>77</x:v>
      </x:c>
      <x:c r="S349" s="50" t="str">
        <x:f>IF(R349&gt;='Rubrik'!$B$17,"Öncelikli video",IF(R349&gt;='Rubrik'!$B$18,"Video kuyruğu",IF(R349&gt;='Rubrik'!$B$19,"Revize et",IF(R349&gt;='Rubrik'!$B$20,"Kartla test","Düşük öncelik"))))</x:f>
        <x:v>Kartla test</x:v>
      </x:c>
      <x:c r="T349" s="50" t="str">
        <x:f>IF(AND(R349&gt;=85,P349&gt;=16,M349&gt;=12,L349&gt;=12),"Reel + Carousel",IF(AND(R349&gt;=85,P349&gt;=16,N349&gt;=8),"Soru odaklı Reel",IF(AND(R349&gt;=85,P349&gt;=16),"Reel / Short",IF(M349&gt;=11,"Carousel","Kart testi"))))</x:f>
        <x:v>Carousel</x:v>
      </x:c>
      <x:c r="U349" s="46" t="str">
        <x:v>Başarısız yerine henüz yazılması güçlü bir dil dönüşümü; okul sonuçlarının kapsamı doğrulanmalı.</x:v>
      </x:c>
      <x:c r="V349" s="46" t="str">
        <x:f>IF(Q349&lt;=3,"Kaynak kontrolü şart",IF(Q349=4,"Kaynak kontrolü önerilir","Standart doğrulama"))</x:f>
        <x:v>Kaynak kontrolü şart</x:v>
      </x:c>
    </x:row>
    <x:row r="350" ht="24" customHeight="1">
      <x:c r="A350" s="48" t="n">
        <x:f>COUNTIF($R$2:$R$751,"&gt;"&amp;R350)+COUNTIF($R$2:R350,R350)</x:f>
        <x:v>349</x:v>
      </x:c>
      <x:c r="B350" s="48" t="n">
        <x:v>1135</x:v>
      </x:c>
      <x:c r="C350" s="46" t="str">
        <x:v>Bağlanma ve başarı ilişkisi</x:v>
      </x:c>
      <x:c r="D350" s="34" t="str">
        <x:v>Psikoloji</x:v>
      </x:c>
      <x:c r="E350" s="34" t="str">
        <x:v>Psikoloji</x:v>
      </x:c>
      <x:c r="F350" s="34" t="str">
        <x:v>Sosyal Hayvan</x:v>
      </x:c>
      <x:c r="G350" s="34" t="str">
        <x:v>David Brooks</x:v>
      </x:c>
      <x:c r="H350" s="50" t="str">
        <x:v>1</x:v>
      </x:c>
      <x:c r="I350" s="50" t="str">
        <x:v>Temel</x:v>
      </x:c>
      <x:c r="J350" s="51" t="n">
        <x:v>13</x:v>
      </x:c>
      <x:c r="K350" s="51" t="n">
        <x:v>9</x:v>
      </x:c>
      <x:c r="L350" s="51" t="n">
        <x:v>10</x:v>
      </x:c>
      <x:c r="M350" s="51" t="n">
        <x:v>13</x:v>
      </x:c>
      <x:c r="N350" s="51" t="n">
        <x:v>9</x:v>
      </x:c>
      <x:c r="O350" s="51" t="n">
        <x:v>7</x:v>
      </x:c>
      <x:c r="P350" s="51" t="n">
        <x:v>14</x:v>
      </x:c>
      <x:c r="Q350" s="51" t="n">
        <x:v>2</x:v>
      </x:c>
      <x:c r="R350" s="52" t="n">
        <x:f>SUM(J350:Q350)</x:f>
        <x:v>77</x:v>
      </x:c>
      <x:c r="S350" s="50" t="str">
        <x:f>IF(R350&gt;='Rubrik'!$B$17,"Öncelikli video",IF(R350&gt;='Rubrik'!$B$18,"Video kuyruğu",IF(R350&gt;='Rubrik'!$B$19,"Revize et",IF(R350&gt;='Rubrik'!$B$20,"Kartla test","Düşük öncelik"))))</x:f>
        <x:v>Kartla test</x:v>
      </x:c>
      <x:c r="T350" s="50" t="str">
        <x:f>IF(AND(R350&gt;=85,P350&gt;=16,M350&gt;=12,L350&gt;=12),"Reel + Carousel",IF(AND(R350&gt;=85,P350&gt;=16,N350&gt;=8),"Soru odaklı Reel",IF(AND(R350&gt;=85,P350&gt;=16),"Reel / Short",IF(M350&gt;=11,"Carousel","Kart testi"))))</x:f>
        <x:v>Carousel</x:v>
      </x:c>
      <x:c r="U350" s="46" t="str">
        <x:v>Bebekten yetişkine 30 yıllık izleme duygusal ve önemli; IQ'dan güçlü öngörü iddiası dikkatle kaynaklanmalı.</x:v>
      </x:c>
      <x:c r="V350" s="46" t="str">
        <x:f>IF(Q350&lt;=3,"Kaynak kontrolü şart",IF(Q350=4,"Kaynak kontrolü önerilir","Standart doğrulama"))</x:f>
        <x:v>Kaynak kontrolü şart</x:v>
      </x:c>
    </x:row>
    <x:row r="351" ht="24" customHeight="1">
      <x:c r="A351" s="48" t="n">
        <x:f>COUNTIF($R$2:$R$751,"&gt;"&amp;R351)+COUNTIF($R$2:R351,R351)</x:f>
        <x:v>350</x:v>
      </x:c>
      <x:c r="B351" s="48" t="n">
        <x:v>1206</x:v>
      </x:c>
      <x:c r="C351" s="46" t="str">
        <x:v>Kişisel efsane ve kader</x:v>
      </x:c>
      <x:c r="D351" s="34" t="str">
        <x:v>Büyüme</x:v>
      </x:c>
      <x:c r="E351" s="34" t="str">
        <x:v>İlham</x:v>
      </x:c>
      <x:c r="F351" s="34" t="str">
        <x:v>Kaybedilen Cennet</x:v>
      </x:c>
      <x:c r="G351" s="34" t="str">
        <x:v>Paulo Coelho</x:v>
      </x:c>
      <x:c r="H351" s="50" t="str">
        <x:v>1</x:v>
      </x:c>
      <x:c r="I351" s="50" t="str">
        <x:v>Temel</x:v>
      </x:c>
      <x:c r="J351" s="51" t="n">
        <x:v>13</x:v>
      </x:c>
      <x:c r="K351" s="51" t="n">
        <x:v>8</x:v>
      </x:c>
      <x:c r="L351" s="51" t="n">
        <x:v>10</x:v>
      </x:c>
      <x:c r="M351" s="51" t="n">
        <x:v>11</x:v>
      </x:c>
      <x:c r="N351" s="51" t="n">
        <x:v>10</x:v>
      </x:c>
      <x:c r="O351" s="51" t="n">
        <x:v>7</x:v>
      </x:c>
      <x:c r="P351" s="51" t="n">
        <x:v>14</x:v>
      </x:c>
      <x:c r="Q351" s="51" t="n">
        <x:v>4</x:v>
      </x:c>
      <x:c r="R351" s="52" t="n">
        <x:f>SUM(J351:Q351)</x:f>
        <x:v>77</x:v>
      </x:c>
      <x:c r="S351" s="50" t="str">
        <x:f>IF(R351&gt;='Rubrik'!$B$17,"Öncelikli video",IF(R351&gt;='Rubrik'!$B$18,"Video kuyruğu",IF(R351&gt;='Rubrik'!$B$19,"Revize et",IF(R351&gt;='Rubrik'!$B$20,"Kartla test","Düşük öncelik"))))</x:f>
        <x:v>Kartla test</x:v>
      </x:c>
      <x:c r="T351" s="50" t="str">
        <x:f>IF(AND(R351&gt;=85,P351&gt;=16,M351&gt;=12,L351&gt;=12),"Reel + Carousel",IF(AND(R351&gt;=85,P351&gt;=16,N351&gt;=8),"Soru odaklı Reel",IF(AND(R351&gt;=85,P351&gt;=16),"Reel / Short",IF(M351&gt;=11,"Carousel","Kart testi"))))</x:f>
        <x:v>Carousel</x:v>
      </x:c>
      <x:c r="U351" s="46" t="str">
        <x:v>Evrenin komploya katılması akılda kalır ve umut verir; mistik çerçeve ile pratik açıklama dengelenmiş.</x:v>
      </x:c>
      <x:c r="V351" s="46" t="str">
        <x:f>IF(Q351&lt;=3,"Kaynak kontrolü şart",IF(Q351=4,"Kaynak kontrolü önerilir","Standart doğrulama"))</x:f>
        <x:v>Kaynak kontrolü önerilir</x:v>
      </x:c>
    </x:row>
    <x:row r="352" ht="24" customHeight="1">
      <x:c r="A352" s="48" t="n">
        <x:f>COUNTIF($R$2:$R$751,"&gt;"&amp;R352)+COUNTIF($R$2:R352,R352)</x:f>
        <x:v>351</x:v>
      </x:c>
      <x:c r="B352" s="48" t="n">
        <x:v>1233</x:v>
      </x:c>
      <x:c r="C352" s="46" t="str">
        <x:v>Akıl ve kalp — değişimin iki motoru</x:v>
      </x:c>
      <x:c r="D352" s="34" t="str">
        <x:v>Büyüme</x:v>
      </x:c>
      <x:c r="E352" s="34" t="str">
        <x:v>Değişim</x:v>
      </x:c>
      <x:c r="F352" s="34" t="str">
        <x:v>Değişimin Gücü</x:v>
      </x:c>
      <x:c r="G352" s="34" t="str">
        <x:v>Chip Heath</x:v>
      </x:c>
      <x:c r="H352" s="50" t="str">
        <x:v>1</x:v>
      </x:c>
      <x:c r="I352" s="50" t="str">
        <x:v>Temel</x:v>
      </x:c>
      <x:c r="J352" s="51" t="n">
        <x:v>13</x:v>
      </x:c>
      <x:c r="K352" s="51" t="n">
        <x:v>7</x:v>
      </x:c>
      <x:c r="L352" s="51" t="n">
        <x:v>10</x:v>
      </x:c>
      <x:c r="M352" s="51" t="n">
        <x:v>14</x:v>
      </x:c>
      <x:c r="N352" s="51" t="n">
        <x:v>9</x:v>
      </x:c>
      <x:c r="O352" s="51" t="n">
        <x:v>6</x:v>
      </x:c>
      <x:c r="P352" s="51" t="n">
        <x:v>14</x:v>
      </x:c>
      <x:c r="Q352" s="51" t="n">
        <x:v>4</x:v>
      </x:c>
      <x:c r="R352" s="52" t="n">
        <x:f>SUM(J352:Q352)</x:f>
        <x:v>77</x:v>
      </x:c>
      <x:c r="S352" s="50" t="str">
        <x:f>IF(R352&gt;='Rubrik'!$B$17,"Öncelikli video",IF(R352&gt;='Rubrik'!$B$18,"Video kuyruğu",IF(R352&gt;='Rubrik'!$B$19,"Revize et",IF(R352&gt;='Rubrik'!$B$20,"Kartla test","Düşük öncelik"))))</x:f>
        <x:v>Kartla test</x:v>
      </x:c>
      <x:c r="T352" s="50" t="str">
        <x:f>IF(AND(R352&gt;=85,P352&gt;=16,M352&gt;=12,L352&gt;=12),"Reel + Carousel",IF(AND(R352&gt;=85,P352&gt;=16,N352&gt;=8),"Soru odaklı Reel",IF(AND(R352&gt;=85,P352&gt;=16),"Reel / Short",IF(M352&gt;=11,"Carousel","Kart testi"))))</x:f>
        <x:v>Carousel</x:v>
      </x:c>
      <x:c r="U352" s="46" t="str">
        <x:v>Fil, binici ve yol üçlüsü değişimi somutlaştırır; pratik ve kolayca yeniden anlatılabilir.</x:v>
      </x:c>
      <x:c r="V352" s="46" t="str">
        <x:f>IF(Q352&lt;=3,"Kaynak kontrolü şart",IF(Q352=4,"Kaynak kontrolü önerilir","Standart doğrulama"))</x:f>
        <x:v>Kaynak kontrolü önerilir</x:v>
      </x:c>
    </x:row>
    <x:row r="353" ht="24" customHeight="1">
      <x:c r="A353" s="48" t="n">
        <x:f>COUNTIF($R$2:$R$751,"&gt;"&amp;R353)+COUNTIF($R$2:R353,R353)</x:f>
        <x:v>352</x:v>
      </x:c>
      <x:c r="B353" s="48" t="n">
        <x:v>1113</x:v>
      </x:c>
      <x:c r="C353" s="46" t="str">
        <x:v>Çöküşün ortasında büyümek — çukurun sonu</x:v>
      </x:c>
      <x:c r="D353" s="34" t="str">
        <x:v>Finans</x:v>
      </x:c>
      <x:c r="E353" s="34" t="str">
        <x:v>Pazarlama</x:v>
      </x:c>
      <x:c r="F353" s="34" t="str">
        <x:v>Purple Cow</x:v>
      </x:c>
      <x:c r="G353" s="34" t="str">
        <x:v>Seth Godin</x:v>
      </x:c>
      <x:c r="H353" s="50" t="str">
        <x:v>1</x:v>
      </x:c>
      <x:c r="I353" s="50" t="str">
        <x:v>Temel</x:v>
      </x:c>
      <x:c r="J353" s="51" t="n">
        <x:v>13</x:v>
      </x:c>
      <x:c r="K353" s="51" t="n">
        <x:v>8</x:v>
      </x:c>
      <x:c r="L353" s="51" t="n">
        <x:v>9</x:v>
      </x:c>
      <x:c r="M353" s="51" t="n">
        <x:v>13</x:v>
      </x:c>
      <x:c r="N353" s="51" t="n">
        <x:v>10</x:v>
      </x:c>
      <x:c r="O353" s="51" t="n">
        <x:v>6</x:v>
      </x:c>
      <x:c r="P353" s="51" t="n">
        <x:v>14</x:v>
      </x:c>
      <x:c r="Q353" s="51" t="n">
        <x:v>4</x:v>
      </x:c>
      <x:c r="R353" s="52" t="n">
        <x:f>SUM(J353:Q353)</x:f>
        <x:v>77</x:v>
      </x:c>
      <x:c r="S353" s="50" t="str">
        <x:f>IF(R353&gt;='Rubrik'!$B$17,"Öncelikli video",IF(R353&gt;='Rubrik'!$B$18,"Video kuyruğu",IF(R353&gt;='Rubrik'!$B$19,"Revize et",IF(R353&gt;='Rubrik'!$B$20,"Kartla test","Düşük öncelik"))))</x:f>
        <x:v>Kartla test</x:v>
      </x:c>
      <x:c r="T353" s="50" t="str">
        <x:f>IF(AND(R353&gt;=85,P353&gt;=16,M353&gt;=12,L353&gt;=12),"Reel + Carousel",IF(AND(R353&gt;=85,P353&gt;=16,N353&gt;=8),"Soru odaklı Reel",IF(AND(R353&gt;=85,P353&gt;=16),"Reel / Short",IF(M353&gt;=11,"Carousel","Kart testi"))))</x:f>
        <x:v>Carousel</x:v>
      </x:c>
      <x:c r="U353" s="46" t="str">
        <x:v>Başlangıç coşkusu ile ustalık arasındaki çukur, kişisel örnek çağıran güçlü ve kalıcı bir metafor.</x:v>
      </x:c>
      <x:c r="V353" s="46" t="str">
        <x:f>IF(Q353&lt;=3,"Kaynak kontrolü şart",IF(Q353=4,"Kaynak kontrolü önerilir","Standart doğrulama"))</x:f>
        <x:v>Kaynak kontrolü önerilir</x:v>
      </x:c>
    </x:row>
    <x:row r="354" ht="24" customHeight="1">
      <x:c r="A354" s="48" t="n">
        <x:f>COUNTIF($R$2:$R$751,"&gt;"&amp;R354)+COUNTIF($R$2:R354,R354)</x:f>
        <x:v>353</x:v>
      </x:c>
      <x:c r="B354" s="48" t="n">
        <x:v>1131</x:v>
      </x:c>
      <x:c r="C354" s="46" t="str">
        <x:v>Bankta oturan adam</x:v>
      </x:c>
      <x:c r="D354" s="34" t="str">
        <x:v>Psikoloji</x:v>
      </x:c>
      <x:c r="E354" s="34" t="str">
        <x:v>Farkındalık</x:v>
      </x:c>
      <x:c r="F354" s="34" t="str">
        <x:v>Şimdi ve Burada</x:v>
      </x:c>
      <x:c r="G354" s="34" t="str">
        <x:v>Eckhart Tolle</x:v>
      </x:c>
      <x:c r="H354" s="50" t="str">
        <x:v>1</x:v>
      </x:c>
      <x:c r="I354" s="50" t="str">
        <x:v>Temel</x:v>
      </x:c>
      <x:c r="J354" s="51" t="n">
        <x:v>13</x:v>
      </x:c>
      <x:c r="K354" s="51" t="n">
        <x:v>8</x:v>
      </x:c>
      <x:c r="L354" s="51" t="n">
        <x:v>9</x:v>
      </x:c>
      <x:c r="M354" s="51" t="n">
        <x:v>12</x:v>
      </x:c>
      <x:c r="N354" s="51" t="n">
        <x:v>10</x:v>
      </x:c>
      <x:c r="O354" s="51" t="n">
        <x:v>7</x:v>
      </x:c>
      <x:c r="P354" s="51" t="n">
        <x:v>14</x:v>
      </x:c>
      <x:c r="Q354" s="51" t="n">
        <x:v>4</x:v>
      </x:c>
      <x:c r="R354" s="52" t="n">
        <x:f>SUM(J354:Q354)</x:f>
        <x:v>77</x:v>
      </x:c>
      <x:c r="S354" s="50" t="str">
        <x:f>IF(R354&gt;='Rubrik'!$B$17,"Öncelikli video",IF(R354&gt;='Rubrik'!$B$18,"Video kuyruğu",IF(R354&gt;='Rubrik'!$B$19,"Revize et",IF(R354&gt;='Rubrik'!$B$20,"Kartla test","Düşük öncelik"))))</x:f>
        <x:v>Kartla test</x:v>
      </x:c>
      <x:c r="T354" s="50" t="str">
        <x:f>IF(AND(R354&gt;=85,P354&gt;=16,M354&gt;=12,L354&gt;=12),"Reel + Carousel",IF(AND(R354&gt;=85,P354&gt;=16,N354&gt;=8),"Soru odaklı Reel",IF(AND(R354&gt;=85,P354&gt;=16),"Reel / Short",IF(M354&gt;=11,"Carousel","Kart testi"))))</x:f>
        <x:v>Carousel</x:v>
      </x:c>
      <x:c r="U354" s="46" t="str">
        <x:v>Banktaki adamın dışarıdaki sesi iç sese çevirmesi sade, şaşırtıcı ve iç gözleme çok uygun.</x:v>
      </x:c>
      <x:c r="V354" s="46" t="str">
        <x:f>IF(Q354&lt;=3,"Kaynak kontrolü şart",IF(Q354=4,"Kaynak kontrolü önerilir","Standart doğrulama"))</x:f>
        <x:v>Kaynak kontrolü önerilir</x:v>
      </x:c>
    </x:row>
    <x:row r="355" ht="24" customHeight="1">
      <x:c r="A355" s="48" t="n">
        <x:f>COUNTIF($R$2:$R$751,"&gt;"&amp;R355)+COUNTIF($R$2:R355,R355)</x:f>
        <x:v>354</x:v>
      </x:c>
      <x:c r="B355" s="48" t="n">
        <x:v>1167</x:v>
      </x:c>
      <x:c r="C355" s="46" t="str">
        <x:v>Rock tırmanıcısının zaman kaybı</x:v>
      </x:c>
      <x:c r="D355" s="34" t="str">
        <x:v>Psikoloji</x:v>
      </x:c>
      <x:c r="E355" s="34" t="str">
        <x:v>Psikoloji</x:v>
      </x:c>
      <x:c r="F355" s="34" t="str">
        <x:v>Flow</x:v>
      </x:c>
      <x:c r="G355" s="34" t="str">
        <x:v>Mihaly Csikszentmihalyi</x:v>
      </x:c>
      <x:c r="H355" s="50" t="str">
        <x:v>1</x:v>
      </x:c>
      <x:c r="I355" s="50" t="str">
        <x:v>Temel</x:v>
      </x:c>
      <x:c r="J355" s="51" t="n">
        <x:v>13</x:v>
      </x:c>
      <x:c r="K355" s="51" t="n">
        <x:v>8</x:v>
      </x:c>
      <x:c r="L355" s="51" t="n">
        <x:v>9</x:v>
      </x:c>
      <x:c r="M355" s="51" t="n">
        <x:v>12</x:v>
      </x:c>
      <x:c r="N355" s="51" t="n">
        <x:v>10</x:v>
      </x:c>
      <x:c r="O355" s="51" t="n">
        <x:v>7</x:v>
      </x:c>
      <x:c r="P355" s="51" t="n">
        <x:v>14</x:v>
      </x:c>
      <x:c r="Q355" s="51" t="n">
        <x:v>4</x:v>
      </x:c>
      <x:c r="R355" s="52" t="n">
        <x:f>SUM(J355:Q355)</x:f>
        <x:v>77</x:v>
      </x:c>
      <x:c r="S355" s="50" t="str">
        <x:f>IF(R355&gt;='Rubrik'!$B$17,"Öncelikli video",IF(R355&gt;='Rubrik'!$B$18,"Video kuyruğu",IF(R355&gt;='Rubrik'!$B$19,"Revize et",IF(R355&gt;='Rubrik'!$B$20,"Kartla test","Düşük öncelik"))))</x:f>
        <x:v>Kartla test</x:v>
      </x:c>
      <x:c r="T355" s="50" t="str">
        <x:f>IF(AND(R355&gt;=85,P355&gt;=16,M355&gt;=12,L355&gt;=12),"Reel + Carousel",IF(AND(R355&gt;=85,P355&gt;=16,N355&gt;=8),"Soru odaklı Reel",IF(AND(R355&gt;=85,P355&gt;=16),"Reel / Short",IF(M355&gt;=11,"Carousel","Kart testi"))))</x:f>
        <x:v>Carousel</x:v>
      </x:c>
      <x:c r="U355" s="46" t="str">
        <x:v>Kayada zamanın kaybolması akış duygusunu bedenselleştiriyor ve izleyicide hemen kişisel anı çağırıyor.</x:v>
      </x:c>
      <x:c r="V355" s="46" t="str">
        <x:f>IF(Q355&lt;=3,"Kaynak kontrolü şart",IF(Q355=4,"Kaynak kontrolü önerilir","Standart doğrulama"))</x:f>
        <x:v>Kaynak kontrolü önerilir</x:v>
      </x:c>
    </x:row>
    <x:row r="356" ht="24" customHeight="1">
      <x:c r="A356" s="48" t="n">
        <x:f>COUNTIF($R$2:$R$751,"&gt;"&amp;R356)+COUNTIF($R$2:R356,R356)</x:f>
        <x:v>355</x:v>
      </x:c>
      <x:c r="B356" s="48" t="n">
        <x:v>1545</x:v>
      </x:c>
      <x:c r="C356" s="46" t="str">
        <x:v>Kıtlık ve kayıp korkusu — kazanmak değil kaybetmemek motive eder</x:v>
      </x:c>
      <x:c r="D356" s="34" t="str">
        <x:v>Psikoloji</x:v>
      </x:c>
      <x:c r="E356" s="34" t="str">
        <x:v>Psikoloji</x:v>
      </x:c>
      <x:c r="F356" s="34" t="str">
        <x:v>Evet Dedirtmek</x:v>
      </x:c>
      <x:c r="G356" s="34" t="str">
        <x:v>Noah Goldstein</x:v>
      </x:c>
      <x:c r="H356" s="50" t="str">
        <x:v>1</x:v>
      </x:c>
      <x:c r="I356" s="50" t="str">
        <x:v>Temel</x:v>
      </x:c>
      <x:c r="J356" s="51" t="n">
        <x:v>12</x:v>
      </x:c>
      <x:c r="K356" s="51" t="n">
        <x:v>7</x:v>
      </x:c>
      <x:c r="L356" s="51" t="n">
        <x:v>12</x:v>
      </x:c>
      <x:c r="M356" s="51" t="n">
        <x:v>14</x:v>
      </x:c>
      <x:c r="N356" s="51" t="n">
        <x:v>8</x:v>
      </x:c>
      <x:c r="O356" s="51" t="n">
        <x:v>6</x:v>
      </x:c>
      <x:c r="P356" s="51" t="n">
        <x:v>13</x:v>
      </x:c>
      <x:c r="Q356" s="51" t="n">
        <x:v>5</x:v>
      </x:c>
      <x:c r="R356" s="52" t="n">
        <x:f>SUM(J356:Q356)</x:f>
        <x:v>77</x:v>
      </x:c>
      <x:c r="S356" s="50" t="str">
        <x:f>IF(R356&gt;='Rubrik'!$B$17,"Öncelikli video",IF(R356&gt;='Rubrik'!$B$18,"Video kuyruğu",IF(R356&gt;='Rubrik'!$B$19,"Revize et",IF(R356&gt;='Rubrik'!$B$20,"Kartla test","Düşük öncelik"))))</x:f>
        <x:v>Kartla test</x:v>
      </x:c>
      <x:c r="T356" s="50" t="str">
        <x:f>IF(AND(R356&gt;=85,P356&gt;=16,M356&gt;=12,L356&gt;=12),"Reel + Carousel",IF(AND(R356&gt;=85,P356&gt;=16,N356&gt;=8),"Soru odaklı Reel",IF(AND(R356&gt;=85,P356&gt;=16),"Reel / Short",IF(M356&gt;=11,"Carousel","Kart testi"))))</x:f>
        <x:v>Carousel</x:v>
      </x:c>
      <x:c r="U356" s="46" t="str">
        <x:v>Kayıptan kaçınma kazanç-kayıp karşılaştırmasıyla hemen hissedilir; gündelik örnekler paylaşımı destekler.</x:v>
      </x:c>
      <x:c r="V356" s="46" t="str">
        <x:f>IF(Q356&lt;=3,"Kaynak kontrolü şart",IF(Q356=4,"Kaynak kontrolü önerilir","Standart doğrulama"))</x:f>
        <x:v>Standart doğrulama</x:v>
      </x:c>
    </x:row>
    <x:row r="357" ht="24" customHeight="1">
      <x:c r="A357" s="48" t="n">
        <x:f>COUNTIF($R$2:$R$751,"&gt;"&amp;R357)+COUNTIF($R$2:R357,R357)</x:f>
        <x:v>356</x:v>
      </x:c>
      <x:c r="B357" s="48" t="n">
        <x:v>1141</x:v>
      </x:c>
      <x:c r="C357" s="46" t="str">
        <x:v>Yeterlilik ve utanç kıskacı</x:v>
      </x:c>
      <x:c r="D357" s="34" t="str">
        <x:v>Büyüme</x:v>
      </x:c>
      <x:c r="E357" s="34" t="str">
        <x:v>Kişisel Gelişim</x:v>
      </x:c>
      <x:c r="F357" s="34" t="str">
        <x:v>Cesaret Vermek</x:v>
      </x:c>
      <x:c r="G357" s="34" t="str">
        <x:v>Brené Brown</x:v>
      </x:c>
      <x:c r="H357" s="50" t="str">
        <x:v>1</x:v>
      </x:c>
      <x:c r="I357" s="50" t="str">
        <x:v>Temel</x:v>
      </x:c>
      <x:c r="J357" s="51" t="n">
        <x:v>12</x:v>
      </x:c>
      <x:c r="K357" s="51" t="n">
        <x:v>9</x:v>
      </x:c>
      <x:c r="L357" s="51" t="n">
        <x:v>10</x:v>
      </x:c>
      <x:c r="M357" s="51" t="n">
        <x:v>13</x:v>
      </x:c>
      <x:c r="N357" s="51" t="n">
        <x:v>10</x:v>
      </x:c>
      <x:c r="O357" s="51" t="n">
        <x:v>6</x:v>
      </x:c>
      <x:c r="P357" s="51" t="n">
        <x:v>13</x:v>
      </x:c>
      <x:c r="Q357" s="51" t="n">
        <x:v>4</x:v>
      </x:c>
      <x:c r="R357" s="52" t="n">
        <x:f>SUM(J357:Q357)</x:f>
        <x:v>77</x:v>
      </x:c>
      <x:c r="S357" s="50" t="str">
        <x:f>IF(R357&gt;='Rubrik'!$B$17,"Öncelikli video",IF(R357&gt;='Rubrik'!$B$18,"Video kuyruğu",IF(R357&gt;='Rubrik'!$B$19,"Revize et",IF(R357&gt;='Rubrik'!$B$20,"Kartla test","Düşük öncelik"))))</x:f>
        <x:v>Kartla test</x:v>
      </x:c>
      <x:c r="T357" s="50" t="str">
        <x:f>IF(AND(R357&gt;=85,P357&gt;=16,M357&gt;=12,L357&gt;=12),"Reel + Carousel",IF(AND(R357&gt;=85,P357&gt;=16,N357&gt;=8),"Soru odaklı Reel",IF(AND(R357&gt;=85,P357&gt;=16),"Reel / Short",IF(M357&gt;=11,"Carousel","Kart testi"))))</x:f>
        <x:v>Carousel</x:v>
      </x:c>
      <x:c r="U357" s="46" t="str">
        <x:v>Kötü yaptım ile kötüyüm ayrımı kişisel ve kaydedilebilir; görsel olay örgüsü sınırlı.</x:v>
      </x:c>
      <x:c r="V357" s="46" t="str">
        <x:f>IF(Q357&lt;=3,"Kaynak kontrolü şart",IF(Q357=4,"Kaynak kontrolü önerilir","Standart doğrulama"))</x:f>
        <x:v>Kaynak kontrolü önerilir</x:v>
      </x:c>
    </x:row>
    <x:row r="358" ht="24" customHeight="1">
      <x:c r="A358" s="48" t="n">
        <x:f>COUNTIF($R$2:$R$751,"&gt;"&amp;R358)+COUNTIF($R$2:R358,R358)</x:f>
        <x:v>357</x:v>
      </x:c>
      <x:c r="B358" s="48" t="n">
        <x:v>1151</x:v>
      </x:c>
      <x:c r="C358" s="46" t="str">
        <x:v>Tutkuyu bulmak: Bilmek değil keşfetmek</x:v>
      </x:c>
      <x:c r="D358" s="34" t="str">
        <x:v>Büyüme</x:v>
      </x:c>
      <x:c r="E358" s="34" t="str">
        <x:v>Motivasyon</x:v>
      </x:c>
      <x:c r="F358" s="34" t="str">
        <x:v>Azim</x:v>
      </x:c>
      <x:c r="G358" s="34" t="str">
        <x:v>Angela Duckworth</x:v>
      </x:c>
      <x:c r="H358" s="50" t="str">
        <x:v>1</x:v>
      </x:c>
      <x:c r="I358" s="50" t="str">
        <x:v>Temel</x:v>
      </x:c>
      <x:c r="J358" s="51" t="n">
        <x:v>12</x:v>
      </x:c>
      <x:c r="K358" s="51" t="n">
        <x:v>8</x:v>
      </x:c>
      <x:c r="L358" s="51" t="n">
        <x:v>10</x:v>
      </x:c>
      <x:c r="M358" s="51" t="n">
        <x:v>14</x:v>
      </x:c>
      <x:c r="N358" s="51" t="n">
        <x:v>10</x:v>
      </x:c>
      <x:c r="O358" s="51" t="n">
        <x:v>6</x:v>
      </x:c>
      <x:c r="P358" s="51" t="n">
        <x:v>13</x:v>
      </x:c>
      <x:c r="Q358" s="51" t="n">
        <x:v>4</x:v>
      </x:c>
      <x:c r="R358" s="52" t="n">
        <x:f>SUM(J358:Q358)</x:f>
        <x:v>77</x:v>
      </x:c>
      <x:c r="S358" s="50" t="str">
        <x:f>IF(R358&gt;='Rubrik'!$B$17,"Öncelikli video",IF(R358&gt;='Rubrik'!$B$18,"Video kuyruğu",IF(R358&gt;='Rubrik'!$B$19,"Revize et",IF(R358&gt;='Rubrik'!$B$20,"Kartla test","Düşük öncelik"))))</x:f>
        <x:v>Kartla test</x:v>
      </x:c>
      <x:c r="T358" s="50" t="str">
        <x:f>IF(AND(R358&gt;=85,P358&gt;=16,M358&gt;=12,L358&gt;=12),"Reel + Carousel",IF(AND(R358&gt;=85,P358&gt;=16,N358&gt;=8),"Soru odaklı Reel",IF(AND(R358&gt;=85,P358&gt;=16),"Reel / Short",IF(M358&gt;=11,"Carousel","Kart testi"))))</x:f>
        <x:v>Carousel</x:v>
      </x:c>
      <x:c r="U358" s="46" t="str">
        <x:v>Tutkuyu bulma baskısını keşif sürecine çevirmek rahatlatıcı, uygulanabilir ve sesli düşünmeye uygun.</x:v>
      </x:c>
      <x:c r="V358" s="46" t="str">
        <x:f>IF(Q358&lt;=3,"Kaynak kontrolü şart",IF(Q358=4,"Kaynak kontrolü önerilir","Standart doğrulama"))</x:f>
        <x:v>Kaynak kontrolü önerilir</x:v>
      </x:c>
    </x:row>
    <x:row r="359" ht="24" customHeight="1">
      <x:c r="A359" s="48" t="n">
        <x:f>COUNTIF($R$2:$R$751,"&gt;"&amp;R359)+COUNTIF($R$2:R359,R359)</x:f>
        <x:v>358</x:v>
      </x:c>
      <x:c r="B359" s="48" t="n">
        <x:v>1226</x:v>
      </x:c>
      <x:c r="C359" s="46" t="str">
        <x:v>Onay ihtiyacı ve özgürlük</x:v>
      </x:c>
      <x:c r="D359" s="34" t="str">
        <x:v>Felsefe</x:v>
      </x:c>
      <x:c r="E359" s="34" t="str">
        <x:v>Felsefe</x:v>
      </x:c>
      <x:c r="F359" s="34" t="str">
        <x:v>Cesur Olmak</x:v>
      </x:c>
      <x:c r="G359" s="34" t="str">
        <x:v>Ichiro Kishimi</x:v>
      </x:c>
      <x:c r="H359" s="50" t="str">
        <x:v>1</x:v>
      </x:c>
      <x:c r="I359" s="50" t="str">
        <x:v>Temel</x:v>
      </x:c>
      <x:c r="J359" s="51" t="n">
        <x:v>13</x:v>
      </x:c>
      <x:c r="K359" s="51" t="n">
        <x:v>9</x:v>
      </x:c>
      <x:c r="L359" s="51" t="n">
        <x:v>10</x:v>
      </x:c>
      <x:c r="M359" s="51" t="n">
        <x:v>12</x:v>
      </x:c>
      <x:c r="N359" s="51" t="n">
        <x:v>10</x:v>
      </x:c>
      <x:c r="O359" s="51" t="n">
        <x:v>7</x:v>
      </x:c>
      <x:c r="P359" s="51" t="n">
        <x:v>13</x:v>
      </x:c>
      <x:c r="Q359" s="51" t="n">
        <x:v>3</x:v>
      </x:c>
      <x:c r="R359" s="52" t="n">
        <x:f>SUM(J359:Q359)</x:f>
        <x:v>77</x:v>
      </x:c>
      <x:c r="S359" s="50" t="str">
        <x:f>IF(R359&gt;='Rubrik'!$B$17,"Öncelikli video",IF(R359&gt;='Rubrik'!$B$18,"Video kuyruğu",IF(R359&gt;='Rubrik'!$B$19,"Revize et",IF(R359&gt;='Rubrik'!$B$20,"Kartla test","Düşük öncelik"))))</x:f>
        <x:v>Kartla test</x:v>
      </x:c>
      <x:c r="T359" s="50" t="str">
        <x:f>IF(AND(R359&gt;=85,P359&gt;=16,M359&gt;=12,L359&gt;=12),"Reel + Carousel",IF(AND(R359&gt;=85,P359&gt;=16,N359&gt;=8),"Soru odaklı Reel",IF(AND(R359&gt;=85,P359&gt;=16),"Reel / Short",IF(M359&gt;=11,"Carousel","Kart testi"))))</x:f>
        <x:v>Carousel</x:v>
      </x:c>
      <x:c r="U359" s="46" t="str">
        <x:v>Sevilmeme cesareti güçlü karşıtlık ve kişisel itiraf çağrısı yaratıyor; psikoloji çerçevesi sadeleştirilmiş.</x:v>
      </x:c>
      <x:c r="V359" s="46" t="str">
        <x:f>IF(Q359&lt;=3,"Kaynak kontrolü şart",IF(Q359=4,"Kaynak kontrolü önerilir","Standart doğrulama"))</x:f>
        <x:v>Kaynak kontrolü şart</x:v>
      </x:c>
    </x:row>
    <x:row r="360" ht="24" customHeight="1">
      <x:c r="A360" s="48" t="n">
        <x:f>COUNTIF($R$2:$R$751,"&gt;"&amp;R360)+COUNTIF($R$2:R360,R360)</x:f>
        <x:v>359</x:v>
      </x:c>
      <x:c r="B360" s="48" t="n">
        <x:v>1561</x:v>
      </x:c>
      <x:c r="C360" s="46" t="str">
        <x:v>Jon Kabat-Zinn'in hastanesi — MBSR'nin doğuşu</x:v>
      </x:c>
      <x:c r="D360" s="34" t="str">
        <x:v>Sağlık</x:v>
      </x:c>
      <x:c r="E360" s="34" t="str">
        <x:v>Sağlık</x:v>
      </x:c>
      <x:c r="F360" s="34" t="str">
        <x:v>Farkındalık Temelli Yaşam</x:v>
      </x:c>
      <x:c r="G360" s="34" t="str">
        <x:v>Jon Kabat-Zinn</x:v>
      </x:c>
      <x:c r="H360" s="50" t="str">
        <x:v>1</x:v>
      </x:c>
      <x:c r="I360" s="50" t="str">
        <x:v>Temel</x:v>
      </x:c>
      <x:c r="J360" s="51" t="n">
        <x:v>12</x:v>
      </x:c>
      <x:c r="K360" s="51" t="n">
        <x:v>7</x:v>
      </x:c>
      <x:c r="L360" s="51" t="n">
        <x:v>12</x:v>
      </x:c>
      <x:c r="M360" s="51" t="n">
        <x:v>14</x:v>
      </x:c>
      <x:c r="N360" s="51" t="n">
        <x:v>8</x:v>
      </x:c>
      <x:c r="O360" s="51" t="n">
        <x:v>7</x:v>
      </x:c>
      <x:c r="P360" s="51" t="n">
        <x:v>12</x:v>
      </x:c>
      <x:c r="Q360" s="51" t="n">
        <x:v>5</x:v>
      </x:c>
      <x:c r="R360" s="52" t="n">
        <x:f>SUM(J360:Q360)</x:f>
        <x:v>77</x:v>
      </x:c>
      <x:c r="S360" s="50" t="str">
        <x:f>IF(R360&gt;='Rubrik'!$B$17,"Öncelikli video",IF(R360&gt;='Rubrik'!$B$18,"Video kuyruğu",IF(R360&gt;='Rubrik'!$B$19,"Revize et",IF(R360&gt;='Rubrik'!$B$20,"Kartla test","Düşük öncelik"))))</x:f>
        <x:v>Kartla test</x:v>
      </x:c>
      <x:c r="T360" s="50" t="str">
        <x:f>IF(AND(R360&gt;=85,P360&gt;=16,M360&gt;=12,L360&gt;=12),"Reel + Carousel",IF(AND(R360&gt;=85,P360&gt;=16,N360&gt;=8),"Soru odaklı Reel",IF(AND(R360&gt;=85,P360&gt;=16),"Reel / Short",IF(M360&gt;=11,"Carousel","Kart testi"))))</x:f>
        <x:v>Carousel</x:v>
      </x:c>
      <x:c r="U360" s="46" t="str">
        <x:v>Hastaneden doğan MBSR yaklaşımı umut ve kanıt hissi verir; süreç görselleri eklenirse video güçlenir.</x:v>
      </x:c>
      <x:c r="V360" s="46" t="str">
        <x:f>IF(Q360&lt;=3,"Kaynak kontrolü şart",IF(Q360=4,"Kaynak kontrolü önerilir","Standart doğrulama"))</x:f>
        <x:v>Standart doğrulama</x:v>
      </x:c>
    </x:row>
    <x:row r="361" ht="24" customHeight="1">
      <x:c r="A361" s="48" t="n">
        <x:f>COUNTIF($R$2:$R$751,"&gt;"&amp;R361)+COUNTIF($R$2:R361,R361)</x:f>
        <x:v>360</x:v>
      </x:c>
      <x:c r="B361" s="48" t="n">
        <x:v>1387</x:v>
      </x:c>
      <x:c r="C361" s="46" t="str">
        <x:v>Ateş üzerinde yürümek</x:v>
      </x:c>
      <x:c r="D361" s="34" t="str">
        <x:v>Büyüme</x:v>
      </x:c>
      <x:c r="E361" s="34" t="str">
        <x:v>Motivasyon</x:v>
      </x:c>
      <x:c r="F361" s="34" t="str">
        <x:v>İçsel Güç</x:v>
      </x:c>
      <x:c r="G361" s="34" t="str">
        <x:v>Tony Robbins</x:v>
      </x:c>
      <x:c r="H361" s="50" t="str">
        <x:v>1</x:v>
      </x:c>
      <x:c r="I361" s="50" t="str">
        <x:v>Temel</x:v>
      </x:c>
      <x:c r="J361" s="51" t="n">
        <x:v>14</x:v>
      </x:c>
      <x:c r="K361" s="51" t="n">
        <x:v>8</x:v>
      </x:c>
      <x:c r="L361" s="51" t="n">
        <x:v>13</x:v>
      </x:c>
      <x:c r="M361" s="51" t="n">
        <x:v>4</x:v>
      </x:c>
      <x:c r="N361" s="51" t="n">
        <x:v>9</x:v>
      </x:c>
      <x:c r="O361" s="51" t="n">
        <x:v>9</x:v>
      </x:c>
      <x:c r="P361" s="51" t="n">
        <x:v>18</x:v>
      </x:c>
      <x:c r="Q361" s="51" t="n">
        <x:v>1</x:v>
      </x:c>
      <x:c r="R361" s="52" t="n">
        <x:f>SUM(J361:Q361)</x:f>
        <x:v>76</x:v>
      </x:c>
      <x:c r="S361" s="50" t="str">
        <x:f>IF(R361&gt;='Rubrik'!$B$17,"Öncelikli video",IF(R361&gt;='Rubrik'!$B$18,"Video kuyruğu",IF(R361&gt;='Rubrik'!$B$19,"Revize et",IF(R361&gt;='Rubrik'!$B$20,"Kartla test","Düşük öncelik"))))</x:f>
        <x:v>Kartla test</x:v>
      </x:c>
      <x:c r="T361" s="50" t="str">
        <x:f>IF(AND(R361&gt;=85,P361&gt;=16,M361&gt;=12,L361&gt;=12),"Reel + Carousel",IF(AND(R361&gt;=85,P361&gt;=16,N361&gt;=8),"Soru odaklı Reel",IF(AND(R361&gt;=85,P361&gt;=16),"Reel / Short",IF(M361&gt;=11,"Carousel","Kart testi"))))</x:f>
        <x:v>Kart testi</x:v>
      </x:c>
      <x:c r="U361" s="46" t="str">
        <x:v>Kor ateş sahnesi çok dikkat çekici ve sinematik; ciddi yanık riski nedeniyle davranış çağrısı güvenli değil.</x:v>
      </x:c>
      <x:c r="V361" s="46" t="str">
        <x:f>IF(Q361&lt;=3,"Kaynak kontrolü şart",IF(Q361=4,"Kaynak kontrolü önerilir","Standart doğrulama"))</x:f>
        <x:v>Kaynak kontrolü şart</x:v>
      </x:c>
    </x:row>
    <x:row r="362" ht="24" customHeight="1">
      <x:c r="A362" s="48" t="n">
        <x:f>COUNTIF($R$2:$R$751,"&gt;"&amp;R362)+COUNTIF($R$2:R362,R362)</x:f>
        <x:v>361</x:v>
      </x:c>
      <x:c r="B362" s="48" t="n">
        <x:v>1769</x:v>
      </x:c>
      <x:c r="C362" s="46" t="str">
        <x:v>Bir Davranışın Bir Saniye Öncesi</x:v>
      </x:c>
      <x:c r="D362" s="34" t="str">
        <x:v>Finans</x:v>
      </x:c>
      <x:c r="E362" s="34" t="str">
        <x:v>İş &amp; Girişim</x:v>
      </x:c>
      <x:c r="F362" s="34" t="str">
        <x:v>Behave</x:v>
      </x:c>
      <x:c r="G362" s="34" t="str">
        <x:v>Robert M. Sapolsky</x:v>
      </x:c>
      <x:c r="H362" s="50" t="str">
        <x:v>2</x:v>
      </x:c>
      <x:c r="I362" s="50" t="str">
        <x:v>Zengin</x:v>
      </x:c>
      <x:c r="J362" s="51" t="n">
        <x:v>12</x:v>
      </x:c>
      <x:c r="K362" s="51" t="n">
        <x:v>5</x:v>
      </x:c>
      <x:c r="L362" s="51" t="n">
        <x:v>13</x:v>
      </x:c>
      <x:c r="M362" s="51" t="n">
        <x:v>10</x:v>
      </x:c>
      <x:c r="N362" s="51" t="n">
        <x:v>8</x:v>
      </x:c>
      <x:c r="O362" s="51" t="n">
        <x:v>7</x:v>
      </x:c>
      <x:c r="P362" s="51" t="n">
        <x:v>18</x:v>
      </x:c>
      <x:c r="Q362" s="51" t="n">
        <x:v>3</x:v>
      </x:c>
      <x:c r="R362" s="52" t="n">
        <x:f>SUM(J362:Q362)</x:f>
        <x:v>76</x:v>
      </x:c>
      <x:c r="S362" s="50" t="str">
        <x:f>IF(R362&gt;='Rubrik'!$B$17,"Öncelikli video",IF(R362&gt;='Rubrik'!$B$18,"Video kuyruğu",IF(R362&gt;='Rubrik'!$B$19,"Revize et",IF(R362&gt;='Rubrik'!$B$20,"Kartla test","Düşük öncelik"))))</x:f>
        <x:v>Kartla test</x:v>
      </x:c>
      <x:c r="T362" s="50" t="str">
        <x:f>IF(AND(R362&gt;=85,P362&gt;=16,M362&gt;=12,L362&gt;=12),"Reel + Carousel",IF(AND(R362&gt;=85,P362&gt;=16,N362&gt;=8),"Soru odaklı Reel",IF(AND(R362&gt;=85,P362&gt;=16),"Reel / Short",IF(M362&gt;=11,"Carousel","Kart testi"))))</x:f>
        <x:v>Kart testi</x:v>
      </x:c>
      <x:c r="U362" s="46" t="str">
        <x:v>Uygulanabilir çerçeve, hikâyeyi geri dönüp kaydetmeye değer kılıyor; olay örgüsü geliştirilmeli.</x:v>
      </x:c>
      <x:c r="V362" s="46" t="str">
        <x:f>IF(Q362&lt;=3,"Kaynak kontrolü şart",IF(Q362=4,"Kaynak kontrolü önerilir","Standart doğrulama"))</x:f>
        <x:v>Kaynak kontrolü şart</x:v>
      </x:c>
    </x:row>
    <x:row r="363" ht="24" customHeight="1">
      <x:c r="A363" s="48" t="n">
        <x:f>COUNTIF($R$2:$R$751,"&gt;"&amp;R363)+COUNTIF($R$2:R363,R363)</x:f>
        <x:v>362</x:v>
      </x:c>
      <x:c r="B363" s="48" t="n">
        <x:v>1782</x:v>
      </x:c>
      <x:c r="C363" s="46" t="str">
        <x:v>Kolay Cevabı Olmayan Kararlar</x:v>
      </x:c>
      <x:c r="D363" s="34" t="str">
        <x:v>Liderlik</x:v>
      </x:c>
      <x:c r="E363" s="34" t="str">
        <x:v>Liderlik</x:v>
      </x:c>
      <x:c r="F363" s="34" t="str">
        <x:v>The Hard Thing About Hard Things</x:v>
      </x:c>
      <x:c r="G363" s="34" t="str">
        <x:v>Ben Horowitz</x:v>
      </x:c>
      <x:c r="H363" s="50" t="str">
        <x:v>2</x:v>
      </x:c>
      <x:c r="I363" s="50" t="str">
        <x:v>Zengin</x:v>
      </x:c>
      <x:c r="J363" s="51" t="n">
        <x:v>12</x:v>
      </x:c>
      <x:c r="K363" s="51" t="n">
        <x:v>5</x:v>
      </x:c>
      <x:c r="L363" s="51" t="n">
        <x:v>13</x:v>
      </x:c>
      <x:c r="M363" s="51" t="n">
        <x:v>9</x:v>
      </x:c>
      <x:c r="N363" s="51" t="n">
        <x:v>7</x:v>
      </x:c>
      <x:c r="O363" s="51" t="n">
        <x:v>8</x:v>
      </x:c>
      <x:c r="P363" s="51" t="n">
        <x:v>18</x:v>
      </x:c>
      <x:c r="Q363" s="51" t="n">
        <x:v>4</x:v>
      </x:c>
      <x:c r="R363" s="52" t="n">
        <x:f>SUM(J363:Q363)</x:f>
        <x:v>76</x:v>
      </x:c>
      <x:c r="S363" s="50" t="str">
        <x:f>IF(R363&gt;='Rubrik'!$B$17,"Öncelikli video",IF(R363&gt;='Rubrik'!$B$18,"Video kuyruğu",IF(R363&gt;='Rubrik'!$B$19,"Revize et",IF(R363&gt;='Rubrik'!$B$20,"Kartla test","Düşük öncelik"))))</x:f>
        <x:v>Kartla test</x:v>
      </x:c>
      <x:c r="T363" s="50" t="str">
        <x:f>IF(AND(R363&gt;=85,P363&gt;=16,M363&gt;=12,L363&gt;=12),"Reel + Carousel",IF(AND(R363&gt;=85,P363&gt;=16,N363&gt;=8),"Soru odaklı Reel",IF(AND(R363&gt;=85,P363&gt;=16),"Reel / Short",IF(M363&gt;=11,"Carousel","Kart testi"))))</x:f>
        <x:v>Kart testi</x:v>
      </x:c>
      <x:c r="U363" s="46" t="str">
        <x:v>Merak sorusu ve karşıtlık ilk saniye etkisini güçlendiriyor; olay örgüsü yeterli.</x:v>
      </x:c>
      <x:c r="V363" s="46" t="str">
        <x:f>IF(Q363&lt;=3,"Kaynak kontrolü şart",IF(Q363=4,"Kaynak kontrolü önerilir","Standart doğrulama"))</x:f>
        <x:v>Kaynak kontrolü önerilir</x:v>
      </x:c>
    </x:row>
    <x:row r="364" ht="24" customHeight="1">
      <x:c r="A364" s="48" t="n">
        <x:f>COUNTIF($R$2:$R$751,"&gt;"&amp;R364)+COUNTIF($R$2:R364,R364)</x:f>
        <x:v>363</x:v>
      </x:c>
      <x:c r="B364" s="48" t="n">
        <x:v>1289</x:v>
      </x:c>
      <x:c r="C364" s="46" t="str">
        <x:v>Yüzde kırk kuralı</x:v>
      </x:c>
      <x:c r="D364" s="34" t="str">
        <x:v>Büyüme</x:v>
      </x:c>
      <x:c r="E364" s="34" t="str">
        <x:v>Motivasyon</x:v>
      </x:c>
      <x:c r="F364" s="34" t="str">
        <x:v>Can't Hurt Me</x:v>
      </x:c>
      <x:c r="G364" s="34" t="str">
        <x:v>David Goggins</x:v>
      </x:c>
      <x:c r="H364" s="50" t="str">
        <x:v>1</x:v>
      </x:c>
      <x:c r="I364" s="50" t="str">
        <x:v>Temel</x:v>
      </x:c>
      <x:c r="J364" s="51" t="n">
        <x:v>14</x:v>
      </x:c>
      <x:c r="K364" s="51" t="n">
        <x:v>8</x:v>
      </x:c>
      <x:c r="L364" s="51" t="n">
        <x:v>13</x:v>
      </x:c>
      <x:c r="M364" s="51" t="n">
        <x:v>7</x:v>
      </x:c>
      <x:c r="N364" s="51" t="n">
        <x:v>8</x:v>
      </x:c>
      <x:c r="O364" s="51" t="n">
        <x:v>8</x:v>
      </x:c>
      <x:c r="P364" s="51" t="n">
        <x:v>17</x:v>
      </x:c>
      <x:c r="Q364" s="51" t="n">
        <x:v>1</x:v>
      </x:c>
      <x:c r="R364" s="52" t="n">
        <x:f>SUM(J364:Q364)</x:f>
        <x:v>76</x:v>
      </x:c>
      <x:c r="S364" s="50" t="str">
        <x:f>IF(R364&gt;='Rubrik'!$B$17,"Öncelikli video",IF(R364&gt;='Rubrik'!$B$18,"Video kuyruğu",IF(R364&gt;='Rubrik'!$B$19,"Revize et",IF(R364&gt;='Rubrik'!$B$20,"Kartla test","Düşük öncelik"))))</x:f>
        <x:v>Kartla test</x:v>
      </x:c>
      <x:c r="T364" s="50" t="str">
        <x:f>IF(AND(R364&gt;=85,P364&gt;=16,M364&gt;=12,L364&gt;=12),"Reel + Carousel",IF(AND(R364&gt;=85,P364&gt;=16,N364&gt;=8),"Soru odaklı Reel",IF(AND(R364&gt;=85,P364&gt;=16),"Reel / Short",IF(M364&gt;=11,"Carousel","Kart testi"))))</x:f>
        <x:v>Kart testi</x:v>
      </x:c>
      <x:c r="U364" s="46" t="str">
        <x:v>Ultra maraton sahnesi çok güçlü; yüzde kırk iddiası bilimsel kural gibi sunulunca tehlikeli olabilir.</x:v>
      </x:c>
      <x:c r="V364" s="46" t="str">
        <x:f>IF(Q364&lt;=3,"Kaynak kontrolü şart",IF(Q364=4,"Kaynak kontrolü önerilir","Standart doğrulama"))</x:f>
        <x:v>Kaynak kontrolü şart</x:v>
      </x:c>
    </x:row>
    <x:row r="365" ht="24" customHeight="1">
      <x:c r="A365" s="48" t="n">
        <x:f>COUNTIF($R$2:$R$751,"&gt;"&amp;R365)+COUNTIF($R$2:R365,R365)</x:f>
        <x:v>364</x:v>
      </x:c>
      <x:c r="B365" s="48" t="n">
        <x:v>1403</x:v>
      </x:c>
      <x:c r="C365" s="46" t="str">
        <x:v>New York'ta suç salgını ve kırık cam teorisi</x:v>
      </x:c>
      <x:c r="D365" s="34" t="str">
        <x:v>Felsefe</x:v>
      </x:c>
      <x:c r="E365" s="34" t="str">
        <x:v>Sosyoloji</x:v>
      </x:c>
      <x:c r="F365" s="34" t="str">
        <x:v>Devrilme Noktası</x:v>
      </x:c>
      <x:c r="G365" s="34" t="str">
        <x:v>Malcolm Gladwell</x:v>
      </x:c>
      <x:c r="H365" s="50" t="str">
        <x:v>1</x:v>
      </x:c>
      <x:c r="I365" s="50" t="str">
        <x:v>Temel</x:v>
      </x:c>
      <x:c r="J365" s="51" t="n">
        <x:v>14</x:v>
      </x:c>
      <x:c r="K365" s="51" t="n">
        <x:v>7</x:v>
      </x:c>
      <x:c r="L365" s="51" t="n">
        <x:v>13</x:v>
      </x:c>
      <x:c r="M365" s="51" t="n">
        <x:v>7</x:v>
      </x:c>
      <x:c r="N365" s="51" t="n">
        <x:v>9</x:v>
      </x:c>
      <x:c r="O365" s="51" t="n">
        <x:v>9</x:v>
      </x:c>
      <x:c r="P365" s="51" t="n">
        <x:v>17</x:v>
      </x:c>
      <x:c r="Q365" s="51" t="n">
        <x:v>0</x:v>
      </x:c>
      <x:c r="R365" s="52" t="n">
        <x:f>SUM(J365:Q365)</x:f>
        <x:v>76</x:v>
      </x:c>
      <x:c r="S365" s="50" t="str">
        <x:f>IF(R365&gt;='Rubrik'!$B$17,"Öncelikli video",IF(R365&gt;='Rubrik'!$B$18,"Video kuyruğu",IF(R365&gt;='Rubrik'!$B$19,"Revize et",IF(R365&gt;='Rubrik'!$B$20,"Kartla test","Düşük öncelik"))))</x:f>
        <x:v>Kartla test</x:v>
      </x:c>
      <x:c r="T365" s="50" t="str">
        <x:f>IF(AND(R365&gt;=85,P365&gt;=16,M365&gt;=12,L365&gt;=12),"Reel + Carousel",IF(AND(R365&gt;=85,P365&gt;=16,N365&gt;=8),"Soru odaklı Reel",IF(AND(R365&gt;=85,P365&gt;=16),"Reel / Short",IF(M365&gt;=11,"Carousel","Kart testi"))))</x:f>
        <x:v>Kart testi</x:v>
      </x:c>
      <x:c r="U365" s="46" t="str">
        <x:v>Turnike müdahalesi çok güçlü bir anlatı; New York suç düşüşünü kırık cam politikasına bağlamak tartışmalı ve riskli.</x:v>
      </x:c>
      <x:c r="V365" s="46" t="str">
        <x:f>IF(Q365&lt;=3,"Kaynak kontrolü şart",IF(Q365=4,"Kaynak kontrolü önerilir","Standart doğrulama"))</x:f>
        <x:v>Kaynak kontrolü şart</x:v>
      </x:c>
    </x:row>
    <x:row r="366" ht="24" customHeight="1">
      <x:c r="A366" s="48" t="n">
        <x:f>COUNTIF($R$2:$R$751,"&gt;"&amp;R366)+COUNTIF($R$2:R366,R366)</x:f>
        <x:v>365</x:v>
      </x:c>
      <x:c r="B366" s="48" t="n">
        <x:v>1757</x:v>
      </x:c>
      <x:c r="C366" s="46" t="str">
        <x:v>Tek Denklemin Riski</x:v>
      </x:c>
      <x:c r="D366" s="34" t="str">
        <x:v>Psikoloji</x:v>
      </x:c>
      <x:c r="E366" s="34" t="str">
        <x:v>Psikoloji</x:v>
      </x:c>
      <x:c r="F366" s="34" t="str">
        <x:v>A Brief History of Time</x:v>
      </x:c>
      <x:c r="G366" s="34" t="str">
        <x:v>Stephen Hawking</x:v>
      </x:c>
      <x:c r="H366" s="50" t="str">
        <x:v>2</x:v>
      </x:c>
      <x:c r="I366" s="50" t="str">
        <x:v>Zengin</x:v>
      </x:c>
      <x:c r="J366" s="51" t="n">
        <x:v>11</x:v>
      </x:c>
      <x:c r="K366" s="51" t="n">
        <x:v>6</x:v>
      </x:c>
      <x:c r="L366" s="51" t="n">
        <x:v>13</x:v>
      </x:c>
      <x:c r="M366" s="51" t="n">
        <x:v>9</x:v>
      </x:c>
      <x:c r="N366" s="51" t="n">
        <x:v>8</x:v>
      </x:c>
      <x:c r="O366" s="51" t="n">
        <x:v>8</x:v>
      </x:c>
      <x:c r="P366" s="51" t="n">
        <x:v>17</x:v>
      </x:c>
      <x:c r="Q366" s="51" t="n">
        <x:v>4</x:v>
      </x:c>
      <x:c r="R366" s="52" t="n">
        <x:f>SUM(J366:Q366)</x:f>
        <x:v>76</x:v>
      </x:c>
      <x:c r="S366" s="50" t="str">
        <x:f>IF(R366&gt;='Rubrik'!$B$17,"Öncelikli video",IF(R366&gt;='Rubrik'!$B$18,"Video kuyruğu",IF(R366&gt;='Rubrik'!$B$19,"Revize et",IF(R366&gt;='Rubrik'!$B$20,"Kartla test","Düşük öncelik"))))</x:f>
        <x:v>Kartla test</x:v>
      </x:c>
      <x:c r="T366" s="50" t="str">
        <x:f>IF(AND(R366&gt;=85,P366&gt;=16,M366&gt;=12,L366&gt;=12),"Reel + Carousel",IF(AND(R366&gt;=85,P366&gt;=16,N366&gt;=8),"Soru odaklı Reel",IF(AND(R366&gt;=85,P366&gt;=16),"Reel / Short",IF(M366&gt;=11,"Carousel","Kart testi"))))</x:f>
        <x:v>Kart testi</x:v>
      </x:c>
      <x:c r="U366" s="46" t="str">
        <x:v>Merak sorusu ve karşıtlık ilk saniye etkisini güçlendiriyor; ilk saniye etkisi geliştirilmeli.</x:v>
      </x:c>
      <x:c r="V366" s="46" t="str">
        <x:f>IF(Q366&lt;=3,"Kaynak kontrolü şart",IF(Q366=4,"Kaynak kontrolü önerilir","Standart doğrulama"))</x:f>
        <x:v>Kaynak kontrolü önerilir</x:v>
      </x:c>
    </x:row>
    <x:row r="367" ht="24" customHeight="1">
      <x:c r="A367" s="48" t="n">
        <x:f>COUNTIF($R$2:$R$751,"&gt;"&amp;R367)+COUNTIF($R$2:R367,R367)</x:f>
        <x:v>366</x:v>
      </x:c>
      <x:c r="B367" s="48" t="n">
        <x:v>1797</x:v>
      </x:c>
      <x:c r="C367" s="46" t="str">
        <x:v>Çıkış Kapısındaki Teklif</x:v>
      </x:c>
      <x:c r="D367" s="34" t="str">
        <x:v>Liderlik</x:v>
      </x:c>
      <x:c r="E367" s="34" t="str">
        <x:v>Liderlik</x:v>
      </x:c>
      <x:c r="F367" s="34" t="str">
        <x:v>Delivering Happiness</x:v>
      </x:c>
      <x:c r="G367" s="34" t="str">
        <x:v>Tony Hsieh</x:v>
      </x:c>
      <x:c r="H367" s="50" t="str">
        <x:v>C1</x:v>
      </x:c>
      <x:c r="I367" s="50" t="str">
        <x:v>Zengin</x:v>
      </x:c>
      <x:c r="J367" s="51" t="n">
        <x:v>12</x:v>
      </x:c>
      <x:c r="K367" s="51" t="n">
        <x:v>7</x:v>
      </x:c>
      <x:c r="L367" s="51" t="n">
        <x:v>13</x:v>
      </x:c>
      <x:c r="M367" s="51" t="n">
        <x:v>8</x:v>
      </x:c>
      <x:c r="N367" s="51" t="n">
        <x:v>8</x:v>
      </x:c>
      <x:c r="O367" s="51" t="n">
        <x:v>7</x:v>
      </x:c>
      <x:c r="P367" s="51" t="n">
        <x:v>17</x:v>
      </x:c>
      <x:c r="Q367" s="51" t="n">
        <x:v>4</x:v>
      </x:c>
      <x:c r="R367" s="52" t="n">
        <x:f>SUM(J367:Q367)</x:f>
        <x:v>76</x:v>
      </x:c>
      <x:c r="S367" s="50" t="str">
        <x:f>IF(R367&gt;='Rubrik'!$B$17,"Öncelikli video",IF(R367&gt;='Rubrik'!$B$18,"Video kuyruğu",IF(R367&gt;='Rubrik'!$B$19,"Revize et",IF(R367&gt;='Rubrik'!$B$20,"Kartla test","Düşük öncelik"))))</x:f>
        <x:v>Kartla test</x:v>
      </x:c>
      <x:c r="T367" s="50" t="str">
        <x:f>IF(AND(R367&gt;=85,P367&gt;=16,M367&gt;=12,L367&gt;=12),"Reel + Carousel",IF(AND(R367&gt;=85,P367&gt;=16,N367&gt;=8),"Soru odaklı Reel",IF(AND(R367&gt;=85,P367&gt;=16),"Reel / Short",IF(M367&gt;=11,"Carousel","Kart testi"))))</x:f>
        <x:v>Kart testi</x:v>
      </x:c>
      <x:c r="U367" s="46" t="str">
        <x:v>Duygusal karşıtlık paylaşma ve kişisel anlatma isteğini yükseltiyor; olay örgüsü geliştirilmeli.</x:v>
      </x:c>
      <x:c r="V367" s="46" t="str">
        <x:f>IF(Q367&lt;=3,"Kaynak kontrolü şart",IF(Q367=4,"Kaynak kontrolü önerilir","Standart doğrulama"))</x:f>
        <x:v>Kaynak kontrolü önerilir</x:v>
      </x:c>
    </x:row>
    <x:row r="368" ht="24" customHeight="1">
      <x:c r="A368" s="48" t="n">
        <x:f>COUNTIF($R$2:$R$751,"&gt;"&amp;R368)+COUNTIF($R$2:R368,R368)</x:f>
        <x:v>367</x:v>
      </x:c>
      <x:c r="B368" s="48" t="n">
        <x:v>1800</x:v>
      </x:c>
      <x:c r="C368" s="46" t="str">
        <x:v>Sandviçin İçindeki Eleştiri</x:v>
      </x:c>
      <x:c r="D368" s="34" t="str">
        <x:v>Liderlik</x:v>
      </x:c>
      <x:c r="E368" s="34" t="str">
        <x:v>Liderlik</x:v>
      </x:c>
      <x:c r="F368" s="34" t="str">
        <x:v>The Culture Map</x:v>
      </x:c>
      <x:c r="G368" s="34" t="str">
        <x:v>Erin Meyer</x:v>
      </x:c>
      <x:c r="H368" s="50" t="str">
        <x:v>C2</x:v>
      </x:c>
      <x:c r="I368" s="50" t="str">
        <x:v>Zengin</x:v>
      </x:c>
      <x:c r="J368" s="51" t="n">
        <x:v>12</x:v>
      </x:c>
      <x:c r="K368" s="51" t="n">
        <x:v>5</x:v>
      </x:c>
      <x:c r="L368" s="51" t="n">
        <x:v>13</x:v>
      </x:c>
      <x:c r="M368" s="51" t="n">
        <x:v>10</x:v>
      </x:c>
      <x:c r="N368" s="51" t="n">
        <x:v>7</x:v>
      </x:c>
      <x:c r="O368" s="51" t="n">
        <x:v>8</x:v>
      </x:c>
      <x:c r="P368" s="51" t="n">
        <x:v>17</x:v>
      </x:c>
      <x:c r="Q368" s="51" t="n">
        <x:v>4</x:v>
      </x:c>
      <x:c r="R368" s="52" t="n">
        <x:f>SUM(J368:Q368)</x:f>
        <x:v>76</x:v>
      </x:c>
      <x:c r="S368" s="50" t="str">
        <x:f>IF(R368&gt;='Rubrik'!$B$17,"Öncelikli video",IF(R368&gt;='Rubrik'!$B$18,"Video kuyruğu",IF(R368&gt;='Rubrik'!$B$19,"Revize et",IF(R368&gt;='Rubrik'!$B$20,"Kartla test","Düşük öncelik"))))</x:f>
        <x:v>Kartla test</x:v>
      </x:c>
      <x:c r="T368" s="50" t="str">
        <x:f>IF(AND(R368&gt;=85,P368&gt;=16,M368&gt;=12,L368&gt;=12),"Reel + Carousel",IF(AND(R368&gt;=85,P368&gt;=16,N368&gt;=8),"Soru odaklı Reel",IF(AND(R368&gt;=85,P368&gt;=16),"Reel / Short",IF(M368&gt;=11,"Carousel","Kart testi"))))</x:f>
        <x:v>Kart testi</x:v>
      </x:c>
      <x:c r="U368" s="46" t="str">
        <x:v>Uygulanabilir çerçeve, hikâyeyi geri dönüp kaydetmeye değer kılıyor; olay örgüsü yeterli.</x:v>
      </x:c>
      <x:c r="V368" s="46" t="str">
        <x:f>IF(Q368&lt;=3,"Kaynak kontrolü şart",IF(Q368=4,"Kaynak kontrolü önerilir","Standart doğrulama"))</x:f>
        <x:v>Kaynak kontrolü önerilir</x:v>
      </x:c>
    </x:row>
    <x:row r="369" ht="24" customHeight="1">
      <x:c r="A369" s="48" t="n">
        <x:f>COUNTIF($R$2:$R$751,"&gt;"&amp;R369)+COUNTIF($R$2:R369,R369)</x:f>
        <x:v>368</x:v>
      </x:c>
      <x:c r="B369" s="48" t="n">
        <x:v>1457</x:v>
      </x:c>
      <x:c r="C369" s="46" t="str">
        <x:v>Synesthesia — duyuların birbirine karışması</x:v>
      </x:c>
      <x:c r="D369" s="34" t="str">
        <x:v>Psikoloji</x:v>
      </x:c>
      <x:c r="E369" s="34" t="str">
        <x:v>Nörobilim</x:v>
      </x:c>
      <x:c r="F369" s="34" t="str">
        <x:v>Beynin Sırları</x:v>
      </x:c>
      <x:c r="G369" s="34" t="str">
        <x:v>V.S. Ramachandran</x:v>
      </x:c>
      <x:c r="H369" s="50" t="str">
        <x:v>1</x:v>
      </x:c>
      <x:c r="I369" s="50" t="str">
        <x:v>Temel</x:v>
      </x:c>
      <x:c r="J369" s="51" t="n">
        <x:v>12</x:v>
      </x:c>
      <x:c r="K369" s="51" t="n">
        <x:v>7</x:v>
      </x:c>
      <x:c r="L369" s="51" t="n">
        <x:v>12</x:v>
      </x:c>
      <x:c r="M369" s="51" t="n">
        <x:v>11</x:v>
      </x:c>
      <x:c r="N369" s="51" t="n">
        <x:v>8</x:v>
      </x:c>
      <x:c r="O369" s="51" t="n">
        <x:v>6</x:v>
      </x:c>
      <x:c r="P369" s="51" t="n">
        <x:v>16</x:v>
      </x:c>
      <x:c r="Q369" s="51" t="n">
        <x:v>4</x:v>
      </x:c>
      <x:c r="R369" s="52" t="n">
        <x:f>SUM(J369:Q369)</x:f>
        <x:v>76</x:v>
      </x:c>
      <x:c r="S369" s="50" t="str">
        <x:f>IF(R369&gt;='Rubrik'!$B$17,"Öncelikli video",IF(R369&gt;='Rubrik'!$B$18,"Video kuyruğu",IF(R369&gt;='Rubrik'!$B$19,"Revize et",IF(R369&gt;='Rubrik'!$B$20,"Kartla test","Düşük öncelik"))))</x:f>
        <x:v>Kartla test</x:v>
      </x:c>
      <x:c r="T369" s="50" t="str">
        <x:f>IF(AND(R369&gt;=85,P369&gt;=16,M369&gt;=12,L369&gt;=12),"Reel + Carousel",IF(AND(R369&gt;=85,P369&gt;=16,N369&gt;=8),"Soru odaklı Reel",IF(AND(R369&gt;=85,P369&gt;=16),"Reel / Short",IF(M369&gt;=11,"Carousel","Kart testi"))))</x:f>
        <x:v>Carousel</x:v>
      </x:c>
      <x:c r="U369" s="46" t="str">
        <x:v>Renkleri duyan insanlar anında görsel merak yaratır; sinestezi örnekleri kısa videoda çok canlı işler.</x:v>
      </x:c>
      <x:c r="V369" s="46" t="str">
        <x:f>IF(Q369&lt;=3,"Kaynak kontrolü şart",IF(Q369=4,"Kaynak kontrolü önerilir","Standart doğrulama"))</x:f>
        <x:v>Kaynak kontrolü önerilir</x:v>
      </x:c>
    </x:row>
    <x:row r="370" ht="24" customHeight="1">
      <x:c r="A370" s="48" t="n">
        <x:f>COUNTIF($R$2:$R$751,"&gt;"&amp;R370)+COUNTIF($R$2:R370,R370)</x:f>
        <x:v>369</x:v>
      </x:c>
      <x:c r="B370" s="48" t="n">
        <x:v>1209</x:v>
      </x:c>
      <x:c r="C370" s="46" t="str">
        <x:v>Hayatta kalma zihni</x:v>
      </x:c>
      <x:c r="D370" s="34" t="str">
        <x:v>Büyüme</x:v>
      </x:c>
      <x:c r="E370" s="34" t="str">
        <x:v>Motivasyon</x:v>
      </x:c>
      <x:c r="F370" s="34" t="str">
        <x:v>Can't Hurt Me</x:v>
      </x:c>
      <x:c r="G370" s="34" t="str">
        <x:v>David Goggins</x:v>
      </x:c>
      <x:c r="H370" s="50" t="str">
        <x:v>1</x:v>
      </x:c>
      <x:c r="I370" s="50" t="str">
        <x:v>Temel</x:v>
      </x:c>
      <x:c r="J370" s="51" t="n">
        <x:v>14</x:v>
      </x:c>
      <x:c r="K370" s="51" t="n">
        <x:v>9</x:v>
      </x:c>
      <x:c r="L370" s="51" t="n">
        <x:v>9</x:v>
      </x:c>
      <x:c r="M370" s="51" t="n">
        <x:v>10</x:v>
      </x:c>
      <x:c r="N370" s="51" t="n">
        <x:v>9</x:v>
      </x:c>
      <x:c r="O370" s="51" t="n">
        <x:v>6</x:v>
      </x:c>
      <x:c r="P370" s="51" t="n">
        <x:v>16</x:v>
      </x:c>
      <x:c r="Q370" s="51" t="n">
        <x:v>3</x:v>
      </x:c>
      <x:c r="R370" s="52" t="n">
        <x:f>SUM(J370:Q370)</x:f>
        <x:v>76</x:v>
      </x:c>
      <x:c r="S370" s="50" t="str">
        <x:f>IF(R370&gt;='Rubrik'!$B$17,"Öncelikli video",IF(R370&gt;='Rubrik'!$B$18,"Video kuyruğu",IF(R370&gt;='Rubrik'!$B$19,"Revize et",IF(R370&gt;='Rubrik'!$B$20,"Kartla test","Düşük öncelik"))))</x:f>
        <x:v>Kartla test</x:v>
      </x:c>
      <x:c r="T370" s="50" t="str">
        <x:f>IF(AND(R370&gt;=85,P370&gt;=16,M370&gt;=12,L370&gt;=12),"Reel + Carousel",IF(AND(R370&gt;=85,P370&gt;=16,N370&gt;=8),"Soru odaklı Reel",IF(AND(R370&gt;=85,P370&gt;=16),"Reel / Short",IF(M370&gt;=11,"Carousel","Kart testi"))))</x:f>
        <x:v>Kart testi</x:v>
      </x:c>
      <x:c r="U370" s="46" t="str">
        <x:v>Şiddet dolu çocukluktan SEAL ve ultramaratona geçiş güçlü; geniş yaşam özeti kaynak ve nüans ister.</x:v>
      </x:c>
      <x:c r="V370" s="46" t="str">
        <x:f>IF(Q370&lt;=3,"Kaynak kontrolü şart",IF(Q370=4,"Kaynak kontrolü önerilir","Standart doğrulama"))</x:f>
        <x:v>Kaynak kontrolü şart</x:v>
      </x:c>
    </x:row>
    <x:row r="371" ht="24" customHeight="1">
      <x:c r="A371" s="48" t="n">
        <x:f>COUNTIF($R$2:$R$751,"&gt;"&amp;R371)+COUNTIF($R$2:R371,R371)</x:f>
        <x:v>370</x:v>
      </x:c>
      <x:c r="B371" s="48" t="n">
        <x:v>1491</x:v>
      </x:c>
      <x:c r="C371" s="46" t="str">
        <x:v>Kapitalizm ve bağımlılık ekonomisi</x:v>
      </x:c>
      <x:c r="D371" s="34" t="str">
        <x:v>Felsefe</x:v>
      </x:c>
      <x:c r="E371" s="34" t="str">
        <x:v>Toplum</x:v>
      </x:c>
      <x:c r="F371" s="34" t="str">
        <x:v>Bağımlılık Çağı</x:v>
      </x:c>
      <x:c r="G371" s="34" t="str">
        <x:v>Johann Hari</x:v>
      </x:c>
      <x:c r="H371" s="50" t="str">
        <x:v>1</x:v>
      </x:c>
      <x:c r="I371" s="50" t="str">
        <x:v>Temel</x:v>
      </x:c>
      <x:c r="J371" s="51" t="n">
        <x:v>12</x:v>
      </x:c>
      <x:c r="K371" s="51" t="n">
        <x:v>7</x:v>
      </x:c>
      <x:c r="L371" s="51" t="n">
        <x:v>13</x:v>
      </x:c>
      <x:c r="M371" s="51" t="n">
        <x:v>12</x:v>
      </x:c>
      <x:c r="N371" s="51" t="n">
        <x:v>8</x:v>
      </x:c>
      <x:c r="O371" s="51" t="n">
        <x:v>6</x:v>
      </x:c>
      <x:c r="P371" s="51" t="n">
        <x:v>15</x:v>
      </x:c>
      <x:c r="Q371" s="51" t="n">
        <x:v>3</x:v>
      </x:c>
      <x:c r="R371" s="52" t="n">
        <x:f>SUM(J371:Q371)</x:f>
        <x:v>76</x:v>
      </x:c>
      <x:c r="S371" s="50" t="str">
        <x:f>IF(R371&gt;='Rubrik'!$B$17,"Öncelikli video",IF(R371&gt;='Rubrik'!$B$18,"Video kuyruğu",IF(R371&gt;='Rubrik'!$B$19,"Revize et",IF(R371&gt;='Rubrik'!$B$20,"Kartla test","Düşük öncelik"))))</x:f>
        <x:v>Kartla test</x:v>
      </x:c>
      <x:c r="T371" s="50" t="str">
        <x:f>IF(AND(R371&gt;=85,P371&gt;=16,M371&gt;=12,L371&gt;=12),"Reel + Carousel",IF(AND(R371&gt;=85,P371&gt;=16,N371&gt;=8),"Soru odaklı Reel",IF(AND(R371&gt;=85,P371&gt;=16),"Reel / Short",IF(M371&gt;=11,"Carousel","Kart testi"))))</x:f>
        <x:v>Carousel</x:v>
      </x:c>
      <x:c r="U371" s="46" t="str">
        <x:v>Bağımlılık ekonomisi ürün tasarımıyla kişisel iradeyi karşı karşıya getiriyor; tartışma ve paylaşım doğurur.</x:v>
      </x:c>
      <x:c r="V371" s="46" t="str">
        <x:f>IF(Q371&lt;=3,"Kaynak kontrolü şart",IF(Q371=4,"Kaynak kontrolü önerilir","Standart doğrulama"))</x:f>
        <x:v>Kaynak kontrolü şart</x:v>
      </x:c>
    </x:row>
    <x:row r="372" ht="24" customHeight="1">
      <x:c r="A372" s="48" t="n">
        <x:f>COUNTIF($R$2:$R$751,"&gt;"&amp;R372)+COUNTIF($R$2:R372,R372)</x:f>
        <x:v>371</x:v>
      </x:c>
      <x:c r="B372" s="48" t="n">
        <x:v>1411</x:v>
      </x:c>
      <x:c r="C372" s="46" t="str">
        <x:v>İçe dönükler ve dışa dönükler arasındaki fark</x:v>
      </x:c>
      <x:c r="D372" s="34" t="str">
        <x:v>Psikoloji</x:v>
      </x:c>
      <x:c r="E372" s="34" t="str">
        <x:v>Psikoloji</x:v>
      </x:c>
      <x:c r="F372" s="34" t="str">
        <x:v>Sessizlik</x:v>
      </x:c>
      <x:c r="G372" s="34" t="str">
        <x:v>Susan Cain</x:v>
      </x:c>
      <x:c r="H372" s="50" t="str">
        <x:v>1</x:v>
      </x:c>
      <x:c r="I372" s="50" t="str">
        <x:v>Temel</x:v>
      </x:c>
      <x:c r="J372" s="51" t="n">
        <x:v>12</x:v>
      </x:c>
      <x:c r="K372" s="51" t="n">
        <x:v>7</x:v>
      </x:c>
      <x:c r="L372" s="51" t="n">
        <x:v>12</x:v>
      </x:c>
      <x:c r="M372" s="51" t="n">
        <x:v>11</x:v>
      </x:c>
      <x:c r="N372" s="51" t="n">
        <x:v>10</x:v>
      </x:c>
      <x:c r="O372" s="51" t="n">
        <x:v>7</x:v>
      </x:c>
      <x:c r="P372" s="51" t="n">
        <x:v>15</x:v>
      </x:c>
      <x:c r="Q372" s="51" t="n">
        <x:v>2</x:v>
      </x:c>
      <x:c r="R372" s="52" t="n">
        <x:f>SUM(J372:Q372)</x:f>
        <x:v>76</x:v>
      </x:c>
      <x:c r="S372" s="50" t="str">
        <x:f>IF(R372&gt;='Rubrik'!$B$17,"Öncelikli video",IF(R372&gt;='Rubrik'!$B$18,"Video kuyruğu",IF(R372&gt;='Rubrik'!$B$19,"Revize et",IF(R372&gt;='Rubrik'!$B$20,"Kartla test","Düşük öncelik"))))</x:f>
        <x:v>Kartla test</x:v>
      </x:c>
      <x:c r="T372" s="50" t="str">
        <x:f>IF(AND(R372&gt;=85,P372&gt;=16,M372&gt;=12,L372&gt;=12),"Reel + Carousel",IF(AND(R372&gt;=85,P372&gt;=16,N372&gt;=8),"Soru odaklı Reel",IF(AND(R372&gt;=85,P372&gt;=16),"Reel / Short",IF(M372&gt;=11,"Carousel","Kart testi"))))</x:f>
        <x:v>Carousel</x:v>
      </x:c>
      <x:c r="U372" s="46" t="str">
        <x:v>Utangaçlık-içe dönüklük ayrımı rahatlatıcı; bebek tepkisini yetişkin kişiliğine bağlayan nöroloji basitleştirilmiş.</x:v>
      </x:c>
      <x:c r="V372" s="46" t="str">
        <x:f>IF(Q372&lt;=3,"Kaynak kontrolü şart",IF(Q372=4,"Kaynak kontrolü önerilir","Standart doğrulama"))</x:f>
        <x:v>Kaynak kontrolü şart</x:v>
      </x:c>
    </x:row>
    <x:row r="373" ht="24" customHeight="1">
      <x:c r="A373" s="48" t="n">
        <x:f>COUNTIF($R$2:$R$751,"&gt;"&amp;R373)+COUNTIF($R$2:R373,R373)</x:f>
        <x:v>372</x:v>
      </x:c>
      <x:c r="B373" s="48" t="n">
        <x:v>1438</x:v>
      </x:c>
      <x:c r="C373" s="46" t="str">
        <x:v>Empatinin karanlık yüzü — önyargılı acı</x:v>
      </x:c>
      <x:c r="D373" s="34" t="str">
        <x:v>Psikoloji</x:v>
      </x:c>
      <x:c r="E373" s="34" t="str">
        <x:v>Psikoloji</x:v>
      </x:c>
      <x:c r="F373" s="34" t="str">
        <x:v>Against Empathy</x:v>
      </x:c>
      <x:c r="G373" s="34" t="str">
        <x:v>Paul Bloom</x:v>
      </x:c>
      <x:c r="H373" s="50" t="str">
        <x:v>1</x:v>
      </x:c>
      <x:c r="I373" s="50" t="str">
        <x:v>Temel</x:v>
      </x:c>
      <x:c r="J373" s="51" t="n">
        <x:v>12</x:v>
      </x:c>
      <x:c r="K373" s="51" t="n">
        <x:v>7</x:v>
      </x:c>
      <x:c r="L373" s="51" t="n">
        <x:v>12</x:v>
      </x:c>
      <x:c r="M373" s="51" t="n">
        <x:v>12</x:v>
      </x:c>
      <x:c r="N373" s="51" t="n">
        <x:v>8</x:v>
      </x:c>
      <x:c r="O373" s="51" t="n">
        <x:v>6</x:v>
      </x:c>
      <x:c r="P373" s="51" t="n">
        <x:v>15</x:v>
      </x:c>
      <x:c r="Q373" s="51" t="n">
        <x:v>4</x:v>
      </x:c>
      <x:c r="R373" s="52" t="n">
        <x:f>SUM(J373:Q373)</x:f>
        <x:v>76</x:v>
      </x:c>
      <x:c r="S373" s="50" t="str">
        <x:f>IF(R373&gt;='Rubrik'!$B$17,"Öncelikli video",IF(R373&gt;='Rubrik'!$B$18,"Video kuyruğu",IF(R373&gt;='Rubrik'!$B$19,"Revize et",IF(R373&gt;='Rubrik'!$B$20,"Kartla test","Düşük öncelik"))))</x:f>
        <x:v>Kartla test</x:v>
      </x:c>
      <x:c r="T373" s="50" t="str">
        <x:f>IF(AND(R373&gt;=85,P373&gt;=16,M373&gt;=12,L373&gt;=12),"Reel + Carousel",IF(AND(R373&gt;=85,P373&gt;=16,N373&gt;=8),"Soru odaklı Reel",IF(AND(R373&gt;=85,P373&gt;=16),"Reel / Short",IF(M373&gt;=11,"Carousel","Kart testi"))))</x:f>
        <x:v>Carousel</x:v>
      </x:c>
      <x:c r="U373" s="46" t="str">
        <x:v>Empatinin karanlık yüzü beklenmedik ve tartışmalı; liderlik videosuna güçlü karşıtlık sunuyor.</x:v>
      </x:c>
      <x:c r="V373" s="46" t="str">
        <x:f>IF(Q373&lt;=3,"Kaynak kontrolü şart",IF(Q373=4,"Kaynak kontrolü önerilir","Standart doğrulama"))</x:f>
        <x:v>Kaynak kontrolü önerilir</x:v>
      </x:c>
    </x:row>
    <x:row r="374" ht="24" customHeight="1">
      <x:c r="A374" s="48" t="n">
        <x:f>COUNTIF($R$2:$R$751,"&gt;"&amp;R374)+COUNTIF($R$2:R374,R374)</x:f>
        <x:v>373</x:v>
      </x:c>
      <x:c r="B374" s="48" t="n">
        <x:v>1468</x:v>
      </x:c>
      <x:c r="C374" s="46" t="str">
        <x:v>Kahve evi ve fikir ekosistemi</x:v>
      </x:c>
      <x:c r="D374" s="34" t="str">
        <x:v>Verimlilik</x:v>
      </x:c>
      <x:c r="E374" s="34" t="str">
        <x:v>Yaratıcılık</x:v>
      </x:c>
      <x:c r="F374" s="34" t="str">
        <x:v>Büyük Fikirler</x:v>
      </x:c>
      <x:c r="G374" s="34" t="str">
        <x:v>Steven Johnson</x:v>
      </x:c>
      <x:c r="H374" s="50" t="str">
        <x:v>1</x:v>
      </x:c>
      <x:c r="I374" s="50" t="str">
        <x:v>Temel</x:v>
      </x:c>
      <x:c r="J374" s="51" t="n">
        <x:v>12</x:v>
      </x:c>
      <x:c r="K374" s="51" t="n">
        <x:v>7</x:v>
      </x:c>
      <x:c r="L374" s="51" t="n">
        <x:v>12</x:v>
      </x:c>
      <x:c r="M374" s="51" t="n">
        <x:v>11</x:v>
      </x:c>
      <x:c r="N374" s="51" t="n">
        <x:v>8</x:v>
      </x:c>
      <x:c r="O374" s="51" t="n">
        <x:v>7</x:v>
      </x:c>
      <x:c r="P374" s="51" t="n">
        <x:v>15</x:v>
      </x:c>
      <x:c r="Q374" s="51" t="n">
        <x:v>4</x:v>
      </x:c>
      <x:c r="R374" s="52" t="n">
        <x:f>SUM(J374:Q374)</x:f>
        <x:v>76</x:v>
      </x:c>
      <x:c r="S374" s="50" t="str">
        <x:f>IF(R374&gt;='Rubrik'!$B$17,"Öncelikli video",IF(R374&gt;='Rubrik'!$B$18,"Video kuyruğu",IF(R374&gt;='Rubrik'!$B$19,"Revize et",IF(R374&gt;='Rubrik'!$B$20,"Kartla test","Düşük öncelik"))))</x:f>
        <x:v>Kartla test</x:v>
      </x:c>
      <x:c r="T374" s="50" t="str">
        <x:f>IF(AND(R374&gt;=85,P374&gt;=16,M374&gt;=12,L374&gt;=12),"Reel + Carousel",IF(AND(R374&gt;=85,P374&gt;=16,N374&gt;=8),"Soru odaklı Reel",IF(AND(R374&gt;=85,P374&gt;=16),"Reel / Short",IF(M374&gt;=11,"Carousel","Kart testi"))))</x:f>
        <x:v>Carousel</x:v>
      </x:c>
      <x:c r="U374" s="46" t="str">
        <x:v>Kahvehanelerden doğan fikir ekosistemi dönem atmosferi ve karşılaşmalarla zengin bir video malzemesi sunuyor.</x:v>
      </x:c>
      <x:c r="V374" s="46" t="str">
        <x:f>IF(Q374&lt;=3,"Kaynak kontrolü şart",IF(Q374=4,"Kaynak kontrolü önerilir","Standart doğrulama"))</x:f>
        <x:v>Kaynak kontrolü önerilir</x:v>
      </x:c>
    </x:row>
    <x:row r="375" ht="24" customHeight="1">
      <x:c r="A375" s="48" t="n">
        <x:f>COUNTIF($R$2:$R$751,"&gt;"&amp;R375)+COUNTIF($R$2:R375,R375)</x:f>
        <x:v>374</x:v>
      </x:c>
      <x:c r="B375" s="48" t="n">
        <x:v>1473</x:v>
      </x:c>
      <x:c r="C375" s="46" t="str">
        <x:v>Derin oyun ve yenileme</x:v>
      </x:c>
      <x:c r="D375" s="34" t="str">
        <x:v>Verimlilik</x:v>
      </x:c>
      <x:c r="E375" s="34" t="str">
        <x:v>Verimlilik</x:v>
      </x:c>
      <x:c r="F375" s="34" t="str">
        <x:v>Dinlenmenin Gücü</x:v>
      </x:c>
      <x:c r="G375" s="34" t="str">
        <x:v>Alex Soojung-Kim Pang</x:v>
      </x:c>
      <x:c r="H375" s="50" t="str">
        <x:v>1</x:v>
      </x:c>
      <x:c r="I375" s="50" t="str">
        <x:v>Temel</x:v>
      </x:c>
      <x:c r="J375" s="51" t="n">
        <x:v>11</x:v>
      </x:c>
      <x:c r="K375" s="51" t="n">
        <x:v>7</x:v>
      </x:c>
      <x:c r="L375" s="51" t="n">
        <x:v>12</x:v>
      </x:c>
      <x:c r="M375" s="51" t="n">
        <x:v>13</x:v>
      </x:c>
      <x:c r="N375" s="51" t="n">
        <x:v>8</x:v>
      </x:c>
      <x:c r="O375" s="51" t="n">
        <x:v>6</x:v>
      </x:c>
      <x:c r="P375" s="51" t="n">
        <x:v>15</x:v>
      </x:c>
      <x:c r="Q375" s="51" t="n">
        <x:v>4</x:v>
      </x:c>
      <x:c r="R375" s="52" t="n">
        <x:f>SUM(J375:Q375)</x:f>
        <x:v>76</x:v>
      </x:c>
      <x:c r="S375" s="50" t="str">
        <x:f>IF(R375&gt;='Rubrik'!$B$17,"Öncelikli video",IF(R375&gt;='Rubrik'!$B$18,"Video kuyruğu",IF(R375&gt;='Rubrik'!$B$19,"Revize et",IF(R375&gt;='Rubrik'!$B$20,"Kartla test","Düşük öncelik"))))</x:f>
        <x:v>Kartla test</x:v>
      </x:c>
      <x:c r="T375" s="50" t="str">
        <x:f>IF(AND(R375&gt;=85,P375&gt;=16,M375&gt;=12,L375&gt;=12),"Reel + Carousel",IF(AND(R375&gt;=85,P375&gt;=16,N375&gt;=8),"Soru odaklı Reel",IF(AND(R375&gt;=85,P375&gt;=16),"Reel / Short",IF(M375&gt;=11,"Carousel","Kart testi"))))</x:f>
        <x:v>Carousel</x:v>
      </x:c>
      <x:c r="U375" s="46" t="str">
        <x:v>Derin oyun başarılı insanların hobilerini anlamlı kılıyor; izleyiciyi kendi yenilenme alanını düşünmeye iter.</x:v>
      </x:c>
      <x:c r="V375" s="46" t="str">
        <x:f>IF(Q375&lt;=3,"Kaynak kontrolü şart",IF(Q375=4,"Kaynak kontrolü önerilir","Standart doğrulama"))</x:f>
        <x:v>Kaynak kontrolü önerilir</x:v>
      </x:c>
    </x:row>
    <x:row r="376" ht="24" customHeight="1">
      <x:c r="A376" s="48" t="n">
        <x:f>COUNTIF($R$2:$R$751,"&gt;"&amp;R376)+COUNTIF($R$2:R376,R376)</x:f>
        <x:v>375</x:v>
      </x:c>
      <x:c r="B376" s="48" t="n">
        <x:v>1487</x:v>
      </x:c>
      <x:c r="C376" s="46" t="str">
        <x:v>Dikkat ekonomisi ve dikkat mimarisi</x:v>
      </x:c>
      <x:c r="D376" s="34" t="str">
        <x:v>Verimlilik</x:v>
      </x:c>
      <x:c r="E376" s="34" t="str">
        <x:v>Verimlilik</x:v>
      </x:c>
      <x:c r="F376" s="34" t="str">
        <x:v>Çalınan Dikkat</x:v>
      </x:c>
      <x:c r="G376" s="34" t="str">
        <x:v>Johann Hari</x:v>
      </x:c>
      <x:c r="H376" s="50" t="str">
        <x:v>1</x:v>
      </x:c>
      <x:c r="I376" s="50" t="str">
        <x:v>Temel</x:v>
      </x:c>
      <x:c r="J376" s="51" t="n">
        <x:v>12</x:v>
      </x:c>
      <x:c r="K376" s="51" t="n">
        <x:v>6</x:v>
      </x:c>
      <x:c r="L376" s="51" t="n">
        <x:v>12</x:v>
      </x:c>
      <x:c r="M376" s="51" t="n">
        <x:v>13</x:v>
      </x:c>
      <x:c r="N376" s="51" t="n">
        <x:v>8</x:v>
      </x:c>
      <x:c r="O376" s="51" t="n">
        <x:v>6</x:v>
      </x:c>
      <x:c r="P376" s="51" t="n">
        <x:v>15</x:v>
      </x:c>
      <x:c r="Q376" s="51" t="n">
        <x:v>4</x:v>
      </x:c>
      <x:c r="R376" s="52" t="n">
        <x:f>SUM(J376:Q376)</x:f>
        <x:v>76</x:v>
      </x:c>
      <x:c r="S376" s="50" t="str">
        <x:f>IF(R376&gt;='Rubrik'!$B$17,"Öncelikli video",IF(R376&gt;='Rubrik'!$B$18,"Video kuyruğu",IF(R376&gt;='Rubrik'!$B$19,"Revize et",IF(R376&gt;='Rubrik'!$B$20,"Kartla test","Düşük öncelik"))))</x:f>
        <x:v>Kartla test</x:v>
      </x:c>
      <x:c r="T376" s="50" t="str">
        <x:f>IF(AND(R376&gt;=85,P376&gt;=16,M376&gt;=12,L376&gt;=12),"Reel + Carousel",IF(AND(R376&gt;=85,P376&gt;=16,N376&gt;=8),"Soru odaklı Reel",IF(AND(R376&gt;=85,P376&gt;=16),"Reel / Short",IF(M376&gt;=11,"Carousel","Kart testi"))))</x:f>
        <x:v>Carousel</x:v>
      </x:c>
      <x:c r="U376" s="46" t="str">
        <x:v>Dikkat ekonomisinin bizi ürün yapması çarpıcı ve güncel; bildirim görselleriyle hızlıca anlaşılır.</x:v>
      </x:c>
      <x:c r="V376" s="46" t="str">
        <x:f>IF(Q376&lt;=3,"Kaynak kontrolü şart",IF(Q376=4,"Kaynak kontrolü önerilir","Standart doğrulama"))</x:f>
        <x:v>Kaynak kontrolü önerilir</x:v>
      </x:c>
    </x:row>
    <x:row r="377" ht="24" customHeight="1">
      <x:c r="A377" s="48" t="n">
        <x:f>COUNTIF($R$2:$R$751,"&gt;"&amp;R377)+COUNTIF($R$2:R377,R377)</x:f>
        <x:v>376</x:v>
      </x:c>
      <x:c r="B377" s="48" t="n">
        <x:v>1578</x:v>
      </x:c>
      <x:c r="C377" s="46" t="str">
        <x:v>Amaç — para ve statünün ötesindeki üçüncü katman</x:v>
      </x:c>
      <x:c r="D377" s="34" t="str">
        <x:v>Büyüme</x:v>
      </x:c>
      <x:c r="E377" s="34" t="str">
        <x:v>Motivasyon</x:v>
      </x:c>
      <x:c r="F377" s="34" t="str">
        <x:v>İşte Anlam</x:v>
      </x:c>
      <x:c r="G377" s="34" t="str">
        <x:v>Daniel Pink</x:v>
      </x:c>
      <x:c r="H377" s="50" t="str">
        <x:v>1</x:v>
      </x:c>
      <x:c r="I377" s="50" t="str">
        <x:v>Temel</x:v>
      </x:c>
      <x:c r="J377" s="51" t="n">
        <x:v>12</x:v>
      </x:c>
      <x:c r="K377" s="51" t="n">
        <x:v>7</x:v>
      </x:c>
      <x:c r="L377" s="51" t="n">
        <x:v>12</x:v>
      </x:c>
      <x:c r="M377" s="51" t="n">
        <x:v>13</x:v>
      </x:c>
      <x:c r="N377" s="51" t="n">
        <x:v>8</x:v>
      </x:c>
      <x:c r="O377" s="51" t="n">
        <x:v>6</x:v>
      </x:c>
      <x:c r="P377" s="51" t="n">
        <x:v>15</x:v>
      </x:c>
      <x:c r="Q377" s="51" t="n">
        <x:v>3</x:v>
      </x:c>
      <x:c r="R377" s="52" t="n">
        <x:f>SUM(J377:Q377)</x:f>
        <x:v>76</x:v>
      </x:c>
      <x:c r="S377" s="50" t="str">
        <x:f>IF(R377&gt;='Rubrik'!$B$17,"Öncelikli video",IF(R377&gt;='Rubrik'!$B$18,"Video kuyruğu",IF(R377&gt;='Rubrik'!$B$19,"Revize et",IF(R377&gt;='Rubrik'!$B$20,"Kartla test","Düşük öncelik"))))</x:f>
        <x:v>Kartla test</x:v>
      </x:c>
      <x:c r="T377" s="50" t="str">
        <x:f>IF(AND(R377&gt;=85,P377&gt;=16,M377&gt;=12,L377&gt;=12),"Reel + Carousel",IF(AND(R377&gt;=85,P377&gt;=16,N377&gt;=8),"Soru odaklı Reel",IF(AND(R377&gt;=85,P377&gt;=16),"Reel / Short",IF(M377&gt;=11,"Carousel","Kart testi"))))</x:f>
        <x:v>Carousel</x:v>
      </x:c>
      <x:c r="U377" s="46" t="str">
        <x:v>Amaç duygusunu TOMS örneğiyle bağlamak motive edici; beyin merkezi ve performans iddiaları temkinli sunulmalı.</x:v>
      </x:c>
      <x:c r="V377" s="46" t="str">
        <x:f>IF(Q377&lt;=3,"Kaynak kontrolü şart",IF(Q377=4,"Kaynak kontrolü önerilir","Standart doğrulama"))</x:f>
        <x:v>Kaynak kontrolü şart</x:v>
      </x:c>
    </x:row>
    <x:row r="378" ht="24" customHeight="1">
      <x:c r="A378" s="48" t="n">
        <x:f>COUNTIF($R$2:$R$751,"&gt;"&amp;R378)+COUNTIF($R$2:R378,R378)</x:f>
        <x:v>377</x:v>
      </x:c>
      <x:c r="B378" s="48" t="n">
        <x:v>1586</x:v>
      </x:c>
      <x:c r="C378" s="46" t="str">
        <x:v>Zaman kısıtlı beslenme — sadece yeme penceresini daraltmak</x:v>
      </x:c>
      <x:c r="D378" s="34" t="str">
        <x:v>Sağlık</x:v>
      </x:c>
      <x:c r="E378" s="34" t="str">
        <x:v>Sağlık</x:v>
      </x:c>
      <x:c r="F378" s="34" t="str">
        <x:v>Sirkadyen Kod</x:v>
      </x:c>
      <x:c r="G378" s="34" t="str">
        <x:v>Satchin Panda</x:v>
      </x:c>
      <x:c r="H378" s="50" t="str">
        <x:v>1</x:v>
      </x:c>
      <x:c r="I378" s="50" t="str">
        <x:v>Temel</x:v>
      </x:c>
      <x:c r="J378" s="51" t="n">
        <x:v>12</x:v>
      </x:c>
      <x:c r="K378" s="51" t="n">
        <x:v>6</x:v>
      </x:c>
      <x:c r="L378" s="51" t="n">
        <x:v>12</x:v>
      </x:c>
      <x:c r="M378" s="51" t="n">
        <x:v>14</x:v>
      </x:c>
      <x:c r="N378" s="51" t="n">
        <x:v>8</x:v>
      </x:c>
      <x:c r="O378" s="51" t="n">
        <x:v>6</x:v>
      </x:c>
      <x:c r="P378" s="51" t="n">
        <x:v>15</x:v>
      </x:c>
      <x:c r="Q378" s="51" t="n">
        <x:v>3</x:v>
      </x:c>
      <x:c r="R378" s="52" t="n">
        <x:f>SUM(J378:Q378)</x:f>
        <x:v>76</x:v>
      </x:c>
      <x:c r="S378" s="50" t="str">
        <x:f>IF(R378&gt;='Rubrik'!$B$17,"Öncelikli video",IF(R378&gt;='Rubrik'!$B$18,"Video kuyruğu",IF(R378&gt;='Rubrik'!$B$19,"Revize et",IF(R378&gt;='Rubrik'!$B$20,"Kartla test","Düşük öncelik"))))</x:f>
        <x:v>Kartla test</x:v>
      </x:c>
      <x:c r="T378" s="50" t="str">
        <x:f>IF(AND(R378&gt;=85,P378&gt;=16,M378&gt;=12,L378&gt;=12),"Reel + Carousel",IF(AND(R378&gt;=85,P378&gt;=16,N378&gt;=8),"Soru odaklı Reel",IF(AND(R378&gt;=85,P378&gt;=16),"Reel / Short",IF(M378&gt;=11,"Carousel","Kart testi"))))</x:f>
        <x:v>Carousel</x:v>
      </x:c>
      <x:c r="U378" s="46" t="str">
        <x:v>Yeme penceresi fare deneyinden günlük rutine bağlanıyor; insan sonuçları ve sınırlar açıkça ayrılmalı.</x:v>
      </x:c>
      <x:c r="V378" s="46" t="str">
        <x:f>IF(Q378&lt;=3,"Kaynak kontrolü şart",IF(Q378=4,"Kaynak kontrolü önerilir","Standart doğrulama"))</x:f>
        <x:v>Kaynak kontrolü şart</x:v>
      </x:c>
    </x:row>
    <x:row r="379" ht="24" customHeight="1">
      <x:c r="A379" s="48" t="n">
        <x:f>COUNTIF($R$2:$R$751,"&gt;"&amp;R379)+COUNTIF($R$2:R379,R379)</x:f>
        <x:v>378</x:v>
      </x:c>
      <x:c r="B379" s="48" t="n">
        <x:v>1604</x:v>
      </x:c>
      <x:c r="C379" s="46" t="str">
        <x:v>Soğuk duş ve buz banyosu — stresin ters çevrilmesi</x:v>
      </x:c>
      <x:c r="D379" s="34" t="str">
        <x:v>Sağlık</x:v>
      </x:c>
      <x:c r="E379" s="34" t="str">
        <x:v>Sağlık</x:v>
      </x:c>
      <x:c r="F379" s="34" t="str">
        <x:v>Soğuk Yöntem</x:v>
      </x:c>
      <x:c r="G379" s="34" t="str">
        <x:v>Wim Hof</x:v>
      </x:c>
      <x:c r="H379" s="50" t="str">
        <x:v>1</x:v>
      </x:c>
      <x:c r="I379" s="50" t="str">
        <x:v>Temel</x:v>
      </x:c>
      <x:c r="J379" s="51" t="n">
        <x:v>12</x:v>
      </x:c>
      <x:c r="K379" s="51" t="n">
        <x:v>7</x:v>
      </x:c>
      <x:c r="L379" s="51" t="n">
        <x:v>12</x:v>
      </x:c>
      <x:c r="M379" s="51" t="n">
        <x:v>14</x:v>
      </x:c>
      <x:c r="N379" s="51" t="n">
        <x:v>8</x:v>
      </x:c>
      <x:c r="O379" s="51" t="n">
        <x:v>6</x:v>
      </x:c>
      <x:c r="P379" s="51" t="n">
        <x:v>15</x:v>
      </x:c>
      <x:c r="Q379" s="51" t="n">
        <x:v>2</x:v>
      </x:c>
      <x:c r="R379" s="52" t="n">
        <x:f>SUM(J379:Q379)</x:f>
        <x:v>76</x:v>
      </x:c>
      <x:c r="S379" s="50" t="str">
        <x:f>IF(R379&gt;='Rubrik'!$B$17,"Öncelikli video",IF(R379&gt;='Rubrik'!$B$18,"Video kuyruğu",IF(R379&gt;='Rubrik'!$B$19,"Revize et",IF(R379&gt;='Rubrik'!$B$20,"Kartla test","Düşük öncelik"))))</x:f>
        <x:v>Kartla test</x:v>
      </x:c>
      <x:c r="T379" s="50" t="str">
        <x:f>IF(AND(R379&gt;=85,P379&gt;=16,M379&gt;=12,L379&gt;=12),"Reel + Carousel",IF(AND(R379&gt;=85,P379&gt;=16,N379&gt;=8),"Soru odaklı Reel",IF(AND(R379&gt;=85,P379&gt;=16),"Reel / Short",IF(M379&gt;=11,"Carousel","Kart testi"))))</x:f>
        <x:v>Carousel</x:v>
      </x:c>
      <x:c r="U379" s="46" t="str">
        <x:v>Soğuk duş meydan okuması davranışa dönük ve paylaşılabilir; geniş bağışıklık vaatleri güveni azaltıyor.</x:v>
      </x:c>
      <x:c r="V379" s="46" t="str">
        <x:f>IF(Q379&lt;=3,"Kaynak kontrolü şart",IF(Q379=4,"Kaynak kontrolü önerilir","Standart doğrulama"))</x:f>
        <x:v>Kaynak kontrolü şart</x:v>
      </x:c>
    </x:row>
    <x:row r="380" ht="24" customHeight="1">
      <x:c r="A380" s="48" t="n">
        <x:f>COUNTIF($R$2:$R$751,"&gt;"&amp;R380)+COUNTIF($R$2:R380,R380)</x:f>
        <x:v>379</x:v>
      </x:c>
      <x:c r="B380" s="48" t="n">
        <x:v>1072</x:v>
      </x:c>
      <x:c r="C380" s="46" t="str">
        <x:v>J.K. Rowling'in otel odası sırrı</x:v>
      </x:c>
      <x:c r="D380" s="34" t="str">
        <x:v>Verimlilik</x:v>
      </x:c>
      <x:c r="E380" s="34" t="str">
        <x:v>Verimlilik</x:v>
      </x:c>
      <x:c r="F380" s="34" t="str">
        <x:v>Derin Çalışma</x:v>
      </x:c>
      <x:c r="G380" s="34" t="str">
        <x:v>Cal Newport</x:v>
      </x:c>
      <x:c r="H380" s="50" t="str">
        <x:v>1</x:v>
      </x:c>
      <x:c r="I380" s="50" t="str">
        <x:v>Temel</x:v>
      </x:c>
      <x:c r="J380" s="51" t="n">
        <x:v>14</x:v>
      </x:c>
      <x:c r="K380" s="51" t="n">
        <x:v>7</x:v>
      </x:c>
      <x:c r="L380" s="51" t="n">
        <x:v>11</x:v>
      </x:c>
      <x:c r="M380" s="51" t="n">
        <x:v>11</x:v>
      </x:c>
      <x:c r="N380" s="51" t="n">
        <x:v>8</x:v>
      </x:c>
      <x:c r="O380" s="51" t="n">
        <x:v>7</x:v>
      </x:c>
      <x:c r="P380" s="51" t="n">
        <x:v>15</x:v>
      </x:c>
      <x:c r="Q380" s="51" t="n">
        <x:v>3</x:v>
      </x:c>
      <x:c r="R380" s="52" t="n">
        <x:f>SUM(J380:Q380)</x:f>
        <x:v>76</x:v>
      </x:c>
      <x:c r="S380" s="50" t="str">
        <x:f>IF(R380&gt;='Rubrik'!$B$17,"Öncelikli video",IF(R380&gt;='Rubrik'!$B$18,"Video kuyruğu",IF(R380&gt;='Rubrik'!$B$19,"Revize et",IF(R380&gt;='Rubrik'!$B$20,"Kartla test","Düşük öncelik"))))</x:f>
        <x:v>Kartla test</x:v>
      </x:c>
      <x:c r="T380" s="50" t="str">
        <x:f>IF(AND(R380&gt;=85,P380&gt;=16,M380&gt;=12,L380&gt;=12),"Reel + Carousel",IF(AND(R380&gt;=85,P380&gt;=16,N380&gt;=8),"Soru odaklı Reel",IF(AND(R380&gt;=85,P380&gt;=16),"Reel / Short",IF(M380&gt;=11,"Carousel","Kart testi"))))</x:f>
        <x:v>Carousel</x:v>
      </x:c>
      <x:c r="U380" s="46" t="str">
        <x:v>Rowling ve otel odası sinematik, tanınır ve paylaşılır; bazı çalışma ayrıntıları teyit edilmeli.</x:v>
      </x:c>
      <x:c r="V380" s="46" t="str">
        <x:f>IF(Q380&lt;=3,"Kaynak kontrolü şart",IF(Q380=4,"Kaynak kontrolü önerilir","Standart doğrulama"))</x:f>
        <x:v>Kaynak kontrolü şart</x:v>
      </x:c>
    </x:row>
    <x:row r="381" ht="24" customHeight="1">
      <x:c r="A381" s="48" t="n">
        <x:f>COUNTIF($R$2:$R$751,"&gt;"&amp;R381)+COUNTIF($R$2:R381,R381)</x:f>
        <x:v>380</x:v>
      </x:c>
      <x:c r="B381" s="48" t="n">
        <x:v>1251</x:v>
      </x:c>
      <x:c r="C381" s="46" t="str">
        <x:v>Zenginliğin gerçek tanımı</x:v>
      </x:c>
      <x:c r="D381" s="34" t="str">
        <x:v>Finans</x:v>
      </x:c>
      <x:c r="E381" s="34" t="str">
        <x:v>Finans</x:v>
      </x:c>
      <x:c r="F381" s="34" t="str">
        <x:v>Money: Master the Game</x:v>
      </x:c>
      <x:c r="G381" s="34" t="str">
        <x:v>Tony Robbins</x:v>
      </x:c>
      <x:c r="H381" s="50" t="str">
        <x:v>1</x:v>
      </x:c>
      <x:c r="I381" s="50" t="str">
        <x:v>Temel</x:v>
      </x:c>
      <x:c r="J381" s="51" t="n">
        <x:v>12</x:v>
      </x:c>
      <x:c r="K381" s="51" t="n">
        <x:v>6</x:v>
      </x:c>
      <x:c r="L381" s="51" t="n">
        <x:v>11</x:v>
      </x:c>
      <x:c r="M381" s="51" t="n">
        <x:v>14</x:v>
      </x:c>
      <x:c r="N381" s="51" t="n">
        <x:v>8</x:v>
      </x:c>
      <x:c r="O381" s="51" t="n">
        <x:v>6</x:v>
      </x:c>
      <x:c r="P381" s="51" t="n">
        <x:v>15</x:v>
      </x:c>
      <x:c r="Q381" s="51" t="n">
        <x:v>4</x:v>
      </x:c>
      <x:c r="R381" s="52" t="n">
        <x:f>SUM(J381:Q381)</x:f>
        <x:v>76</x:v>
      </x:c>
      <x:c r="S381" s="50" t="str">
        <x:f>IF(R381&gt;='Rubrik'!$B$17,"Öncelikli video",IF(R381&gt;='Rubrik'!$B$18,"Video kuyruğu",IF(R381&gt;='Rubrik'!$B$19,"Revize et",IF(R381&gt;='Rubrik'!$B$20,"Kartla test","Düşük öncelik"))))</x:f>
        <x:v>Kartla test</x:v>
      </x:c>
      <x:c r="T381" s="50" t="str">
        <x:f>IF(AND(R381&gt;=85,P381&gt;=16,M381&gt;=12,L381&gt;=12),"Reel + Carousel",IF(AND(R381&gt;=85,P381&gt;=16,N381&gt;=8),"Soru odaklı Reel",IF(AND(R381&gt;=85,P381&gt;=16),"Reel / Short",IF(M381&gt;=11,"Carousel","Kart testi"))))</x:f>
        <x:v>Carousel</x:v>
      </x:c>
      <x:c r="U381" s="46" t="str">
        <x:v>Zenginliği kişisel bir eşiğe indiren çerçeve son derece kaydedilebilir, fakat hikâye gerilimi sınırlı.</x:v>
      </x:c>
      <x:c r="V381" s="46" t="str">
        <x:f>IF(Q381&lt;=3,"Kaynak kontrolü şart",IF(Q381=4,"Kaynak kontrolü önerilir","Standart doğrulama"))</x:f>
        <x:v>Kaynak kontrolü önerilir</x:v>
      </x:c>
    </x:row>
    <x:row r="382" ht="24" customHeight="1">
      <x:c r="A382" s="48" t="n">
        <x:f>COUNTIF($R$2:$R$751,"&gt;"&amp;R382)+COUNTIF($R$2:R382,R382)</x:f>
        <x:v>381</x:v>
      </x:c>
      <x:c r="B382" s="48" t="n">
        <x:v>1275</x:v>
      </x:c>
      <x:c r="C382" s="46" t="str">
        <x:v>Son adım etkisi ve bitiş gücü</x:v>
      </x:c>
      <x:c r="D382" s="34" t="str">
        <x:v>Verimlilik</x:v>
      </x:c>
      <x:c r="E382" s="34" t="str">
        <x:v>Verimlilik</x:v>
      </x:c>
      <x:c r="F382" s="34" t="str">
        <x:v>Saatlerin Efendisi</x:v>
      </x:c>
      <x:c r="G382" s="34" t="str">
        <x:v>Daniel Pink</x:v>
      </x:c>
      <x:c r="H382" s="50" t="str">
        <x:v>1</x:v>
      </x:c>
      <x:c r="I382" s="50" t="str">
        <x:v>Temel</x:v>
      </x:c>
      <x:c r="J382" s="51" t="n">
        <x:v>13</x:v>
      </x:c>
      <x:c r="K382" s="51" t="n">
        <x:v>6</x:v>
      </x:c>
      <x:c r="L382" s="51" t="n">
        <x:v>11</x:v>
      </x:c>
      <x:c r="M382" s="51" t="n">
        <x:v>12</x:v>
      </x:c>
      <x:c r="N382" s="51" t="n">
        <x:v>8</x:v>
      </x:c>
      <x:c r="O382" s="51" t="n">
        <x:v>7</x:v>
      </x:c>
      <x:c r="P382" s="51" t="n">
        <x:v>15</x:v>
      </x:c>
      <x:c r="Q382" s="51" t="n">
        <x:v>4</x:v>
      </x:c>
      <x:c r="R382" s="52" t="n">
        <x:f>SUM(J382:Q382)</x:f>
        <x:v>76</x:v>
      </x:c>
      <x:c r="S382" s="50" t="str">
        <x:f>IF(R382&gt;='Rubrik'!$B$17,"Öncelikli video",IF(R382&gt;='Rubrik'!$B$18,"Video kuyruğu",IF(R382&gt;='Rubrik'!$B$19,"Revize et",IF(R382&gt;='Rubrik'!$B$20,"Kartla test","Düşük öncelik"))))</x:f>
        <x:v>Kartla test</x:v>
      </x:c>
      <x:c r="T382" s="50" t="str">
        <x:f>IF(AND(R382&gt;=85,P382&gt;=16,M382&gt;=12,L382&gt;=12),"Reel + Carousel",IF(AND(R382&gt;=85,P382&gt;=16,N382&gt;=8),"Soru odaklı Reel",IF(AND(R382&gt;=85,P382&gt;=16),"Reel / Short",IF(M382&gt;=11,"Carousel","Kart testi"))))</x:f>
        <x:v>Carousel</x:v>
      </x:c>
      <x:c r="U382" s="46" t="str">
        <x:v>29 yaş maraton verisi merak uyandırıyor ve yapay bitiş çizgisi somut, kaydedilebilir bir yöntem veriyor.</x:v>
      </x:c>
      <x:c r="V382" s="46" t="str">
        <x:f>IF(Q382&lt;=3,"Kaynak kontrolü şart",IF(Q382=4,"Kaynak kontrolü önerilir","Standart doğrulama"))</x:f>
        <x:v>Kaynak kontrolü önerilir</x:v>
      </x:c>
    </x:row>
    <x:row r="383" ht="24" customHeight="1">
      <x:c r="A383" s="48" t="n">
        <x:f>COUNTIF($R$2:$R$751,"&gt;"&amp;R383)+COUNTIF($R$2:R383,R383)</x:f>
        <x:v>382</x:v>
      </x:c>
      <x:c r="B383" s="48" t="n">
        <x:v>1287</x:v>
      </x:c>
      <x:c r="C383" s="46" t="str">
        <x:v>Sessizliğin içindeki bilgelik</x:v>
      </x:c>
      <x:c r="D383" s="34" t="str">
        <x:v>Felsefe</x:v>
      </x:c>
      <x:c r="E383" s="34" t="str">
        <x:v>Felsefe</x:v>
      </x:c>
      <x:c r="F383" s="34" t="str">
        <x:v>İnsan Nasıl Düşünür</x:v>
      </x:c>
      <x:c r="G383" s="34" t="str">
        <x:v>James Allen</x:v>
      </x:c>
      <x:c r="H383" s="50" t="str">
        <x:v>1</x:v>
      </x:c>
      <x:c r="I383" s="50" t="str">
        <x:v>Temel</x:v>
      </x:c>
      <x:c r="J383" s="51" t="n">
        <x:v>12</x:v>
      </x:c>
      <x:c r="K383" s="51" t="n">
        <x:v>7</x:v>
      </x:c>
      <x:c r="L383" s="51" t="n">
        <x:v>11</x:v>
      </x:c>
      <x:c r="M383" s="51" t="n">
        <x:v>12</x:v>
      </x:c>
      <x:c r="N383" s="51" t="n">
        <x:v>9</x:v>
      </x:c>
      <x:c r="O383" s="51" t="n">
        <x:v>7</x:v>
      </x:c>
      <x:c r="P383" s="51" t="n">
        <x:v>15</x:v>
      </x:c>
      <x:c r="Q383" s="51" t="n">
        <x:v>3</x:v>
      </x:c>
      <x:c r="R383" s="52" t="n">
        <x:f>SUM(J383:Q383)</x:f>
        <x:v>76</x:v>
      </x:c>
      <x:c r="S383" s="50" t="str">
        <x:f>IF(R383&gt;='Rubrik'!$B$17,"Öncelikli video",IF(R383&gt;='Rubrik'!$B$18,"Video kuyruğu",IF(R383&gt;='Rubrik'!$B$19,"Revize et",IF(R383&gt;='Rubrik'!$B$20,"Kartla test","Düşük öncelik"))))</x:f>
        <x:v>Kartla test</x:v>
      </x:c>
      <x:c r="T383" s="50" t="str">
        <x:f>IF(AND(R383&gt;=85,P383&gt;=16,M383&gt;=12,L383&gt;=12),"Reel + Carousel",IF(AND(R383&gt;=85,P383&gt;=16,N383&gt;=8),"Soru odaklı Reel",IF(AND(R383&gt;=85,P383&gt;=16),"Reel / Short",IF(M383&gt;=11,"Carousel","Kart testi"))))</x:f>
        <x:v>Carousel</x:v>
      </x:c>
      <x:c r="U383" s="46" t="str">
        <x:v>Sessizlik önerisi düşük eşikli ve içe dönük; tarihsel örnekler ile nöroloji bağı gereğinden kesin kuruluyor.</x:v>
      </x:c>
      <x:c r="V383" s="46" t="str">
        <x:f>IF(Q383&lt;=3,"Kaynak kontrolü şart",IF(Q383=4,"Kaynak kontrolü önerilir","Standart doğrulama"))</x:f>
        <x:v>Kaynak kontrolü şart</x:v>
      </x:c>
    </x:row>
    <x:row r="384" ht="24" customHeight="1">
      <x:c r="A384" s="48" t="n">
        <x:f>COUNTIF($R$2:$R$751,"&gt;"&amp;R384)+COUNTIF($R$2:R384,R384)</x:f>
        <x:v>383</x:v>
      </x:c>
      <x:c r="B384" s="48" t="n">
        <x:v>1337</x:v>
      </x:c>
      <x:c r="C384" s="46" t="str">
        <x:v>Rahat ve rahatsız beden — temel çizgi</x:v>
      </x:c>
      <x:c r="D384" s="34" t="str">
        <x:v>İletişim</x:v>
      </x:c>
      <x:c r="E384" s="34" t="str">
        <x:v>İletişim</x:v>
      </x:c>
      <x:c r="F384" s="34" t="str">
        <x:v>Beden Dili</x:v>
      </x:c>
      <x:c r="G384" s="34" t="str">
        <x:v>Joe Navarro</x:v>
      </x:c>
      <x:c r="H384" s="50" t="str">
        <x:v>1</x:v>
      </x:c>
      <x:c r="I384" s="50" t="str">
        <x:v>Temel</x:v>
      </x:c>
      <x:c r="J384" s="51" t="n">
        <x:v>12</x:v>
      </x:c>
      <x:c r="K384" s="51" t="n">
        <x:v>6</x:v>
      </x:c>
      <x:c r="L384" s="51" t="n">
        <x:v>11</x:v>
      </x:c>
      <x:c r="M384" s="51" t="n">
        <x:v>12</x:v>
      </x:c>
      <x:c r="N384" s="51" t="n">
        <x:v>9</x:v>
      </x:c>
      <x:c r="O384" s="51" t="n">
        <x:v>7</x:v>
      </x:c>
      <x:c r="P384" s="51" t="n">
        <x:v>15</x:v>
      </x:c>
      <x:c r="Q384" s="51" t="n">
        <x:v>4</x:v>
      </x:c>
      <x:c r="R384" s="52" t="n">
        <x:f>SUM(J384:Q384)</x:f>
        <x:v>76</x:v>
      </x:c>
      <x:c r="S384" s="50" t="str">
        <x:f>IF(R384&gt;='Rubrik'!$B$17,"Öncelikli video",IF(R384&gt;='Rubrik'!$B$18,"Video kuyruğu",IF(R384&gt;='Rubrik'!$B$19,"Revize et",IF(R384&gt;='Rubrik'!$B$20,"Kartla test","Düşük öncelik"))))</x:f>
        <x:v>Kartla test</x:v>
      </x:c>
      <x:c r="T384" s="50" t="str">
        <x:f>IF(AND(R384&gt;=85,P384&gt;=16,M384&gt;=12,L384&gt;=12),"Reel + Carousel",IF(AND(R384&gt;=85,P384&gt;=16,N384&gt;=8),"Soru odaklı Reel",IF(AND(R384&gt;=85,P384&gt;=16),"Reel / Short",IF(M384&gt;=11,"Carousel","Kart testi"))))</x:f>
        <x:v>Carousel</x:v>
      </x:c>
      <x:c r="U384" s="46" t="str">
        <x:v>Kalıp işaretler yerine kişisel temel çizgi önerisi dengeli, uygulanabilir ve yanlış okumayı azaltıyor.</x:v>
      </x:c>
      <x:c r="V384" s="46" t="str">
        <x:f>IF(Q384&lt;=3,"Kaynak kontrolü şart",IF(Q384=4,"Kaynak kontrolü önerilir","Standart doğrulama"))</x:f>
        <x:v>Kaynak kontrolü önerilir</x:v>
      </x:c>
    </x:row>
    <x:row r="385" ht="24" customHeight="1">
      <x:c r="A385" s="48" t="n">
        <x:f>COUNTIF($R$2:$R$751,"&gt;"&amp;R385)+COUNTIF($R$2:R385,R385)</x:f>
        <x:v>384</x:v>
      </x:c>
      <x:c r="B385" s="48" t="n">
        <x:v>1344</x:v>
      </x:c>
      <x:c r="C385" s="46" t="str">
        <x:v>Egonun sesi ve gözlemci</x:v>
      </x:c>
      <x:c r="D385" s="34" t="str">
        <x:v>Psikoloji</x:v>
      </x:c>
      <x:c r="E385" s="34" t="str">
        <x:v>Farkındalık</x:v>
      </x:c>
      <x:c r="F385" s="34" t="str">
        <x:v>Meditasyon</x:v>
      </x:c>
      <x:c r="G385" s="34" t="str">
        <x:v>Dan Harris</x:v>
      </x:c>
      <x:c r="H385" s="50" t="str">
        <x:v>1</x:v>
      </x:c>
      <x:c r="I385" s="50" t="str">
        <x:v>Temel</x:v>
      </x:c>
      <x:c r="J385" s="51" t="n">
        <x:v>12</x:v>
      </x:c>
      <x:c r="K385" s="51" t="n">
        <x:v>7</x:v>
      </x:c>
      <x:c r="L385" s="51" t="n">
        <x:v>11</x:v>
      </x:c>
      <x:c r="M385" s="51" t="n">
        <x:v>11</x:v>
      </x:c>
      <x:c r="N385" s="51" t="n">
        <x:v>10</x:v>
      </x:c>
      <x:c r="O385" s="51" t="n">
        <x:v>7</x:v>
      </x:c>
      <x:c r="P385" s="51" t="n">
        <x:v>15</x:v>
      </x:c>
      <x:c r="Q385" s="51" t="n">
        <x:v>3</x:v>
      </x:c>
      <x:c r="R385" s="52" t="n">
        <x:f>SUM(J385:Q385)</x:f>
        <x:v>76</x:v>
      </x:c>
      <x:c r="S385" s="50" t="str">
        <x:f>IF(R385&gt;='Rubrik'!$B$17,"Öncelikli video",IF(R385&gt;='Rubrik'!$B$18,"Video kuyruğu",IF(R385&gt;='Rubrik'!$B$19,"Revize et",IF(R385&gt;='Rubrik'!$B$20,"Kartla test","Düşük öncelik"))))</x:f>
        <x:v>Kartla test</x:v>
      </x:c>
      <x:c r="T385" s="50" t="str">
        <x:f>IF(AND(R385&gt;=85,P385&gt;=16,M385&gt;=12,L385&gt;=12),"Reel + Carousel",IF(AND(R385&gt;=85,P385&gt;=16,N385&gt;=8),"Soru odaklı Reel",IF(AND(R385&gt;=85,P385&gt;=16),"Reel / Short",IF(M385&gt;=11,"Carousel","Kart testi"))))</x:f>
        <x:v>Carousel</x:v>
      </x:c>
      <x:c r="U385" s="46" t="str">
        <x:v>İç ses ile gözlemci ayrımı çok ilişkilendirilebilir; felsefi sonuç gerçeklik iddiası gibi sunulmamalı.</x:v>
      </x:c>
      <x:c r="V385" s="46" t="str">
        <x:f>IF(Q385&lt;=3,"Kaynak kontrolü şart",IF(Q385=4,"Kaynak kontrolü önerilir","Standart doğrulama"))</x:f>
        <x:v>Kaynak kontrolü şart</x:v>
      </x:c>
    </x:row>
    <x:row r="386" ht="24" customHeight="1">
      <x:c r="A386" s="48" t="n">
        <x:f>COUNTIF($R$2:$R$751,"&gt;"&amp;R386)+COUNTIF($R$2:R386,R386)</x:f>
        <x:v>385</x:v>
      </x:c>
      <x:c r="B386" s="48" t="n">
        <x:v>1352</x:v>
      </x:c>
      <x:c r="C386" s="46" t="str">
        <x:v>1-3-5 kuralı ve günlük odak</x:v>
      </x:c>
      <x:c r="D386" s="34" t="str">
        <x:v>Sağlık</x:v>
      </x:c>
      <x:c r="E386" s="34" t="str">
        <x:v>Alışkanlıklar</x:v>
      </x:c>
      <x:c r="F386" s="34" t="str">
        <x:v>Bir Sonraki Seviye</x:v>
      </x:c>
      <x:c r="G386" s="34" t="str">
        <x:v>Robin Sharma</x:v>
      </x:c>
      <x:c r="H386" s="50" t="str">
        <x:v>1</x:v>
      </x:c>
      <x:c r="I386" s="50" t="str">
        <x:v>Temel</x:v>
      </x:c>
      <x:c r="J386" s="51" t="n">
        <x:v>12</x:v>
      </x:c>
      <x:c r="K386" s="51" t="n">
        <x:v>6</x:v>
      </x:c>
      <x:c r="L386" s="51" t="n">
        <x:v>11</x:v>
      </x:c>
      <x:c r="M386" s="51" t="n">
        <x:v>14</x:v>
      </x:c>
      <x:c r="N386" s="51" t="n">
        <x:v>9</x:v>
      </x:c>
      <x:c r="O386" s="51" t="n">
        <x:v>7</x:v>
      </x:c>
      <x:c r="P386" s="51" t="n">
        <x:v>15</x:v>
      </x:c>
      <x:c r="Q386" s="51" t="n">
        <x:v>2</x:v>
      </x:c>
      <x:c r="R386" s="52" t="n">
        <x:f>SUM(J386:Q386)</x:f>
        <x:v>76</x:v>
      </x:c>
      <x:c r="S386" s="50" t="str">
        <x:f>IF(R386&gt;='Rubrik'!$B$17,"Öncelikli video",IF(R386&gt;='Rubrik'!$B$18,"Video kuyruğu",IF(R386&gt;='Rubrik'!$B$19,"Revize et",IF(R386&gt;='Rubrik'!$B$20,"Kartla test","Düşük öncelik"))))</x:f>
        <x:v>Kartla test</x:v>
      </x:c>
      <x:c r="T386" s="50" t="str">
        <x:f>IF(AND(R386&gt;=85,P386&gt;=16,M386&gt;=12,L386&gt;=12),"Reel + Carousel",IF(AND(R386&gt;=85,P386&gt;=16,N386&gt;=8),"Soru odaklı Reel",IF(AND(R386&gt;=85,P386&gt;=16),"Reel / Short",IF(M386&gt;=11,"Carousel","Kart testi"))))</x:f>
        <x:v>Carousel</x:v>
      </x:c>
      <x:c r="U386" s="46" t="str">
        <x:v>1-3-5 listesi kolay uygulanır ve kaydedilir; “en verimli liderler” gözlemi ile atıf kaynaklandırılmamış.</x:v>
      </x:c>
      <x:c r="V386" s="46" t="str">
        <x:f>IF(Q386&lt;=3,"Kaynak kontrolü şart",IF(Q386=4,"Kaynak kontrolü önerilir","Standart doğrulama"))</x:f>
        <x:v>Kaynak kontrolü şart</x:v>
      </x:c>
    </x:row>
    <x:row r="387" ht="24" customHeight="1">
      <x:c r="A387" s="48" t="n">
        <x:f>COUNTIF($R$2:$R$751,"&gt;"&amp;R387)+COUNTIF($R$2:R387,R387)</x:f>
        <x:v>386</x:v>
      </x:c>
      <x:c r="B387" s="48" t="n">
        <x:v>1419</x:v>
      </x:c>
      <x:c r="C387" s="46" t="str">
        <x:v>Stratejik tuval ve görsel strateji</x:v>
      </x:c>
      <x:c r="D387" s="34" t="str">
        <x:v>Liderlik</x:v>
      </x:c>
      <x:c r="E387" s="34" t="str">
        <x:v>Strateji</x:v>
      </x:c>
      <x:c r="F387" s="34" t="str">
        <x:v>Mavi Okyanus Stratejisi</x:v>
      </x:c>
      <x:c r="G387" s="34" t="str">
        <x:v>W. Chan Kim</x:v>
      </x:c>
      <x:c r="H387" s="50" t="str">
        <x:v>1</x:v>
      </x:c>
      <x:c r="I387" s="50" t="str">
        <x:v>Temel</x:v>
      </x:c>
      <x:c r="J387" s="51" t="n">
        <x:v>12</x:v>
      </x:c>
      <x:c r="K387" s="51" t="n">
        <x:v>6</x:v>
      </x:c>
      <x:c r="L387" s="51" t="n">
        <x:v>11</x:v>
      </x:c>
      <x:c r="M387" s="51" t="n">
        <x:v>13</x:v>
      </x:c>
      <x:c r="N387" s="51" t="n">
        <x:v>9</x:v>
      </x:c>
      <x:c r="O387" s="51" t="n">
        <x:v>7</x:v>
      </x:c>
      <x:c r="P387" s="51" t="n">
        <x:v>15</x:v>
      </x:c>
      <x:c r="Q387" s="51" t="n">
        <x:v>3</x:v>
      </x:c>
      <x:c r="R387" s="52" t="n">
        <x:f>SUM(J387:Q387)</x:f>
        <x:v>76</x:v>
      </x:c>
      <x:c r="S387" s="50" t="str">
        <x:f>IF(R387&gt;='Rubrik'!$B$17,"Öncelikli video",IF(R387&gt;='Rubrik'!$B$18,"Video kuyruğu",IF(R387&gt;='Rubrik'!$B$19,"Revize et",IF(R387&gt;='Rubrik'!$B$20,"Kartla test","Düşük öncelik"))))</x:f>
        <x:v>Kartla test</x:v>
      </x:c>
      <x:c r="T387" s="50" t="str">
        <x:f>IF(AND(R387&gt;=85,P387&gt;=16,M387&gt;=12,L387&gt;=12),"Reel + Carousel",IF(AND(R387&gt;=85,P387&gt;=16,N387&gt;=8),"Soru odaklı Reel",IF(AND(R387&gt;=85,P387&gt;=16),"Reel / Short",IF(M387&gt;=11,"Carousel","Kart testi"))))</x:f>
        <x:v>Carousel</x:v>
      </x:c>
      <x:c r="U387" s="46" t="str">
        <x:v>Rakip eğrilerini çizmek somut bir strateji aracı; Southwest örneği daha dikkatli tarihsel bağlama ihtiyaç duyuyor.</x:v>
      </x:c>
      <x:c r="V387" s="46" t="str">
        <x:f>IF(Q387&lt;=3,"Kaynak kontrolü şart",IF(Q387=4,"Kaynak kontrolü önerilir","Standart doğrulama"))</x:f>
        <x:v>Kaynak kontrolü şart</x:v>
      </x:c>
    </x:row>
    <x:row r="388" ht="24" customHeight="1">
      <x:c r="A388" s="48" t="n">
        <x:f>COUNTIF($R$2:$R$751,"&gt;"&amp;R388)+COUNTIF($R$2:R388,R388)</x:f>
        <x:v>387</x:v>
      </x:c>
      <x:c r="B388" s="48" t="n">
        <x:v>1423</x:v>
      </x:c>
      <x:c r="C388" s="46" t="str">
        <x:v>Nereye gidersen git, orada ol</x:v>
      </x:c>
      <x:c r="D388" s="34" t="str">
        <x:v>Psikoloji</x:v>
      </x:c>
      <x:c r="E388" s="34" t="str">
        <x:v>Farkındalık</x:v>
      </x:c>
      <x:c r="F388" s="34" t="str">
        <x:v>Mindfulness</x:v>
      </x:c>
      <x:c r="G388" s="34" t="str">
        <x:v>Jon Kabat-Zinn</x:v>
      </x:c>
      <x:c r="H388" s="50" t="str">
        <x:v>1</x:v>
      </x:c>
      <x:c r="I388" s="50" t="str">
        <x:v>Temel</x:v>
      </x:c>
      <x:c r="J388" s="51" t="n">
        <x:v>12</x:v>
      </x:c>
      <x:c r="K388" s="51" t="n">
        <x:v>7</x:v>
      </x:c>
      <x:c r="L388" s="51" t="n">
        <x:v>11</x:v>
      </x:c>
      <x:c r="M388" s="51" t="n">
        <x:v>11</x:v>
      </x:c>
      <x:c r="N388" s="51" t="n">
        <x:v>9</x:v>
      </x:c>
      <x:c r="O388" s="51" t="n">
        <x:v>7</x:v>
      </x:c>
      <x:c r="P388" s="51" t="n">
        <x:v>15</x:v>
      </x:c>
      <x:c r="Q388" s="51" t="n">
        <x:v>4</x:v>
      </x:c>
      <x:c r="R388" s="52" t="n">
        <x:f>SUM(J388:Q388)</x:f>
        <x:v>76</x:v>
      </x:c>
      <x:c r="S388" s="50" t="str">
        <x:f>IF(R388&gt;='Rubrik'!$B$17,"Öncelikli video",IF(R388&gt;='Rubrik'!$B$18,"Video kuyruğu",IF(R388&gt;='Rubrik'!$B$19,"Revize et",IF(R388&gt;='Rubrik'!$B$20,"Kartla test","Düşük öncelik"))))</x:f>
        <x:v>Kartla test</x:v>
      </x:c>
      <x:c r="T388" s="50" t="str">
        <x:f>IF(AND(R388&gt;=85,P388&gt;=16,M388&gt;=12,L388&gt;=12),"Reel + Carousel",IF(AND(R388&gt;=85,P388&gt;=16,N388&gt;=8),"Soru odaklı Reel",IF(AND(R388&gt;=85,P388&gt;=16),"Reel / Short",IF(M388&gt;=11,"Carousel","Kart testi"))))</x:f>
        <x:v>Carousel</x:v>
      </x:c>
      <x:c r="U388" s="46" t="str">
        <x:v>Beden burada, zihin başka yerde açılışı tanıdık ve düşündürücü; yüzde 47 verisi bağlama oturuyor.</x:v>
      </x:c>
      <x:c r="V388" s="46" t="str">
        <x:f>IF(Q388&lt;=3,"Kaynak kontrolü şart",IF(Q388=4,"Kaynak kontrolü önerilir","Standart doğrulama"))</x:f>
        <x:v>Kaynak kontrolü önerilir</x:v>
      </x:c>
    </x:row>
    <x:row r="389" ht="24" customHeight="1">
      <x:c r="A389" s="48" t="n">
        <x:f>COUNTIF($R$2:$R$751,"&gt;"&amp;R389)+COUNTIF($R$2:R389,R389)</x:f>
        <x:v>388</x:v>
      </x:c>
      <x:c r="B389" s="48" t="n">
        <x:v>1373</x:v>
      </x:c>
      <x:c r="C389" s="46" t="str">
        <x:v>Kategori sırasının önemi</x:v>
      </x:c>
      <x:c r="D389" s="34" t="str">
        <x:v>Felsefe</x:v>
      </x:c>
      <x:c r="E389" s="34" t="str">
        <x:v>Yaşam</x:v>
      </x:c>
      <x:c r="F389" s="34" t="str">
        <x:v>The Life-Changing Magic of Tidying Up</x:v>
      </x:c>
      <x:c r="G389" s="34" t="str">
        <x:v>Marie Kondo</x:v>
      </x:c>
      <x:c r="H389" s="50" t="str">
        <x:v>1</x:v>
      </x:c>
      <x:c r="I389" s="50" t="str">
        <x:v>Temel</x:v>
      </x:c>
      <x:c r="J389" s="51" t="n">
        <x:v>12</x:v>
      </x:c>
      <x:c r="K389" s="51" t="n">
        <x:v>6</x:v>
      </x:c>
      <x:c r="L389" s="51" t="n">
        <x:v>10</x:v>
      </x:c>
      <x:c r="M389" s="51" t="n">
        <x:v>14</x:v>
      </x:c>
      <x:c r="N389" s="51" t="n">
        <x:v>8</x:v>
      </x:c>
      <x:c r="O389" s="51" t="n">
        <x:v>7</x:v>
      </x:c>
      <x:c r="P389" s="51" t="n">
        <x:v>15</x:v>
      </x:c>
      <x:c r="Q389" s="51" t="n">
        <x:v>4</x:v>
      </x:c>
      <x:c r="R389" s="52" t="n">
        <x:f>SUM(J389:Q389)</x:f>
        <x:v>76</x:v>
      </x:c>
      <x:c r="S389" s="50" t="str">
        <x:f>IF(R389&gt;='Rubrik'!$B$17,"Öncelikli video",IF(R389&gt;='Rubrik'!$B$18,"Video kuyruğu",IF(R389&gt;='Rubrik'!$B$19,"Revize et",IF(R389&gt;='Rubrik'!$B$20,"Kartla test","Düşük öncelik"))))</x:f>
        <x:v>Kartla test</x:v>
      </x:c>
      <x:c r="T389" s="50" t="str">
        <x:f>IF(AND(R389&gt;=85,P389&gt;=16,M389&gt;=12,L389&gt;=12),"Reel + Carousel",IF(AND(R389&gt;=85,P389&gt;=16,N389&gt;=8),"Soru odaklı Reel",IF(AND(R389&gt;=85,P389&gt;=16),"Reel / Short",IF(M389&gt;=11,"Carousel","Kart testi"))))</x:f>
        <x:v>Carousel</x:v>
      </x:c>
      <x:c r="U389" s="46" t="str">
        <x:v>Kıyafetten anılara kategori sırası çok pratik ve kaydedilebilir; dramatik dönüşü daha sınırlı.</x:v>
      </x:c>
      <x:c r="V389" s="46" t="str">
        <x:f>IF(Q389&lt;=3,"Kaynak kontrolü şart",IF(Q389=4,"Kaynak kontrolü önerilir","Standart doğrulama"))</x:f>
        <x:v>Kaynak kontrolü önerilir</x:v>
      </x:c>
    </x:row>
    <x:row r="390" ht="24" customHeight="1">
      <x:c r="A390" s="48" t="n">
        <x:f>COUNTIF($R$2:$R$751,"&gt;"&amp;R390)+COUNTIF($R$2:R390,R390)</x:f>
        <x:v>389</x:v>
      </x:c>
      <x:c r="B390" s="48" t="n">
        <x:v>1492</x:v>
      </x:c>
      <x:c r="C390" s="46" t="str">
        <x:v>Depresyonun dokuz nedeni</x:v>
      </x:c>
      <x:c r="D390" s="34" t="str">
        <x:v>Psikoloji</x:v>
      </x:c>
      <x:c r="E390" s="34" t="str">
        <x:v>Psikoloji</x:v>
      </x:c>
      <x:c r="F390" s="34" t="str">
        <x:v>Kayıp Bağlantılar</x:v>
      </x:c>
      <x:c r="G390" s="34" t="str">
        <x:v>Johann Hari</x:v>
      </x:c>
      <x:c r="H390" s="50" t="str">
        <x:v>1</x:v>
      </x:c>
      <x:c r="I390" s="50" t="str">
        <x:v>Temel</x:v>
      </x:c>
      <x:c r="J390" s="51" t="n">
        <x:v>12</x:v>
      </x:c>
      <x:c r="K390" s="51" t="n">
        <x:v>8</x:v>
      </x:c>
      <x:c r="L390" s="51" t="n">
        <x:v>12</x:v>
      </x:c>
      <x:c r="M390" s="51" t="n">
        <x:v>14</x:v>
      </x:c>
      <x:c r="N390" s="51" t="n">
        <x:v>8</x:v>
      </x:c>
      <x:c r="O390" s="51" t="n">
        <x:v>6</x:v>
      </x:c>
      <x:c r="P390" s="51" t="n">
        <x:v>14</x:v>
      </x:c>
      <x:c r="Q390" s="51" t="n">
        <x:v>2</x:v>
      </x:c>
      <x:c r="R390" s="52" t="n">
        <x:f>SUM(J390:Q390)</x:f>
        <x:v>76</x:v>
      </x:c>
      <x:c r="S390" s="50" t="str">
        <x:f>IF(R390&gt;='Rubrik'!$B$17,"Öncelikli video",IF(R390&gt;='Rubrik'!$B$18,"Video kuyruğu",IF(R390&gt;='Rubrik'!$B$19,"Revize et",IF(R390&gt;='Rubrik'!$B$20,"Kartla test","Düşük öncelik"))))</x:f>
        <x:v>Kartla test</x:v>
      </x:c>
      <x:c r="T390" s="50" t="str">
        <x:f>IF(AND(R390&gt;=85,P390&gt;=16,M390&gt;=12,L390&gt;=12),"Reel + Carousel",IF(AND(R390&gt;=85,P390&gt;=16,N390&gt;=8),"Soru odaklı Reel",IF(AND(R390&gt;=85,P390&gt;=16),"Reel / Short",IF(M390&gt;=11,"Carousel","Kart testi"))))</x:f>
        <x:v>Carousel</x:v>
      </x:c>
      <x:c r="U390" s="46" t="str">
        <x:v>Depresyonun dokuz nedeni yalnızlığı görünür kılıyor ve kaydetmelik; klinik genellemeler dikkatle çerçevelenmeli.</x:v>
      </x:c>
      <x:c r="V390" s="46" t="str">
        <x:f>IF(Q390&lt;=3,"Kaynak kontrolü şart",IF(Q390=4,"Kaynak kontrolü önerilir","Standart doğrulama"))</x:f>
        <x:v>Kaynak kontrolü şart</x:v>
      </x:c>
    </x:row>
    <x:row r="391" ht="24" customHeight="1">
      <x:c r="A391" s="48" t="n">
        <x:f>COUNTIF($R$2:$R$751,"&gt;"&amp;R391)+COUNTIF($R$2:R391,R391)</x:f>
        <x:v>390</x:v>
      </x:c>
      <x:c r="B391" s="48" t="n">
        <x:v>1502</x:v>
      </x:c>
      <x:c r="C391" s="46" t="str">
        <x:v>Gerçek korku ile endişe arasındaki fark</x:v>
      </x:c>
      <x:c r="D391" s="34" t="str">
        <x:v>Tarih</x:v>
      </x:c>
      <x:c r="E391" s="34" t="str">
        <x:v>Güvenlik</x:v>
      </x:c>
      <x:c r="F391" s="34" t="str">
        <x:v>Korkudan Öğrenmek</x:v>
      </x:c>
      <x:c r="G391" s="34" t="str">
        <x:v>Gavin de Becker</x:v>
      </x:c>
      <x:c r="H391" s="50" t="str">
        <x:v>1</x:v>
      </x:c>
      <x:c r="I391" s="50" t="str">
        <x:v>Temel</x:v>
      </x:c>
      <x:c r="J391" s="51" t="n">
        <x:v>11</x:v>
      </x:c>
      <x:c r="K391" s="51" t="n">
        <x:v>7</x:v>
      </x:c>
      <x:c r="L391" s="51" t="n">
        <x:v>12</x:v>
      </x:c>
      <x:c r="M391" s="51" t="n">
        <x:v>14</x:v>
      </x:c>
      <x:c r="N391" s="51" t="n">
        <x:v>8</x:v>
      </x:c>
      <x:c r="O391" s="51" t="n">
        <x:v>6</x:v>
      </x:c>
      <x:c r="P391" s="51" t="n">
        <x:v>14</x:v>
      </x:c>
      <x:c r="Q391" s="51" t="n">
        <x:v>4</x:v>
      </x:c>
      <x:c r="R391" s="52" t="n">
        <x:f>SUM(J391:Q391)</x:f>
        <x:v>76</x:v>
      </x:c>
      <x:c r="S391" s="50" t="str">
        <x:f>IF(R391&gt;='Rubrik'!$B$17,"Öncelikli video",IF(R391&gt;='Rubrik'!$B$18,"Video kuyruğu",IF(R391&gt;='Rubrik'!$B$19,"Revize et",IF(R391&gt;='Rubrik'!$B$20,"Kartla test","Düşük öncelik"))))</x:f>
        <x:v>Kartla test</x:v>
      </x:c>
      <x:c r="T391" s="50" t="str">
        <x:f>IF(AND(R391&gt;=85,P391&gt;=16,M391&gt;=12,L391&gt;=12),"Reel + Carousel",IF(AND(R391&gt;=85,P391&gt;=16,N391&gt;=8),"Soru odaklı Reel",IF(AND(R391&gt;=85,P391&gt;=16),"Reel / Short",IF(M391&gt;=11,"Carousel","Kart testi"))))</x:f>
        <x:v>Carousel</x:v>
      </x:c>
      <x:c r="U391" s="46" t="str">
        <x:v>Korku ile endişeyi ayırmak rahatlatıcı ve uygulanabilir; beden sinyali sorusu kaydetme isteği yaratır.</x:v>
      </x:c>
      <x:c r="V391" s="46" t="str">
        <x:f>IF(Q391&lt;=3,"Kaynak kontrolü şart",IF(Q391=4,"Kaynak kontrolü önerilir","Standart doğrulama"))</x:f>
        <x:v>Kaynak kontrolü önerilir</x:v>
      </x:c>
    </x:row>
    <x:row r="392" ht="24" customHeight="1">
      <x:c r="A392" s="48" t="n">
        <x:f>COUNTIF($R$2:$R$751,"&gt;"&amp;R392)+COUNTIF($R$2:R392,R392)</x:f>
        <x:v>391</x:v>
      </x:c>
      <x:c r="B392" s="48" t="n">
        <x:v>1569</x:v>
      </x:c>
      <x:c r="C392" s="46" t="str">
        <x:v>Yetenek yuvaları — neden bazı küçük yerler büyük yetenkler üretiyor</x:v>
      </x:c>
      <x:c r="D392" s="34" t="str">
        <x:v>Liderlik</x:v>
      </x:c>
      <x:c r="E392" s="34" t="str">
        <x:v>Başarı</x:v>
      </x:c>
      <x:c r="F392" s="34" t="str">
        <x:v>Yetenek Kodu</x:v>
      </x:c>
      <x:c r="G392" s="34" t="str">
        <x:v>Daniel Coyle</x:v>
      </x:c>
      <x:c r="H392" s="50" t="str">
        <x:v>1</x:v>
      </x:c>
      <x:c r="I392" s="50" t="str">
        <x:v>Temel</x:v>
      </x:c>
      <x:c r="J392" s="51" t="n">
        <x:v>12</x:v>
      </x:c>
      <x:c r="K392" s="51" t="n">
        <x:v>7</x:v>
      </x:c>
      <x:c r="L392" s="51" t="n">
        <x:v>12</x:v>
      </x:c>
      <x:c r="M392" s="51" t="n">
        <x:v>13</x:v>
      </x:c>
      <x:c r="N392" s="51" t="n">
        <x:v>8</x:v>
      </x:c>
      <x:c r="O392" s="51" t="n">
        <x:v>6</x:v>
      </x:c>
      <x:c r="P392" s="51" t="n">
        <x:v>14</x:v>
      </x:c>
      <x:c r="Q392" s="51" t="n">
        <x:v>4</x:v>
      </x:c>
      <x:c r="R392" s="52" t="n">
        <x:f>SUM(J392:Q392)</x:f>
        <x:v>76</x:v>
      </x:c>
      <x:c r="S392" s="50" t="str">
        <x:f>IF(R392&gt;='Rubrik'!$B$17,"Öncelikli video",IF(R392&gt;='Rubrik'!$B$18,"Video kuyruğu",IF(R392&gt;='Rubrik'!$B$19,"Revize et",IF(R392&gt;='Rubrik'!$B$20,"Kartla test","Düşük öncelik"))))</x:f>
        <x:v>Kartla test</x:v>
      </x:c>
      <x:c r="T392" s="50" t="str">
        <x:f>IF(AND(R392&gt;=85,P392&gt;=16,M392&gt;=12,L392&gt;=12),"Reel + Carousel",IF(AND(R392&gt;=85,P392&gt;=16,N392&gt;=8),"Soru odaklı Reel",IF(AND(R392&gt;=85,P392&gt;=16),"Reel / Short",IF(M392&gt;=11,"Carousel","Kart testi"))))</x:f>
        <x:v>Carousel</x:v>
      </x:c>
      <x:c r="U392" s="46" t="str">
        <x:v>Yetenek sıcak noktaları çevrenin gücünü gösteriyor; farklı şehir örnekleri görsel bir seri oluşturabilir.</x:v>
      </x:c>
      <x:c r="V392" s="46" t="str">
        <x:f>IF(Q392&lt;=3,"Kaynak kontrolü şart",IF(Q392=4,"Kaynak kontrolü önerilir","Standart doğrulama"))</x:f>
        <x:v>Kaynak kontrolü önerilir</x:v>
      </x:c>
    </x:row>
    <x:row r="393" ht="24" customHeight="1">
      <x:c r="A393" s="48" t="n">
        <x:f>COUNTIF($R$2:$R$751,"&gt;"&amp;R393)+COUNTIF($R$2:R393,R393)</x:f>
        <x:v>392</x:v>
      </x:c>
      <x:c r="B393" s="48" t="n">
        <x:v>1150</x:v>
      </x:c>
      <x:c r="C393" s="46" t="str">
        <x:v>Başarının formülü: Yetenek x Çaba²</x:v>
      </x:c>
      <x:c r="D393" s="34" t="str">
        <x:v>Büyüme</x:v>
      </x:c>
      <x:c r="E393" s="34" t="str">
        <x:v>Motivasyon</x:v>
      </x:c>
      <x:c r="F393" s="34" t="str">
        <x:v>Azim</x:v>
      </x:c>
      <x:c r="G393" s="34" t="str">
        <x:v>Angela Duckworth</x:v>
      </x:c>
      <x:c r="H393" s="50" t="str">
        <x:v>1</x:v>
      </x:c>
      <x:c r="I393" s="50" t="str">
        <x:v>Temel</x:v>
      </x:c>
      <x:c r="J393" s="51" t="n">
        <x:v>13</x:v>
      </x:c>
      <x:c r="K393" s="51" t="n">
        <x:v>7</x:v>
      </x:c>
      <x:c r="L393" s="51" t="n">
        <x:v>11</x:v>
      </x:c>
      <x:c r="M393" s="51" t="n">
        <x:v>14</x:v>
      </x:c>
      <x:c r="N393" s="51" t="n">
        <x:v>9</x:v>
      </x:c>
      <x:c r="O393" s="51" t="n">
        <x:v>6</x:v>
      </x:c>
      <x:c r="P393" s="51" t="n">
        <x:v>14</x:v>
      </x:c>
      <x:c r="Q393" s="51" t="n">
        <x:v>2</x:v>
      </x:c>
      <x:c r="R393" s="52" t="n">
        <x:f>SUM(J393:Q393)</x:f>
        <x:v>76</x:v>
      </x:c>
      <x:c r="S393" s="50" t="str">
        <x:f>IF(R393&gt;='Rubrik'!$B$17,"Öncelikli video",IF(R393&gt;='Rubrik'!$B$18,"Video kuyruğu",IF(R393&gt;='Rubrik'!$B$19,"Revize et",IF(R393&gt;='Rubrik'!$B$20,"Kartla test","Düşük öncelik"))))</x:f>
        <x:v>Kartla test</x:v>
      </x:c>
      <x:c r="T393" s="50" t="str">
        <x:f>IF(AND(R393&gt;=85,P393&gt;=16,M393&gt;=12,L393&gt;=12),"Reel + Carousel",IF(AND(R393&gt;=85,P393&gt;=16,N393&gt;=8),"Soru odaklı Reel",IF(AND(R393&gt;=85,P393&gt;=16),"Reel / Short",IF(M393&gt;=11,"Carousel","Kart testi"))))</x:f>
        <x:v>Carousel</x:v>
      </x:c>
      <x:c r="U393" s="46" t="str">
        <x:v>Çabanın iki kez sayılması çok akılda kalıcı; matematiksel formül bilimsel denklem gibi sunulmamalı.</x:v>
      </x:c>
      <x:c r="V393" s="46" t="str">
        <x:f>IF(Q393&lt;=3,"Kaynak kontrolü şart",IF(Q393=4,"Kaynak kontrolü önerilir","Standart doğrulama"))</x:f>
        <x:v>Kaynak kontrolü şart</x:v>
      </x:c>
    </x:row>
    <x:row r="394" ht="24" customHeight="1">
      <x:c r="A394" s="48" t="n">
        <x:f>COUNTIF($R$2:$R$751,"&gt;"&amp;R394)+COUNTIF($R$2:R394,R394)</x:f>
        <x:v>393</x:v>
      </x:c>
      <x:c r="B394" s="48" t="n">
        <x:v>1061</x:v>
      </x:c>
      <x:c r="C394" s="46" t="str">
        <x:v>Fotoğraf öğrencilerinin kalite vs miktar deneyi</x:v>
      </x:c>
      <x:c r="D394" s="34" t="str">
        <x:v>Sağlık</x:v>
      </x:c>
      <x:c r="E394" s="34" t="str">
        <x:v>Alışkanlıklar</x:v>
      </x:c>
      <x:c r="F394" s="34" t="str">
        <x:v>Atomic Habits</x:v>
      </x:c>
      <x:c r="G394" s="34" t="str">
        <x:v>James Clear</x:v>
      </x:c>
      <x:c r="H394" s="50" t="str">
        <x:v>1</x:v>
      </x:c>
      <x:c r="I394" s="50" t="str">
        <x:v>Temel</x:v>
      </x:c>
      <x:c r="J394" s="51" t="n">
        <x:v>14</x:v>
      </x:c>
      <x:c r="K394" s="51" t="n">
        <x:v>8</x:v>
      </x:c>
      <x:c r="L394" s="51" t="n">
        <x:v>10</x:v>
      </x:c>
      <x:c r="M394" s="51" t="n">
        <x:v>13</x:v>
      </x:c>
      <x:c r="N394" s="51" t="n">
        <x:v>8</x:v>
      </x:c>
      <x:c r="O394" s="51" t="n">
        <x:v>7</x:v>
      </x:c>
      <x:c r="P394" s="51" t="n">
        <x:v>14</x:v>
      </x:c>
      <x:c r="Q394" s="51" t="n">
        <x:v>2</x:v>
      </x:c>
      <x:c r="R394" s="52" t="n">
        <x:f>SUM(J394:Q394)</x:f>
        <x:v>76</x:v>
      </x:c>
      <x:c r="S394" s="50" t="str">
        <x:f>IF(R394&gt;='Rubrik'!$B$17,"Öncelikli video",IF(R394&gt;='Rubrik'!$B$18,"Video kuyruğu",IF(R394&gt;='Rubrik'!$B$19,"Revize et",IF(R394&gt;='Rubrik'!$B$20,"Kartla test","Düşük öncelik"))))</x:f>
        <x:v>Kartla test</x:v>
      </x:c>
      <x:c r="T394" s="50" t="str">
        <x:f>IF(AND(R394&gt;=85,P394&gt;=16,M394&gt;=12,L394&gt;=12),"Reel + Carousel",IF(AND(R394&gt;=85,P394&gt;=16,N394&gt;=8),"Soru odaklı Reel",IF(AND(R394&gt;=85,P394&gt;=16),"Reel / Short",IF(M394&gt;=11,"Carousel","Kart testi"))))</x:f>
        <x:v>Carousel</x:v>
      </x:c>
      <x:c r="U394" s="46" t="str">
        <x:v>Mükemmeliyet ile tekrar karşıtlığı çok akılda kalıcı; deney diye sunulan anekdotun kaynağı doğrulanmalı.</x:v>
      </x:c>
      <x:c r="V394" s="46" t="str">
        <x:f>IF(Q394&lt;=3,"Kaynak kontrolü şart",IF(Q394=4,"Kaynak kontrolü önerilir","Standart doğrulama"))</x:f>
        <x:v>Kaynak kontrolü şart</x:v>
      </x:c>
    </x:row>
    <x:row r="395" ht="24" customHeight="1">
      <x:c r="A395" s="48" t="n">
        <x:f>COUNTIF($R$2:$R$751,"&gt;"&amp;R395)+COUNTIF($R$2:R395,R395)</x:f>
        <x:v>394</x:v>
      </x:c>
      <x:c r="B395" s="48" t="n">
        <x:v>1149</x:v>
      </x:c>
      <x:c r="C395" s="46" t="str">
        <x:v>West Point'in 'Dayanma' testi</x:v>
      </x:c>
      <x:c r="D395" s="34" t="str">
        <x:v>Büyüme</x:v>
      </x:c>
      <x:c r="E395" s="34" t="str">
        <x:v>Motivasyon</x:v>
      </x:c>
      <x:c r="F395" s="34" t="str">
        <x:v>Azim</x:v>
      </x:c>
      <x:c r="G395" s="34" t="str">
        <x:v>Angela Duckworth</x:v>
      </x:c>
      <x:c r="H395" s="50" t="str">
        <x:v>1</x:v>
      </x:c>
      <x:c r="I395" s="50" t="str">
        <x:v>Temel</x:v>
      </x:c>
      <x:c r="J395" s="51" t="n">
        <x:v>13</x:v>
      </x:c>
      <x:c r="K395" s="51" t="n">
        <x:v>8</x:v>
      </x:c>
      <x:c r="L395" s="51" t="n">
        <x:v>10</x:v>
      </x:c>
      <x:c r="M395" s="51" t="n">
        <x:v>13</x:v>
      </x:c>
      <x:c r="N395" s="51" t="n">
        <x:v>9</x:v>
      </x:c>
      <x:c r="O395" s="51" t="n">
        <x:v>7</x:v>
      </x:c>
      <x:c r="P395" s="51" t="n">
        <x:v>14</x:v>
      </x:c>
      <x:c r="Q395" s="51" t="n">
        <x:v>2</x:v>
      </x:c>
      <x:c r="R395" s="52" t="n">
        <x:f>SUM(J395:Q395)</x:f>
        <x:v>76</x:v>
      </x:c>
      <x:c r="S395" s="50" t="str">
        <x:f>IF(R395&gt;='Rubrik'!$B$17,"Öncelikli video",IF(R395&gt;='Rubrik'!$B$18,"Video kuyruğu",IF(R395&gt;='Rubrik'!$B$19,"Revize et",IF(R395&gt;='Rubrik'!$B$20,"Kartla test","Düşük öncelik"))))</x:f>
        <x:v>Kartla test</x:v>
      </x:c>
      <x:c r="T395" s="50" t="str">
        <x:f>IF(AND(R395&gt;=85,P395&gt;=16,M395&gt;=12,L395&gt;=12),"Reel + Carousel",IF(AND(R395&gt;=85,P395&gt;=16,N395&gt;=8),"Soru odaklı Reel",IF(AND(R395&gt;=85,P395&gt;=16),"Reel / Short",IF(M395&gt;=11,"Carousel","Kart testi"))))</x:f>
        <x:v>Carousel</x:v>
      </x:c>
      <x:c r="U395" s="46" t="str">
        <x:v>Canavar Haftası yüksek gerilim sunuyor; grit sonucu değerli fakat öngörü gücü ve nedensellik nüans ister.</x:v>
      </x:c>
      <x:c r="V395" s="46" t="str">
        <x:f>IF(Q395&lt;=3,"Kaynak kontrolü şart",IF(Q395=4,"Kaynak kontrolü önerilir","Standart doğrulama"))</x:f>
        <x:v>Kaynak kontrolü şart</x:v>
      </x:c>
    </x:row>
    <x:row r="396" ht="24" customHeight="1">
      <x:c r="A396" s="48" t="n">
        <x:f>COUNTIF($R$2:$R$751,"&gt;"&amp;R396)+COUNTIF($R$2:R396,R396)</x:f>
        <x:v>395</x:v>
      </x:c>
      <x:c r="B396" s="48" t="n">
        <x:v>1165</x:v>
      </x:c>
      <x:c r="C396" s="46" t="str">
        <x:v>Bill Gates ve nadir fırsat</x:v>
      </x:c>
      <x:c r="D396" s="34" t="str">
        <x:v>Liderlik</x:v>
      </x:c>
      <x:c r="E396" s="34" t="str">
        <x:v>Başarı</x:v>
      </x:c>
      <x:c r="F396" s="34" t="str">
        <x:v>10.000 Saat Kuralı</x:v>
      </x:c>
      <x:c r="G396" s="34" t="str">
        <x:v>Malcolm Gladwell</x:v>
      </x:c>
      <x:c r="H396" s="50" t="str">
        <x:v>1</x:v>
      </x:c>
      <x:c r="I396" s="50" t="str">
        <x:v>Temel</x:v>
      </x:c>
      <x:c r="J396" s="51" t="n">
        <x:v>13</x:v>
      </x:c>
      <x:c r="K396" s="51" t="n">
        <x:v>8</x:v>
      </x:c>
      <x:c r="L396" s="51" t="n">
        <x:v>10</x:v>
      </x:c>
      <x:c r="M396" s="51" t="n">
        <x:v>12</x:v>
      </x:c>
      <x:c r="N396" s="51" t="n">
        <x:v>9</x:v>
      </x:c>
      <x:c r="O396" s="51" t="n">
        <x:v>7</x:v>
      </x:c>
      <x:c r="P396" s="51" t="n">
        <x:v>14</x:v>
      </x:c>
      <x:c r="Q396" s="51" t="n">
        <x:v>3</x:v>
      </x:c>
      <x:c r="R396" s="52" t="n">
        <x:f>SUM(J396:Q396)</x:f>
        <x:v>76</x:v>
      </x:c>
      <x:c r="S396" s="50" t="str">
        <x:f>IF(R396&gt;='Rubrik'!$B$17,"Öncelikli video",IF(R396&gt;='Rubrik'!$B$18,"Video kuyruğu",IF(R396&gt;='Rubrik'!$B$19,"Revize et",IF(R396&gt;='Rubrik'!$B$20,"Kartla test","Düşük öncelik"))))</x:f>
        <x:v>Kartla test</x:v>
      </x:c>
      <x:c r="T396" s="50" t="str">
        <x:f>IF(AND(R396&gt;=85,P396&gt;=16,M396&gt;=12,L396&gt;=12),"Reel + Carousel",IF(AND(R396&gt;=85,P396&gt;=16,N396&gt;=8),"Soru odaklı Reel",IF(AND(R396&gt;=85,P396&gt;=16),"Reel / Short",IF(M396&gt;=11,"Carousel","Kart testi"))))</x:f>
        <x:v>Carousel</x:v>
      </x:c>
      <x:c r="U396" s="46" t="str">
        <x:v>Nadir bilgisayar erişimi ile hazırlığın birleşmesi şans tartışmasını somut ve dengeli kuruyor.</x:v>
      </x:c>
      <x:c r="V396" s="46" t="str">
        <x:f>IF(Q396&lt;=3,"Kaynak kontrolü şart",IF(Q396=4,"Kaynak kontrolü önerilir","Standart doğrulama"))</x:f>
        <x:v>Kaynak kontrolü şart</x:v>
      </x:c>
    </x:row>
    <x:row r="397" ht="24" customHeight="1">
      <x:c r="A397" s="48" t="n">
        <x:f>COUNTIF($R$2:$R$751,"&gt;"&amp;R397)+COUNTIF($R$2:R397,R397)</x:f>
        <x:v>396</x:v>
      </x:c>
      <x:c r="B397" s="48" t="n">
        <x:v>1520</x:v>
      </x:c>
      <x:c r="C397" s="46" t="str">
        <x:v>Kalbi açık tutmak</x:v>
      </x:c>
      <x:c r="D397" s="34" t="str">
        <x:v>Psikoloji</x:v>
      </x:c>
      <x:c r="E397" s="34" t="str">
        <x:v>Farkındalık</x:v>
      </x:c>
      <x:c r="F397" s="34" t="str">
        <x:v>İç Yolculuk</x:v>
      </x:c>
      <x:c r="G397" s="34" t="str">
        <x:v>Michael A. Singer</x:v>
      </x:c>
      <x:c r="H397" s="50" t="str">
        <x:v>1</x:v>
      </x:c>
      <x:c r="I397" s="50" t="str">
        <x:v>Temel</x:v>
      </x:c>
      <x:c r="J397" s="51" t="n">
        <x:v>12</x:v>
      </x:c>
      <x:c r="K397" s="51" t="n">
        <x:v>8</x:v>
      </x:c>
      <x:c r="L397" s="51" t="n">
        <x:v>12</x:v>
      </x:c>
      <x:c r="M397" s="51" t="n">
        <x:v>13</x:v>
      </x:c>
      <x:c r="N397" s="51" t="n">
        <x:v>9</x:v>
      </x:c>
      <x:c r="O397" s="51" t="n">
        <x:v>6</x:v>
      </x:c>
      <x:c r="P397" s="51" t="n">
        <x:v>13</x:v>
      </x:c>
      <x:c r="Q397" s="51" t="n">
        <x:v>3</x:v>
      </x:c>
      <x:c r="R397" s="52" t="n">
        <x:f>SUM(J397:Q397)</x:f>
        <x:v>76</x:v>
      </x:c>
      <x:c r="S397" s="50" t="str">
        <x:f>IF(R397&gt;='Rubrik'!$B$17,"Öncelikli video",IF(R397&gt;='Rubrik'!$B$18,"Video kuyruğu",IF(R397&gt;='Rubrik'!$B$19,"Revize et",IF(R397&gt;='Rubrik'!$B$20,"Kartla test","Düşük öncelik"))))</x:f>
        <x:v>Kartla test</x:v>
      </x:c>
      <x:c r="T397" s="50" t="str">
        <x:f>IF(AND(R397&gt;=85,P397&gt;=16,M397&gt;=12,L397&gt;=12),"Reel + Carousel",IF(AND(R397&gt;=85,P397&gt;=16,N397&gt;=8),"Soru odaklı Reel",IF(AND(R397&gt;=85,P397&gt;=16),"Reel / Short",IF(M397&gt;=11,"Carousel","Kart testi"))))</x:f>
        <x:v>Carousel</x:v>
      </x:c>
      <x:c r="U397" s="46" t="str">
        <x:v>Donmuş yaranın kalbi kapatması duygusal ve şiirsel; soyut anlatı somut bir insan sahnesiyle güçlenir.</x:v>
      </x:c>
      <x:c r="V397" s="46" t="str">
        <x:f>IF(Q397&lt;=3,"Kaynak kontrolü şart",IF(Q397=4,"Kaynak kontrolü önerilir","Standart doğrulama"))</x:f>
        <x:v>Kaynak kontrolü şart</x:v>
      </x:c>
    </x:row>
    <x:row r="398" ht="24" customHeight="1">
      <x:c r="A398" s="48" t="n">
        <x:f>COUNTIF($R$2:$R$751,"&gt;"&amp;R398)+COUNTIF($R$2:R398,R398)</x:f>
        <x:v>397</x:v>
      </x:c>
      <x:c r="B398" s="48" t="n">
        <x:v>1544</x:v>
      </x:c>
      <x:c r="C398" s="46" t="str">
        <x:v>Taahhüt ve tutarlılık — küçük evet büyük evete zemin hazırlar</x:v>
      </x:c>
      <x:c r="D398" s="34" t="str">
        <x:v>Psikoloji</x:v>
      </x:c>
      <x:c r="E398" s="34" t="str">
        <x:v>Psikoloji</x:v>
      </x:c>
      <x:c r="F398" s="34" t="str">
        <x:v>Evet Dedirtmek</x:v>
      </x:c>
      <x:c r="G398" s="34" t="str">
        <x:v>Noah Goldstein</x:v>
      </x:c>
      <x:c r="H398" s="50" t="str">
        <x:v>1</x:v>
      </x:c>
      <x:c r="I398" s="50" t="str">
        <x:v>Temel</x:v>
      </x:c>
      <x:c r="J398" s="51" t="n">
        <x:v>12</x:v>
      </x:c>
      <x:c r="K398" s="51" t="n">
        <x:v>6</x:v>
      </x:c>
      <x:c r="L398" s="51" t="n">
        <x:v>12</x:v>
      </x:c>
      <x:c r="M398" s="51" t="n">
        <x:v>14</x:v>
      </x:c>
      <x:c r="N398" s="51" t="n">
        <x:v>8</x:v>
      </x:c>
      <x:c r="O398" s="51" t="n">
        <x:v>6</x:v>
      </x:c>
      <x:c r="P398" s="51" t="n">
        <x:v>13</x:v>
      </x:c>
      <x:c r="Q398" s="51" t="n">
        <x:v>5</x:v>
      </x:c>
      <x:c r="R398" s="52" t="n">
        <x:f>SUM(J398:Q398)</x:f>
        <x:v>76</x:v>
      </x:c>
      <x:c r="S398" s="50" t="str">
        <x:f>IF(R398&gt;='Rubrik'!$B$17,"Öncelikli video",IF(R398&gt;='Rubrik'!$B$18,"Video kuyruğu",IF(R398&gt;='Rubrik'!$B$19,"Revize et",IF(R398&gt;='Rubrik'!$B$20,"Kartla test","Düşük öncelik"))))</x:f>
        <x:v>Kartla test</x:v>
      </x:c>
      <x:c r="T398" s="50" t="str">
        <x:f>IF(AND(R398&gt;=85,P398&gt;=16,M398&gt;=12,L398&gt;=12),"Reel + Carousel",IF(AND(R398&gt;=85,P398&gt;=16,N398&gt;=8),"Soru odaklı Reel",IF(AND(R398&gt;=85,P398&gt;=16),"Reel / Short",IF(M398&gt;=11,"Carousel","Kart testi"))))</x:f>
        <x:v>Carousel</x:v>
      </x:c>
      <x:c r="U398" s="46" t="str">
        <x:v>Küçük evetin büyük taahhüde dönüşmesi hem faydalı hem tartışmalı; etik çerçeveyle güçlü kaydetmelik olur.</x:v>
      </x:c>
      <x:c r="V398" s="46" t="str">
        <x:f>IF(Q398&lt;=3,"Kaynak kontrolü şart",IF(Q398=4,"Kaynak kontrolü önerilir","Standart doğrulama"))</x:f>
        <x:v>Standart doğrulama</x:v>
      </x:c>
    </x:row>
    <x:row r="399" ht="24" customHeight="1">
      <x:c r="A399" s="48" t="n">
        <x:f>COUNTIF($R$2:$R$751,"&gt;"&amp;R399)+COUNTIF($R$2:R399,R399)</x:f>
        <x:v>398</x:v>
      </x:c>
      <x:c r="B399" s="48" t="n">
        <x:v>1575</x:v>
      </x:c>
      <x:c r="C399" s="46" t="str">
        <x:v>Piramit kararları — küçük adımlarla büyük yanlışlara doğru kayış</x:v>
      </x:c>
      <x:c r="D399" s="34" t="str">
        <x:v>Psikoloji</x:v>
      </x:c>
      <x:c r="E399" s="34" t="str">
        <x:v>Psikoloji</x:v>
      </x:c>
      <x:c r="F399" s="34" t="str">
        <x:v>Hataları Kucaklamak</x:v>
      </x:c>
      <x:c r="G399" s="34" t="str">
        <x:v>Carol Tavris</x:v>
      </x:c>
      <x:c r="H399" s="50" t="str">
        <x:v>1</x:v>
      </x:c>
      <x:c r="I399" s="50" t="str">
        <x:v>Temel</x:v>
      </x:c>
      <x:c r="J399" s="51" t="n">
        <x:v>12</x:v>
      </x:c>
      <x:c r="K399" s="51" t="n">
        <x:v>6</x:v>
      </x:c>
      <x:c r="L399" s="51" t="n">
        <x:v>12</x:v>
      </x:c>
      <x:c r="M399" s="51" t="n">
        <x:v>14</x:v>
      </x:c>
      <x:c r="N399" s="51" t="n">
        <x:v>8</x:v>
      </x:c>
      <x:c r="O399" s="51" t="n">
        <x:v>6</x:v>
      </x:c>
      <x:c r="P399" s="51" t="n">
        <x:v>13</x:v>
      </x:c>
      <x:c r="Q399" s="51" t="n">
        <x:v>5</x:v>
      </x:c>
      <x:c r="R399" s="52" t="n">
        <x:f>SUM(J399:Q399)</x:f>
        <x:v>76</x:v>
      </x:c>
      <x:c r="S399" s="50" t="str">
        <x:f>IF(R399&gt;='Rubrik'!$B$17,"Öncelikli video",IF(R399&gt;='Rubrik'!$B$18,"Video kuyruğu",IF(R399&gt;='Rubrik'!$B$19,"Revize et",IF(R399&gt;='Rubrik'!$B$20,"Kartla test","Düşük öncelik"))))</x:f>
        <x:v>Kartla test</x:v>
      </x:c>
      <x:c r="T399" s="50" t="str">
        <x:f>IF(AND(R399&gt;=85,P399&gt;=16,M399&gt;=12,L399&gt;=12),"Reel + Carousel",IF(AND(R399&gt;=85,P399&gt;=16,N399&gt;=8),"Soru odaklı Reel",IF(AND(R399&gt;=85,P399&gt;=16),"Reel / Short",IF(M399&gt;=11,"Carousel","Kart testi"))))</x:f>
        <x:v>Carousel</x:v>
      </x:c>
      <x:c r="U399" s="46" t="str">
        <x:v>Karar piramidi küçük seçimin kimliğe dönüşmesini sadeleştiriyor; kişisel kontrol listesi olarak kaydedilir.</x:v>
      </x:c>
      <x:c r="V399" s="46" t="str">
        <x:f>IF(Q399&lt;=3,"Kaynak kontrolü şart",IF(Q399=4,"Kaynak kontrolü önerilir","Standart doğrulama"))</x:f>
        <x:v>Standart doğrulama</x:v>
      </x:c>
    </x:row>
    <x:row r="400" ht="24" customHeight="1">
      <x:c r="A400" s="48" t="n">
        <x:f>COUNTIF($R$2:$R$751,"&gt;"&amp;R400)+COUNTIF($R$2:R400,R400)</x:f>
        <x:v>399</x:v>
      </x:c>
      <x:c r="B400" s="48" t="n">
        <x:v>1601</x:v>
      </x:c>
      <x:c r="C400" s="46" t="str">
        <x:v>Dakikada beş nefes — kalp ritmi ve sinir sistemi uyumu</x:v>
      </x:c>
      <x:c r="D400" s="34" t="str">
        <x:v>Sağlık</x:v>
      </x:c>
      <x:c r="E400" s="34" t="str">
        <x:v>Sağlık</x:v>
      </x:c>
      <x:c r="F400" s="34" t="str">
        <x:v>Nefes</x:v>
      </x:c>
      <x:c r="G400" s="34" t="str">
        <x:v>James Nestor</x:v>
      </x:c>
      <x:c r="H400" s="50" t="str">
        <x:v>1</x:v>
      </x:c>
      <x:c r="I400" s="50" t="str">
        <x:v>Temel</x:v>
      </x:c>
      <x:c r="J400" s="51" t="n">
        <x:v>12</x:v>
      </x:c>
      <x:c r="K400" s="51" t="n">
        <x:v>7</x:v>
      </x:c>
      <x:c r="L400" s="51" t="n">
        <x:v>12</x:v>
      </x:c>
      <x:c r="M400" s="51" t="n">
        <x:v>14</x:v>
      </x:c>
      <x:c r="N400" s="51" t="n">
        <x:v>9</x:v>
      </x:c>
      <x:c r="O400" s="51" t="n">
        <x:v>6</x:v>
      </x:c>
      <x:c r="P400" s="51" t="n">
        <x:v>13</x:v>
      </x:c>
      <x:c r="Q400" s="51" t="n">
        <x:v>3</x:v>
      </x:c>
      <x:c r="R400" s="52" t="n">
        <x:f>SUM(J400:Q400)</x:f>
        <x:v>76</x:v>
      </x:c>
      <x:c r="S400" s="50" t="str">
        <x:f>IF(R400&gt;='Rubrik'!$B$17,"Öncelikli video",IF(R400&gt;='Rubrik'!$B$18,"Video kuyruğu",IF(R400&gt;='Rubrik'!$B$19,"Revize et",IF(R400&gt;='Rubrik'!$B$20,"Kartla test","Düşük öncelik"))))</x:f>
        <x:v>Kartla test</x:v>
      </x:c>
      <x:c r="T400" s="50" t="str">
        <x:f>IF(AND(R400&gt;=85,P400&gt;=16,M400&gt;=12,L400&gt;=12),"Reel + Carousel",IF(AND(R400&gt;=85,P400&gt;=16,N400&gt;=8),"Soru odaklı Reel",IF(AND(R400&gt;=85,P400&gt;=16),"Reel / Short",IF(M400&gt;=11,"Carousel","Kart testi"))))</x:f>
        <x:v>Carousel</x:v>
      </x:c>
      <x:c r="U400" s="46" t="str">
        <x:v>Dakikada beş nefes kolay denenebilir ve kaydedilebilir; kesin sinir sistemi vaatleri yumuşatılmalı.</x:v>
      </x:c>
      <x:c r="V400" s="46" t="str">
        <x:f>IF(Q400&lt;=3,"Kaynak kontrolü şart",IF(Q400=4,"Kaynak kontrolü önerilir","Standart doğrulama"))</x:f>
        <x:v>Kaynak kontrolü şart</x:v>
      </x:c>
    </x:row>
    <x:row r="401" ht="24" customHeight="1">
      <x:c r="A401" s="48" t="n">
        <x:f>COUNTIF($R$2:$R$751,"&gt;"&amp;R401)+COUNTIF($R$2:R401,R401)</x:f>
        <x:v>400</x:v>
      </x:c>
      <x:c r="B401" s="48" t="n">
        <x:v>1616</x:v>
      </x:c>
      <x:c r="C401" s="46" t="str">
        <x:v>Acil durum fonu — beklenmedik olanı beklemek</x:v>
      </x:c>
      <x:c r="D401" s="34" t="str">
        <x:v>Finans</x:v>
      </x:c>
      <x:c r="E401" s="34" t="str">
        <x:v>Finans</x:v>
      </x:c>
      <x:c r="F401" s="34" t="str">
        <x:v>Borç Devrimi</x:v>
      </x:c>
      <x:c r="G401" s="34" t="str">
        <x:v>Dave Ramsey</x:v>
      </x:c>
      <x:c r="H401" s="50" t="str">
        <x:v>1</x:v>
      </x:c>
      <x:c r="I401" s="50" t="str">
        <x:v>Temel</x:v>
      </x:c>
      <x:c r="J401" s="51" t="n">
        <x:v>11</x:v>
      </x:c>
      <x:c r="K401" s="51" t="n">
        <x:v>6</x:v>
      </x:c>
      <x:c r="L401" s="51" t="n">
        <x:v>12</x:v>
      </x:c>
      <x:c r="M401" s="51" t="n">
        <x:v>15</x:v>
      </x:c>
      <x:c r="N401" s="51" t="n">
        <x:v>8</x:v>
      </x:c>
      <x:c r="O401" s="51" t="n">
        <x:v>6</x:v>
      </x:c>
      <x:c r="P401" s="51" t="n">
        <x:v>13</x:v>
      </x:c>
      <x:c r="Q401" s="51" t="n">
        <x:v>5</x:v>
      </x:c>
      <x:c r="R401" s="52" t="n">
        <x:f>SUM(J401:Q401)</x:f>
        <x:v>76</x:v>
      </x:c>
      <x:c r="S401" s="50" t="str">
        <x:f>IF(R401&gt;='Rubrik'!$B$17,"Öncelikli video",IF(R401&gt;='Rubrik'!$B$18,"Video kuyruğu",IF(R401&gt;='Rubrik'!$B$19,"Revize et",IF(R401&gt;='Rubrik'!$B$20,"Kartla test","Düşük öncelik"))))</x:f>
        <x:v>Kartla test</x:v>
      </x:c>
      <x:c r="T401" s="50" t="str">
        <x:f>IF(AND(R401&gt;=85,P401&gt;=16,M401&gt;=12,L401&gt;=12),"Reel + Carousel",IF(AND(R401&gt;=85,P401&gt;=16,N401&gt;=8),"Soru odaklı Reel",IF(AND(R401&gt;=85,P401&gt;=16),"Reel / Short",IF(M401&gt;=11,"Carousel","Kart testi"))))</x:f>
        <x:v>Carousel</x:v>
      </x:c>
      <x:c r="U401" s="46" t="str">
        <x:v>Acil durum fonu kaygıyı somut bir güvenlik planına çeviriyor; yüksek kaydetme değeri, orta viral duygu taşıyor.</x:v>
      </x:c>
      <x:c r="V401" s="46" t="str">
        <x:f>IF(Q401&lt;=3,"Kaynak kontrolü şart",IF(Q401=4,"Kaynak kontrolü önerilir","Standart doğrulama"))</x:f>
        <x:v>Standart doğrulama</x:v>
      </x:c>
    </x:row>
    <x:row r="402" ht="24" customHeight="1">
      <x:c r="A402" s="48" t="n">
        <x:f>COUNTIF($R$2:$R$751,"&gt;"&amp;R402)+COUNTIF($R$2:R402,R402)</x:f>
        <x:v>401</x:v>
      </x:c>
      <x:c r="B402" s="48" t="n">
        <x:v>1153</x:v>
      </x:c>
      <x:c r="C402" s="46" t="str">
        <x:v>Boş zaman ve varoluş kaygısı</x:v>
      </x:c>
      <x:c r="D402" s="34" t="str">
        <x:v>Felsefe</x:v>
      </x:c>
      <x:c r="E402" s="34" t="str">
        <x:v>Felsefe</x:v>
      </x:c>
      <x:c r="F402" s="34" t="str">
        <x:v>Büyük Soru</x:v>
      </x:c>
      <x:c r="G402" s="34" t="str">
        <x:v>Viktor Frankl</x:v>
      </x:c>
      <x:c r="H402" s="50" t="str">
        <x:v>1</x:v>
      </x:c>
      <x:c r="I402" s="50" t="str">
        <x:v>Temel</x:v>
      </x:c>
      <x:c r="J402" s="51" t="n">
        <x:v>12</x:v>
      </x:c>
      <x:c r="K402" s="51" t="n">
        <x:v>8</x:v>
      </x:c>
      <x:c r="L402" s="51" t="n">
        <x:v>10</x:v>
      </x:c>
      <x:c r="M402" s="51" t="n">
        <x:v>13</x:v>
      </x:c>
      <x:c r="N402" s="51" t="n">
        <x:v>10</x:v>
      </x:c>
      <x:c r="O402" s="51" t="n">
        <x:v>6</x:v>
      </x:c>
      <x:c r="P402" s="51" t="n">
        <x:v>13</x:v>
      </x:c>
      <x:c r="Q402" s="51" t="n">
        <x:v>4</x:v>
      </x:c>
      <x:c r="R402" s="52" t="n">
        <x:f>SUM(J402:Q402)</x:f>
        <x:v>76</x:v>
      </x:c>
      <x:c r="S402" s="50" t="str">
        <x:f>IF(R402&gt;='Rubrik'!$B$17,"Öncelikli video",IF(R402&gt;='Rubrik'!$B$18,"Video kuyruğu",IF(R402&gt;='Rubrik'!$B$19,"Revize et",IF(R402&gt;='Rubrik'!$B$20,"Kartla test","Düşük öncelik"))))</x:f>
        <x:v>Kartla test</x:v>
      </x:c>
      <x:c r="T402" s="50" t="str">
        <x:f>IF(AND(R402&gt;=85,P402&gt;=16,M402&gt;=12,L402&gt;=12),"Reel + Carousel",IF(AND(R402&gt;=85,P402&gt;=16,N402&gt;=8),"Soru odaklı Reel",IF(AND(R402&gt;=85,P402&gt;=16),"Reel / Short",IF(M402&gt;=11,"Carousel","Kart testi"))))</x:f>
        <x:v>Carousel</x:v>
      </x:c>
      <x:c r="U402" s="46" t="str">
        <x:v>Hafta sonu boşluğundan anlam arayışına geçiş yakınlık kuruyor; küçük anlam örnekleri kaydedilebilir.</x:v>
      </x:c>
      <x:c r="V402" s="46" t="str">
        <x:f>IF(Q402&lt;=3,"Kaynak kontrolü şart",IF(Q402=4,"Kaynak kontrolü önerilir","Standart doğrulama"))</x:f>
        <x:v>Kaynak kontrolü önerilir</x:v>
      </x:c>
    </x:row>
    <x:row r="403" ht="24" customHeight="1">
      <x:c r="A403" s="48" t="n">
        <x:f>COUNTIF($R$2:$R$751,"&gt;"&amp;R403)+COUNTIF($R$2:R403,R403)</x:f>
        <x:v>402</x:v>
      </x:c>
      <x:c r="B403" s="48" t="n">
        <x:v>1221</x:v>
      </x:c>
      <x:c r="C403" s="46" t="str">
        <x:v>Karşılaştırmanın tuzağı</x:v>
      </x:c>
      <x:c r="D403" s="34" t="str">
        <x:v>Psikoloji</x:v>
      </x:c>
      <x:c r="E403" s="34" t="str">
        <x:v>Mutluluk</x:v>
      </x:c>
      <x:c r="F403" s="34" t="str">
        <x:v>Şükran Günlüğü</x:v>
      </x:c>
      <x:c r="G403" s="34" t="str">
        <x:v>Janice Kaplan</x:v>
      </x:c>
      <x:c r="H403" s="50" t="str">
        <x:v>1</x:v>
      </x:c>
      <x:c r="I403" s="50" t="str">
        <x:v>Temel</x:v>
      </x:c>
      <x:c r="J403" s="51" t="n">
        <x:v>12</x:v>
      </x:c>
      <x:c r="K403" s="51" t="n">
        <x:v>8</x:v>
      </x:c>
      <x:c r="L403" s="51" t="n">
        <x:v>10</x:v>
      </x:c>
      <x:c r="M403" s="51" t="n">
        <x:v>13</x:v>
      </x:c>
      <x:c r="N403" s="51" t="n">
        <x:v>10</x:v>
      </x:c>
      <x:c r="O403" s="51" t="n">
        <x:v>6</x:v>
      </x:c>
      <x:c r="P403" s="51" t="n">
        <x:v>13</x:v>
      </x:c>
      <x:c r="Q403" s="51" t="n">
        <x:v>4</x:v>
      </x:c>
      <x:c r="R403" s="52" t="n">
        <x:f>SUM(J403:Q403)</x:f>
        <x:v>76</x:v>
      </x:c>
      <x:c r="S403" s="50" t="str">
        <x:f>IF(R403&gt;='Rubrik'!$B$17,"Öncelikli video",IF(R403&gt;='Rubrik'!$B$18,"Video kuyruğu",IF(R403&gt;='Rubrik'!$B$19,"Revize et",IF(R403&gt;='Rubrik'!$B$20,"Kartla test","Düşük öncelik"))))</x:f>
        <x:v>Kartla test</x:v>
      </x:c>
      <x:c r="T403" s="50" t="str">
        <x:f>IF(AND(R403&gt;=85,P403&gt;=16,M403&gt;=12,L403&gt;=12),"Reel + Carousel",IF(AND(R403&gt;=85,P403&gt;=16,N403&gt;=8),"Soru odaklı Reel",IF(AND(R403&gt;=85,P403&gt;=16),"Reel / Short",IF(M403&gt;=11,"Carousel","Kart testi"))))</x:f>
        <x:v>Carousel</x:v>
      </x:c>
      <x:c r="U403" s="46" t="str">
        <x:v>Karşılaştırma ile şükran karşıtlığı çok relatable; hayat değişmeden bakışın değişmesi sıcak bir dönüşüm.</x:v>
      </x:c>
      <x:c r="V403" s="46" t="str">
        <x:f>IF(Q403&lt;=3,"Kaynak kontrolü şart",IF(Q403=4,"Kaynak kontrolü önerilir","Standart doğrulama"))</x:f>
        <x:v>Kaynak kontrolü önerilir</x:v>
      </x:c>
    </x:row>
    <x:row r="404" ht="24" customHeight="1">
      <x:c r="A404" s="48" t="n">
        <x:f>COUNTIF($R$2:$R$751,"&gt;"&amp;R404)+COUNTIF($R$2:R404,R404)</x:f>
        <x:v>403</x:v>
      </x:c>
      <x:c r="B404" s="48" t="n">
        <x:v>1245</x:v>
      </x:c>
      <x:c r="C404" s="46" t="str">
        <x:v>Mutluluğun yüzde yirmi kaynağı</x:v>
      </x:c>
      <x:c r="D404" s="34" t="str">
        <x:v>Verimlilik</x:v>
      </x:c>
      <x:c r="E404" s="34" t="str">
        <x:v>Verimlilik</x:v>
      </x:c>
      <x:c r="F404" s="34" t="str">
        <x:v>Pareto İlkesi</x:v>
      </x:c>
      <x:c r="G404" s="34" t="str">
        <x:v>Richard Koch</x:v>
      </x:c>
      <x:c r="H404" s="50" t="str">
        <x:v>1</x:v>
      </x:c>
      <x:c r="I404" s="50" t="str">
        <x:v>Temel</x:v>
      </x:c>
      <x:c r="J404" s="51" t="n">
        <x:v>12</x:v>
      </x:c>
      <x:c r="K404" s="51" t="n">
        <x:v>8</x:v>
      </x:c>
      <x:c r="L404" s="51" t="n">
        <x:v>10</x:v>
      </x:c>
      <x:c r="M404" s="51" t="n">
        <x:v>14</x:v>
      </x:c>
      <x:c r="N404" s="51" t="n">
        <x:v>10</x:v>
      </x:c>
      <x:c r="O404" s="51" t="n">
        <x:v>6</x:v>
      </x:c>
      <x:c r="P404" s="51" t="n">
        <x:v>13</x:v>
      </x:c>
      <x:c r="Q404" s="51" t="n">
        <x:v>3</x:v>
      </x:c>
      <x:c r="R404" s="52" t="n">
        <x:f>SUM(J404:Q404)</x:f>
        <x:v>76</x:v>
      </x:c>
      <x:c r="S404" s="50" t="str">
        <x:f>IF(R404&gt;='Rubrik'!$B$17,"Öncelikli video",IF(R404&gt;='Rubrik'!$B$18,"Video kuyruğu",IF(R404&gt;='Rubrik'!$B$19,"Revize et",IF(R404&gt;='Rubrik'!$B$20,"Kartla test","Düşük öncelik"))))</x:f>
        <x:v>Kartla test</x:v>
      </x:c>
      <x:c r="T404" s="50" t="str">
        <x:f>IF(AND(R404&gt;=85,P404&gt;=16,M404&gt;=12,L404&gt;=12),"Reel + Carousel",IF(AND(R404&gt;=85,P404&gt;=16,N404&gt;=8),"Soru odaklı Reel",IF(AND(R404&gt;=85,P404&gt;=16),"Reel / Short",IF(M404&gt;=11,"Carousel","Kart testi"))))</x:f>
        <x:v>Carousel</x:v>
      </x:c>
      <x:c r="U404" s="46" t="str">
        <x:v>Mutluluğun az sayıdaki kaynağını bulmak kişisel ve kaydedilebilir; yüzde seksen oranı kesin veri değil.</x:v>
      </x:c>
      <x:c r="V404" s="46" t="str">
        <x:f>IF(Q404&lt;=3,"Kaynak kontrolü şart",IF(Q404=4,"Kaynak kontrolü önerilir","Standart doğrulama"))</x:f>
        <x:v>Kaynak kontrolü şart</x:v>
      </x:c>
    </x:row>
    <x:row r="405" ht="24" customHeight="1">
      <x:c r="A405" s="48" t="n">
        <x:f>COUNTIF($R$2:$R$751,"&gt;"&amp;R405)+COUNTIF($R$2:R405,R405)</x:f>
        <x:v>404</x:v>
      </x:c>
      <x:c r="B405" s="48" t="n">
        <x:v>1563</x:v>
      </x:c>
      <x:c r="C405" s="46" t="str">
        <x:v>Tam felaket — zorluğu kucaklamak</x:v>
      </x:c>
      <x:c r="D405" s="34" t="str">
        <x:v>Sağlık</x:v>
      </x:c>
      <x:c r="E405" s="34" t="str">
        <x:v>Sağlık</x:v>
      </x:c>
      <x:c r="F405" s="34" t="str">
        <x:v>Farkındalık Temelli Yaşam</x:v>
      </x:c>
      <x:c r="G405" s="34" t="str">
        <x:v>Jon Kabat-Zinn</x:v>
      </x:c>
      <x:c r="H405" s="50" t="str">
        <x:v>1</x:v>
      </x:c>
      <x:c r="I405" s="50" t="str">
        <x:v>Temel</x:v>
      </x:c>
      <x:c r="J405" s="51" t="n">
        <x:v>12</x:v>
      </x:c>
      <x:c r="K405" s="51" t="n">
        <x:v>7</x:v>
      </x:c>
      <x:c r="L405" s="51" t="n">
        <x:v>12</x:v>
      </x:c>
      <x:c r="M405" s="51" t="n">
        <x:v>13</x:v>
      </x:c>
      <x:c r="N405" s="51" t="n">
        <x:v>8</x:v>
      </x:c>
      <x:c r="O405" s="51" t="n">
        <x:v>7</x:v>
      </x:c>
      <x:c r="P405" s="51" t="n">
        <x:v>12</x:v>
      </x:c>
      <x:c r="Q405" s="51" t="n">
        <x:v>5</x:v>
      </x:c>
      <x:c r="R405" s="52" t="n">
        <x:f>SUM(J405:Q405)</x:f>
        <x:v>76</x:v>
      </x:c>
      <x:c r="S405" s="50" t="str">
        <x:f>IF(R405&gt;='Rubrik'!$B$17,"Öncelikli video",IF(R405&gt;='Rubrik'!$B$18,"Video kuyruğu",IF(R405&gt;='Rubrik'!$B$19,"Revize et",IF(R405&gt;='Rubrik'!$B$20,"Kartla test","Düşük öncelik"))))</x:f>
        <x:v>Kartla test</x:v>
      </x:c>
      <x:c r="T405" s="50" t="str">
        <x:f>IF(AND(R405&gt;=85,P405&gt;=16,M405&gt;=12,L405&gt;=12),"Reel + Carousel",IF(AND(R405&gt;=85,P405&gt;=16,N405&gt;=8),"Soru odaklı Reel",IF(AND(R405&gt;=85,P405&gt;=16),"Reel / Short",IF(M405&gt;=11,"Carousel","Kart testi"))))</x:f>
        <x:v>Carousel</x:v>
      </x:c>
      <x:c r="U405" s="46" t="str">
        <x:v>Tam felaketle yaşam sözü acıyı dışlamayan olgun bir umut verir; edebî ton paylaşımı destekler.</x:v>
      </x:c>
      <x:c r="V405" s="46" t="str">
        <x:f>IF(Q405&lt;=3,"Kaynak kontrolü şart",IF(Q405=4,"Kaynak kontrolü önerilir","Standart doğrulama"))</x:f>
        <x:v>Standart doğrulama</x:v>
      </x:c>
    </x:row>
    <x:row r="406" ht="24" customHeight="1">
      <x:c r="A406" s="48" t="n">
        <x:f>COUNTIF($R$2:$R$751,"&gt;"&amp;R406)+COUNTIF($R$2:R406,R406)</x:f>
        <x:v>405</x:v>
      </x:c>
      <x:c r="B406" s="48" t="n">
        <x:v>1570</x:v>
      </x:c>
      <x:c r="C406" s="46" t="str">
        <x:v>Güvenlik sinyalleri — beyin kültürü nasıl okuyor</x:v>
      </x:c>
      <x:c r="D406" s="34" t="str">
        <x:v>Liderlik</x:v>
      </x:c>
      <x:c r="E406" s="34" t="str">
        <x:v>Liderlik</x:v>
      </x:c>
      <x:c r="F406" s="34" t="str">
        <x:v>Kültür Kodu</x:v>
      </x:c>
      <x:c r="G406" s="34" t="str">
        <x:v>Daniel Coyle</x:v>
      </x:c>
      <x:c r="H406" s="50" t="str">
        <x:v>1</x:v>
      </x:c>
      <x:c r="I406" s="50" t="str">
        <x:v>Temel</x:v>
      </x:c>
      <x:c r="J406" s="51" t="n">
        <x:v>12</x:v>
      </x:c>
      <x:c r="K406" s="51" t="n">
        <x:v>7</x:v>
      </x:c>
      <x:c r="L406" s="51" t="n">
        <x:v>12</x:v>
      </x:c>
      <x:c r="M406" s="51" t="n">
        <x:v>14</x:v>
      </x:c>
      <x:c r="N406" s="51" t="n">
        <x:v>8</x:v>
      </x:c>
      <x:c r="O406" s="51" t="n">
        <x:v>7</x:v>
      </x:c>
      <x:c r="P406" s="51" t="n">
        <x:v>12</x:v>
      </x:c>
      <x:c r="Q406" s="51" t="n">
        <x:v>4</x:v>
      </x:c>
      <x:c r="R406" s="52" t="n">
        <x:f>SUM(J406:Q406)</x:f>
        <x:v>76</x:v>
      </x:c>
      <x:c r="S406" s="50" t="str">
        <x:f>IF(R406&gt;='Rubrik'!$B$17,"Öncelikli video",IF(R406&gt;='Rubrik'!$B$18,"Video kuyruğu",IF(R406&gt;='Rubrik'!$B$19,"Revize et",IF(R406&gt;='Rubrik'!$B$20,"Kartla test","Düşük öncelik"))))</x:f>
        <x:v>Kartla test</x:v>
      </x:c>
      <x:c r="T406" s="50" t="str">
        <x:f>IF(AND(R406&gt;=85,P406&gt;=16,M406&gt;=12,L406&gt;=12),"Reel + Carousel",IF(AND(R406&gt;=85,P406&gt;=16,N406&gt;=8),"Soru odaklı Reel",IF(AND(R406&gt;=85,P406&gt;=16),"Reel / Short",IF(M406&gt;=11,"Carousel","Kart testi"))))</x:f>
        <x:v>Carousel</x:v>
      </x:c>
      <x:c r="U406" s="46" t="str">
        <x:v>Aidiyet sinyallerinin performansı değiştirmesi önemli ve duygulu; askerî örnek bağlamla verilirse etkili.</x:v>
      </x:c>
      <x:c r="V406" s="46" t="str">
        <x:f>IF(Q406&lt;=3,"Kaynak kontrolü şart",IF(Q406=4,"Kaynak kontrolü önerilir","Standart doğrulama"))</x:f>
        <x:v>Kaynak kontrolü önerilir</x:v>
      </x:c>
    </x:row>
    <x:row r="407" ht="24" customHeight="1">
      <x:c r="A407" s="48" t="n">
        <x:f>COUNTIF($R$2:$R$751,"&gt;"&amp;R407)+COUNTIF($R$2:R407,R407)</x:f>
        <x:v>406</x:v>
      </x:c>
      <x:c r="B407" s="48" t="n">
        <x:v>1559</x:v>
      </x:c>
      <x:c r="C407" s="46" t="str">
        <x:v>Yetersizlik trансı — 'bir şeyler yanlış' hissinin kökenine inmek</x:v>
      </x:c>
      <x:c r="D407" s="34" t="str">
        <x:v>Psikoloji</x:v>
      </x:c>
      <x:c r="E407" s="34" t="str">
        <x:v>Farkındalık</x:v>
      </x:c>
      <x:c r="F407" s="34" t="str">
        <x:v>Radikal Kabul</x:v>
      </x:c>
      <x:c r="G407" s="34" t="str">
        <x:v>Tara Brach</x:v>
      </x:c>
      <x:c r="H407" s="50" t="str">
        <x:v>1</x:v>
      </x:c>
      <x:c r="I407" s="50" t="str">
        <x:v>Temel</x:v>
      </x:c>
      <x:c r="J407" s="51" t="n">
        <x:v>12</x:v>
      </x:c>
      <x:c r="K407" s="51" t="n">
        <x:v>8</x:v>
      </x:c>
      <x:c r="L407" s="51" t="n">
        <x:v>12</x:v>
      </x:c>
      <x:c r="M407" s="51" t="n">
        <x:v>14</x:v>
      </x:c>
      <x:c r="N407" s="51" t="n">
        <x:v>9</x:v>
      </x:c>
      <x:c r="O407" s="51" t="n">
        <x:v>6</x:v>
      </x:c>
      <x:c r="P407" s="51" t="n">
        <x:v>11</x:v>
      </x:c>
      <x:c r="Q407" s="51" t="n">
        <x:v>4</x:v>
      </x:c>
      <x:c r="R407" s="52" t="n">
        <x:f>SUM(J407:Q407)</x:f>
        <x:v>76</x:v>
      </x:c>
      <x:c r="S407" s="50" t="str">
        <x:f>IF(R407&gt;='Rubrik'!$B$17,"Öncelikli video",IF(R407&gt;='Rubrik'!$B$18,"Video kuyruğu",IF(R407&gt;='Rubrik'!$B$19,"Revize et",IF(R407&gt;='Rubrik'!$B$20,"Kartla test","Düşük öncelik"))))</x:f>
        <x:v>Kartla test</x:v>
      </x:c>
      <x:c r="T407" s="50" t="str">
        <x:f>IF(AND(R407&gt;=85,P407&gt;=16,M407&gt;=12,L407&gt;=12),"Reel + Carousel",IF(AND(R407&gt;=85,P407&gt;=16,N407&gt;=8),"Soru odaklı Reel",IF(AND(R407&gt;=85,P407&gt;=16),"Reel / Short",IF(M407&gt;=11,"Carousel","Kart testi"))))</x:f>
        <x:v>Carousel</x:v>
      </x:c>
      <x:c r="U407" s="46" t="str">
        <x:v>Yetersizlik transı birçok kişide duygusal yankı bulur ve kaydedilir; soyut anlatı video dinamizmini azaltıyor.</x:v>
      </x:c>
      <x:c r="V407" s="46" t="str">
        <x:f>IF(Q407&lt;=3,"Kaynak kontrolü şart",IF(Q407=4,"Kaynak kontrolü önerilir","Standart doğrulama"))</x:f>
        <x:v>Kaynak kontrolü önerilir</x:v>
      </x:c>
    </x:row>
    <x:row r="408" ht="24" customHeight="1">
      <x:c r="A408" s="48" t="n">
        <x:f>COUNTIF($R$2:$R$751,"&gt;"&amp;R408)+COUNTIF($R$2:R408,R408)</x:f>
        <x:v>407</x:v>
      </x:c>
      <x:c r="B408" s="48" t="n">
        <x:v>1767</x:v>
      </x:c>
      <x:c r="C408" s="46" t="str">
        <x:v>Sallanan Tabaktan Nobel’e</x:v>
      </x:c>
      <x:c r="D408" s="34" t="str">
        <x:v>Psikoloji</x:v>
      </x:c>
      <x:c r="E408" s="34" t="str">
        <x:v>Psikoloji</x:v>
      </x:c>
      <x:c r="F408" s="34" t="str">
        <x:v>Surely You're Joking, Mr. Feynman!</x:v>
      </x:c>
      <x:c r="G408" s="34" t="str">
        <x:v>Richard P. Feynman ve Ralph Leighton</x:v>
      </x:c>
      <x:c r="H408" s="50" t="str">
        <x:v>2</x:v>
      </x:c>
      <x:c r="I408" s="50" t="str">
        <x:v>Zengin</x:v>
      </x:c>
      <x:c r="J408" s="51" t="n">
        <x:v>12</x:v>
      </x:c>
      <x:c r="K408" s="51" t="n">
        <x:v>6</x:v>
      </x:c>
      <x:c r="L408" s="51" t="n">
        <x:v>13</x:v>
      </x:c>
      <x:c r="M408" s="51" t="n">
        <x:v>8</x:v>
      </x:c>
      <x:c r="N408" s="51" t="n">
        <x:v>8</x:v>
      </x:c>
      <x:c r="O408" s="51" t="n">
        <x:v>7</x:v>
      </x:c>
      <x:c r="P408" s="51" t="n">
        <x:v>17</x:v>
      </x:c>
      <x:c r="Q408" s="51" t="n">
        <x:v>4</x:v>
      </x:c>
      <x:c r="R408" s="52" t="n">
        <x:f>SUM(J408:Q408)</x:f>
        <x:v>75</x:v>
      </x:c>
      <x:c r="S408" s="50" t="str">
        <x:f>IF(R408&gt;='Rubrik'!$B$17,"Öncelikli video",IF(R408&gt;='Rubrik'!$B$18,"Video kuyruğu",IF(R408&gt;='Rubrik'!$B$19,"Revize et",IF(R408&gt;='Rubrik'!$B$20,"Kartla test","Düşük öncelik"))))</x:f>
        <x:v>Kartla test</x:v>
      </x:c>
      <x:c r="T408" s="50" t="str">
        <x:f>IF(AND(R408&gt;=85,P408&gt;=16,M408&gt;=12,L408&gt;=12),"Reel + Carousel",IF(AND(R408&gt;=85,P408&gt;=16,N408&gt;=8),"Soru odaklı Reel",IF(AND(R408&gt;=85,P408&gt;=16),"Reel / Short",IF(M408&gt;=11,"Carousel","Kart testi"))))</x:f>
        <x:v>Kart testi</x:v>
      </x:c>
      <x:c r="U408" s="46" t="str">
        <x:v>Merak sorusu ve karşıtlık ilk saniye etkisini güçlendiriyor; olay örgüsü geliştirilmeli.</x:v>
      </x:c>
      <x:c r="V408" s="46" t="str">
        <x:f>IF(Q408&lt;=3,"Kaynak kontrolü şart",IF(Q408=4,"Kaynak kontrolü önerilir","Standart doğrulama"))</x:f>
        <x:v>Kaynak kontrolü önerilir</x:v>
      </x:c>
    </x:row>
    <x:row r="409" ht="24" customHeight="1">
      <x:c r="A409" s="48" t="n">
        <x:f>COUNTIF($R$2:$R$751,"&gt;"&amp;R409)+COUNTIF($R$2:R409,R409)</x:f>
        <x:v>408</x:v>
      </x:c>
      <x:c r="B409" s="48" t="n">
        <x:v>1772</x:v>
      </x:c>
      <x:c r="C409" s="46" t="str">
        <x:v>Kararı Sen mi Veriyorsun?</x:v>
      </x:c>
      <x:c r="D409" s="34" t="str">
        <x:v>Finans</x:v>
      </x:c>
      <x:c r="E409" s="34" t="str">
        <x:v>İş &amp; Girişim</x:v>
      </x:c>
      <x:c r="F409" s="34" t="str">
        <x:v>Incognito</x:v>
      </x:c>
      <x:c r="G409" s="34" t="str">
        <x:v>David Eagleman</x:v>
      </x:c>
      <x:c r="H409" s="50" t="str">
        <x:v>2</x:v>
      </x:c>
      <x:c r="I409" s="50" t="str">
        <x:v>Zengin</x:v>
      </x:c>
      <x:c r="J409" s="51" t="n">
        <x:v>12</x:v>
      </x:c>
      <x:c r="K409" s="51" t="n">
        <x:v>4</x:v>
      </x:c>
      <x:c r="L409" s="51" t="n">
        <x:v>13</x:v>
      </x:c>
      <x:c r="M409" s="51" t="n">
        <x:v>11</x:v>
      </x:c>
      <x:c r="N409" s="51" t="n">
        <x:v>8</x:v>
      </x:c>
      <x:c r="O409" s="51" t="n">
        <x:v>7</x:v>
      </x:c>
      <x:c r="P409" s="51" t="n">
        <x:v>17</x:v>
      </x:c>
      <x:c r="Q409" s="51" t="n">
        <x:v>3</x:v>
      </x:c>
      <x:c r="R409" s="52" t="n">
        <x:f>SUM(J409:Q409)</x:f>
        <x:v>75</x:v>
      </x:c>
      <x:c r="S409" s="50" t="str">
        <x:f>IF(R409&gt;='Rubrik'!$B$17,"Öncelikli video",IF(R409&gt;='Rubrik'!$B$18,"Video kuyruğu",IF(R409&gt;='Rubrik'!$B$19,"Revize et",IF(R409&gt;='Rubrik'!$B$20,"Kartla test","Düşük öncelik"))))</x:f>
        <x:v>Kartla test</x:v>
      </x:c>
      <x:c r="T409" s="50" t="str">
        <x:f>IF(AND(R409&gt;=85,P409&gt;=16,M409&gt;=12,L409&gt;=12),"Reel + Carousel",IF(AND(R409&gt;=85,P409&gt;=16,N409&gt;=8),"Soru odaklı Reel",IF(AND(R409&gt;=85,P409&gt;=16),"Reel / Short",IF(M409&gt;=11,"Carousel","Kart testi"))))</x:f>
        <x:v>Carousel</x:v>
      </x:c>
      <x:c r="U409" s="46" t="str">
        <x:v>Uygulanabilir çerçeve, hikâyeyi geri dönüp kaydetmeye değer kılıyor; olay örgüsü geliştirilmeli.</x:v>
      </x:c>
      <x:c r="V409" s="46" t="str">
        <x:f>IF(Q409&lt;=3,"Kaynak kontrolü şart",IF(Q409=4,"Kaynak kontrolü önerilir","Standart doğrulama"))</x:f>
        <x:v>Kaynak kontrolü şart</x:v>
      </x:c>
    </x:row>
    <x:row r="410" ht="24" customHeight="1">
      <x:c r="A410" s="48" t="n">
        <x:f>COUNTIF($R$2:$R$751,"&gt;"&amp;R410)+COUNTIF($R$2:R410,R410)</x:f>
        <x:v>409</x:v>
      </x:c>
      <x:c r="B410" s="48" t="n">
        <x:v>1796</x:v>
      </x:c>
      <x:c r="C410" s="46" t="str">
        <x:v>Telefonda Acele Yok</x:v>
      </x:c>
      <x:c r="D410" s="34" t="str">
        <x:v>Liderlik</x:v>
      </x:c>
      <x:c r="E410" s="34" t="str">
        <x:v>Liderlik</x:v>
      </x:c>
      <x:c r="F410" s="34" t="str">
        <x:v>Delivering Happiness</x:v>
      </x:c>
      <x:c r="G410" s="34" t="str">
        <x:v>Tony Hsieh</x:v>
      </x:c>
      <x:c r="H410" s="50" t="str">
        <x:v>C1</x:v>
      </x:c>
      <x:c r="I410" s="50" t="str">
        <x:v>Zengin</x:v>
      </x:c>
      <x:c r="J410" s="51" t="n">
        <x:v>11</x:v>
      </x:c>
      <x:c r="K410" s="51" t="n">
        <x:v>6</x:v>
      </x:c>
      <x:c r="L410" s="51" t="n">
        <x:v>13</x:v>
      </x:c>
      <x:c r="M410" s="51" t="n">
        <x:v>10</x:v>
      </x:c>
      <x:c r="N410" s="51" t="n">
        <x:v>7</x:v>
      </x:c>
      <x:c r="O410" s="51" t="n">
        <x:v>7</x:v>
      </x:c>
      <x:c r="P410" s="51" t="n">
        <x:v>17</x:v>
      </x:c>
      <x:c r="Q410" s="51" t="n">
        <x:v>4</x:v>
      </x:c>
      <x:c r="R410" s="52" t="n">
        <x:f>SUM(J410:Q410)</x:f>
        <x:v>75</x:v>
      </x:c>
      <x:c r="S410" s="50" t="str">
        <x:f>IF(R410&gt;='Rubrik'!$B$17,"Öncelikli video",IF(R410&gt;='Rubrik'!$B$18,"Video kuyruğu",IF(R410&gt;='Rubrik'!$B$19,"Revize et",IF(R410&gt;='Rubrik'!$B$20,"Kartla test","Düşük öncelik"))))</x:f>
        <x:v>Kartla test</x:v>
      </x:c>
      <x:c r="T410" s="50" t="str">
        <x:f>IF(AND(R410&gt;=85,P410&gt;=16,M410&gt;=12,L410&gt;=12),"Reel + Carousel",IF(AND(R410&gt;=85,P410&gt;=16,N410&gt;=8),"Soru odaklı Reel",IF(AND(R410&gt;=85,P410&gt;=16),"Reel / Short",IF(M410&gt;=11,"Carousel","Kart testi"))))</x:f>
        <x:v>Kart testi</x:v>
      </x:c>
      <x:c r="U410" s="46" t="str">
        <x:v>Uygulanabilir çerçeve, hikâyeyi geri dönüp kaydetmeye değer kılıyor; olay örgüsü geliştirilmeli.</x:v>
      </x:c>
      <x:c r="V410" s="46" t="str">
        <x:f>IF(Q410&lt;=3,"Kaynak kontrolü şart",IF(Q410=4,"Kaynak kontrolü önerilir","Standart doğrulama"))</x:f>
        <x:v>Kaynak kontrolü önerilir</x:v>
      </x:c>
    </x:row>
    <x:row r="411" ht="24" customHeight="1">
      <x:c r="A411" s="48" t="n">
        <x:f>COUNTIF($R$2:$R$751,"&gt;"&amp;R411)+COUNTIF($R$2:R411,R411)</x:f>
        <x:v>410</x:v>
      </x:c>
      <x:c r="B411" s="48" t="n">
        <x:v>1799</x:v>
      </x:c>
      <x:c r="C411" s="46" t="str">
        <x:v>Havayı Okumak</x:v>
      </x:c>
      <x:c r="D411" s="34" t="str">
        <x:v>Liderlik</x:v>
      </x:c>
      <x:c r="E411" s="34" t="str">
        <x:v>Liderlik</x:v>
      </x:c>
      <x:c r="F411" s="34" t="str">
        <x:v>The Culture Map</x:v>
      </x:c>
      <x:c r="G411" s="34" t="str">
        <x:v>Erin Meyer</x:v>
      </x:c>
      <x:c r="H411" s="50" t="str">
        <x:v>C2</x:v>
      </x:c>
      <x:c r="I411" s="50" t="str">
        <x:v>Zengin</x:v>
      </x:c>
      <x:c r="J411" s="51" t="n">
        <x:v>11</x:v>
      </x:c>
      <x:c r="K411" s="51" t="n">
        <x:v>6</x:v>
      </x:c>
      <x:c r="L411" s="51" t="n">
        <x:v>13</x:v>
      </x:c>
      <x:c r="M411" s="51" t="n">
        <x:v>9</x:v>
      </x:c>
      <x:c r="N411" s="51" t="n">
        <x:v>8</x:v>
      </x:c>
      <x:c r="O411" s="51" t="n">
        <x:v>7</x:v>
      </x:c>
      <x:c r="P411" s="51" t="n">
        <x:v>17</x:v>
      </x:c>
      <x:c r="Q411" s="51" t="n">
        <x:v>4</x:v>
      </x:c>
      <x:c r="R411" s="52" t="n">
        <x:f>SUM(J411:Q411)</x:f>
        <x:v>75</x:v>
      </x:c>
      <x:c r="S411" s="50" t="str">
        <x:f>IF(R411&gt;='Rubrik'!$B$17,"Öncelikli video",IF(R411&gt;='Rubrik'!$B$18,"Video kuyruğu",IF(R411&gt;='Rubrik'!$B$19,"Revize et",IF(R411&gt;='Rubrik'!$B$20,"Kartla test","Düşük öncelik"))))</x:f>
        <x:v>Kartla test</x:v>
      </x:c>
      <x:c r="T411" s="50" t="str">
        <x:f>IF(AND(R411&gt;=85,P411&gt;=16,M411&gt;=12,L411&gt;=12),"Reel + Carousel",IF(AND(R411&gt;=85,P411&gt;=16,N411&gt;=8),"Soru odaklı Reel",IF(AND(R411&gt;=85,P411&gt;=16),"Reel / Short",IF(M411&gt;=11,"Carousel","Kart testi"))))</x:f>
        <x:v>Kart testi</x:v>
      </x:c>
      <x:c r="U411" s="46" t="str">
        <x:v>Duygusal karşıtlık paylaşma ve kişisel anlatma isteğini yükseltiyor; olay örgüsü geliştirilmeli.</x:v>
      </x:c>
      <x:c r="V411" s="46" t="str">
        <x:f>IF(Q411&lt;=3,"Kaynak kontrolü şart",IF(Q411=4,"Kaynak kontrolü önerilir","Standart doğrulama"))</x:f>
        <x:v>Kaynak kontrolü önerilir</x:v>
      </x:c>
    </x:row>
    <x:row r="412" ht="24" customHeight="1">
      <x:c r="A412" s="48" t="n">
        <x:f>COUNTIF($R$2:$R$751,"&gt;"&amp;R412)+COUNTIF($R$2:R412,R412)</x:f>
        <x:v>411</x:v>
      </x:c>
      <x:c r="B412" s="48" t="n">
        <x:v>1336</x:v>
      </x:c>
      <x:c r="C412" s="46" t="str">
        <x:v>FBI ajanının gözlem sanatı</x:v>
      </x:c>
      <x:c r="D412" s="34" t="str">
        <x:v>İletişim</x:v>
      </x:c>
      <x:c r="E412" s="34" t="str">
        <x:v>İletişim</x:v>
      </x:c>
      <x:c r="F412" s="34" t="str">
        <x:v>Beden Dili</x:v>
      </x:c>
      <x:c r="G412" s="34" t="str">
        <x:v>Joe Navarro</x:v>
      </x:c>
      <x:c r="H412" s="50" t="str">
        <x:v>1</x:v>
      </x:c>
      <x:c r="I412" s="50" t="str">
        <x:v>Temel</x:v>
      </x:c>
      <x:c r="J412" s="51" t="n">
        <x:v>14</x:v>
      </x:c>
      <x:c r="K412" s="51" t="n">
        <x:v>7</x:v>
      </x:c>
      <x:c r="L412" s="51" t="n">
        <x:v>12</x:v>
      </x:c>
      <x:c r="M412" s="51" t="n">
        <x:v>7</x:v>
      </x:c>
      <x:c r="N412" s="51" t="n">
        <x:v>9</x:v>
      </x:c>
      <x:c r="O412" s="51" t="n">
        <x:v>8</x:v>
      </x:c>
      <x:c r="P412" s="51" t="n">
        <x:v>17</x:v>
      </x:c>
      <x:c r="Q412" s="51" t="n">
        <x:v>1</x:v>
      </x:c>
      <x:c r="R412" s="52" t="n">
        <x:f>SUM(J412:Q412)</x:f>
        <x:v>75</x:v>
      </x:c>
      <x:c r="S412" s="50" t="str">
        <x:f>IF(R412&gt;='Rubrik'!$B$17,"Öncelikli video",IF(R412&gt;='Rubrik'!$B$18,"Video kuyruğu",IF(R412&gt;='Rubrik'!$B$19,"Revize et",IF(R412&gt;='Rubrik'!$B$20,"Kartla test","Düşük öncelik"))))</x:f>
        <x:v>Kartla test</x:v>
      </x:c>
      <x:c r="T412" s="50" t="str">
        <x:f>IF(AND(R412&gt;=85,P412&gt;=16,M412&gt;=12,L412&gt;=12),"Reel + Carousel",IF(AND(R412&gt;=85,P412&gt;=16,N412&gt;=8),"Soru odaklı Reel",IF(AND(R412&gt;=85,P412&gt;=16),"Reel / Short",IF(M412&gt;=11,"Carousel","Kart testi"))))</x:f>
        <x:v>Kart testi</x:v>
      </x:c>
      <x:c r="U412" s="46" t="str">
        <x:v>FBI sorgusu yüksek merak ve görsel detay sunuyor; bedenden yalan çıkarma iddiası bilimsel olarak güvenilmez.</x:v>
      </x:c>
      <x:c r="V412" s="46" t="str">
        <x:f>IF(Q412&lt;=3,"Kaynak kontrolü şart",IF(Q412=4,"Kaynak kontrolü önerilir","Standart doğrulama"))</x:f>
        <x:v>Kaynak kontrolü şart</x:v>
      </x:c>
    </x:row>
    <x:row r="413" ht="24" customHeight="1">
      <x:c r="A413" s="48" t="n">
        <x:f>COUNTIF($R$2:$R$751,"&gt;"&amp;R413)+COUNTIF($R$2:R413,R413)</x:f>
        <x:v>412</x:v>
      </x:c>
      <x:c r="B413" s="48" t="n">
        <x:v>1261</x:v>
      </x:c>
      <x:c r="C413" s="46" t="str">
        <x:v>Howard Hughes'ın çöküşü</x:v>
      </x:c>
      <x:c r="D413" s="34" t="str">
        <x:v>Felsefe</x:v>
      </x:c>
      <x:c r="E413" s="34" t="str">
        <x:v>Felsefe</x:v>
      </x:c>
      <x:c r="F413" s="34" t="str">
        <x:v>Ego Is the Enemy</x:v>
      </x:c>
      <x:c r="G413" s="34" t="str">
        <x:v>Ryan Holiday</x:v>
      </x:c>
      <x:c r="H413" s="50" t="str">
        <x:v>1</x:v>
      </x:c>
      <x:c r="I413" s="50" t="str">
        <x:v>Temel</x:v>
      </x:c>
      <x:c r="J413" s="51" t="n">
        <x:v>13</x:v>
      </x:c>
      <x:c r="K413" s="51" t="n">
        <x:v>7</x:v>
      </x:c>
      <x:c r="L413" s="51" t="n">
        <x:v>12</x:v>
      </x:c>
      <x:c r="M413" s="51" t="n">
        <x:v>8</x:v>
      </x:c>
      <x:c r="N413" s="51" t="n">
        <x:v>8</x:v>
      </x:c>
      <x:c r="O413" s="51" t="n">
        <x:v>8</x:v>
      </x:c>
      <x:c r="P413" s="51" t="n">
        <x:v>16</x:v>
      </x:c>
      <x:c r="Q413" s="51" t="n">
        <x:v>3</x:v>
      </x:c>
      <x:c r="R413" s="52" t="n">
        <x:f>SUM(J413:Q413)</x:f>
        <x:v>75</x:v>
      </x:c>
      <x:c r="S413" s="50" t="str">
        <x:f>IF(R413&gt;='Rubrik'!$B$17,"Öncelikli video",IF(R413&gt;='Rubrik'!$B$18,"Video kuyruğu",IF(R413&gt;='Rubrik'!$B$19,"Revize et",IF(R413&gt;='Rubrik'!$B$20,"Kartla test","Düşük öncelik"))))</x:f>
        <x:v>Kartla test</x:v>
      </x:c>
      <x:c r="T413" s="50" t="str">
        <x:f>IF(AND(R413&gt;=85,P413&gt;=16,M413&gt;=12,L413&gt;=12),"Reel + Carousel",IF(AND(R413&gt;=85,P413&gt;=16,N413&gt;=8),"Soru odaklı Reel",IF(AND(R413&gt;=85,P413&gt;=16),"Reel / Short",IF(M413&gt;=11,"Carousel","Kart testi"))))</x:f>
        <x:v>Kart testi</x:v>
      </x:c>
      <x:c r="U413" s="46" t="str">
        <x:v>Hughes’ın başarıdan izolasyona düşüşü güçlü görüntüler ve ters köşe sunuyor; bazı ayrıntılar kaynak gerektiriyor.</x:v>
      </x:c>
      <x:c r="V413" s="46" t="str">
        <x:f>IF(Q413&lt;=3,"Kaynak kontrolü şart",IF(Q413=4,"Kaynak kontrolü önerilir","Standart doğrulama"))</x:f>
        <x:v>Kaynak kontrolü şart</x:v>
      </x:c>
    </x:row>
    <x:row r="414" ht="24" customHeight="1">
      <x:c r="A414" s="48" t="n">
        <x:f>COUNTIF($R$2:$R$751,"&gt;"&amp;R414)+COUNTIF($R$2:R414,R414)</x:f>
        <x:v>413</x:v>
      </x:c>
      <x:c r="B414" s="48" t="n">
        <x:v>1277</x:v>
      </x:c>
      <x:c r="C414" s="46" t="str">
        <x:v>Rekabetten kaçış ve monopol gücü</x:v>
      </x:c>
      <x:c r="D414" s="34" t="str">
        <x:v>Verimlilik</x:v>
      </x:c>
      <x:c r="E414" s="34" t="str">
        <x:v>Girişimcilik</x:v>
      </x:c>
      <x:c r="F414" s="34" t="str">
        <x:v>Sıfır'dan Bir'e</x:v>
      </x:c>
      <x:c r="G414" s="34" t="str">
        <x:v>Peter Thiel</x:v>
      </x:c>
      <x:c r="H414" s="50" t="str">
        <x:v>1</x:v>
      </x:c>
      <x:c r="I414" s="50" t="str">
        <x:v>Temel</x:v>
      </x:c>
      <x:c r="J414" s="51" t="n">
        <x:v>13</x:v>
      </x:c>
      <x:c r="K414" s="51" t="n">
        <x:v>5</x:v>
      </x:c>
      <x:c r="L414" s="51" t="n">
        <x:v>12</x:v>
      </x:c>
      <x:c r="M414" s="51" t="n">
        <x:v>11</x:v>
      </x:c>
      <x:c r="N414" s="51" t="n">
        <x:v>8</x:v>
      </x:c>
      <x:c r="O414" s="51" t="n">
        <x:v>7</x:v>
      </x:c>
      <x:c r="P414" s="51" t="n">
        <x:v>16</x:v>
      </x:c>
      <x:c r="Q414" s="51" t="n">
        <x:v>3</x:v>
      </x:c>
      <x:c r="R414" s="52" t="n">
        <x:f>SUM(J414:Q414)</x:f>
        <x:v>75</x:v>
      </x:c>
      <x:c r="S414" s="50" t="str">
        <x:f>IF(R414&gt;='Rubrik'!$B$17,"Öncelikli video",IF(R414&gt;='Rubrik'!$B$18,"Video kuyruğu",IF(R414&gt;='Rubrik'!$B$19,"Revize et",IF(R414&gt;='Rubrik'!$B$20,"Kartla test","Düşük öncelik"))))</x:f>
        <x:v>Kartla test</x:v>
      </x:c>
      <x:c r="T414" s="50" t="str">
        <x:f>IF(AND(R414&gt;=85,P414&gt;=16,M414&gt;=12,L414&gt;=12),"Reel + Carousel",IF(AND(R414&gt;=85,P414&gt;=16,N414&gt;=8),"Soru odaklı Reel",IF(AND(R414&gt;=85,P414&gt;=16),"Reel / Short",IF(M414&gt;=11,"Carousel","Kart testi"))))</x:f>
        <x:v>Carousel</x:v>
      </x:c>
      <x:c r="U414" s="46" t="str">
        <x:v>“Rekabet kötüdür” çıkışı dikkat çekiyor ve iyi tartışma açıyor; monopol faydası tek taraflı anlatılmış.</x:v>
      </x:c>
      <x:c r="V414" s="46" t="str">
        <x:f>IF(Q414&lt;=3,"Kaynak kontrolü şart",IF(Q414=4,"Kaynak kontrolü önerilir","Standart doğrulama"))</x:f>
        <x:v>Kaynak kontrolü şart</x:v>
      </x:c>
    </x:row>
    <x:row r="415" ht="24" customHeight="1">
      <x:c r="A415" s="48" t="n">
        <x:f>COUNTIF($R$2:$R$751,"&gt;"&amp;R415)+COUNTIF($R$2:R415,R415)</x:f>
        <x:v>414</x:v>
      </x:c>
      <x:c r="B415" s="48" t="n">
        <x:v>1304</x:v>
      </x:c>
      <x:c r="C415" s="46" t="str">
        <x:v>Uzman tahmini yanılgısı</x:v>
      </x:c>
      <x:c r="D415" s="34" t="str">
        <x:v>Felsefe</x:v>
      </x:c>
      <x:c r="E415" s="34" t="str">
        <x:v>Düşünme</x:v>
      </x:c>
      <x:c r="F415" s="34" t="str">
        <x:v>Siyah Kuğu</x:v>
      </x:c>
      <x:c r="G415" s="34" t="str">
        <x:v>Nassim Taleb</x:v>
      </x:c>
      <x:c r="H415" s="50" t="str">
        <x:v>1</x:v>
      </x:c>
      <x:c r="I415" s="50" t="str">
        <x:v>Temel</x:v>
      </x:c>
      <x:c r="J415" s="51" t="n">
        <x:v>13</x:v>
      </x:c>
      <x:c r="K415" s="51" t="n">
        <x:v>6</x:v>
      </x:c>
      <x:c r="L415" s="51" t="n">
        <x:v>12</x:v>
      </x:c>
      <x:c r="M415" s="51" t="n">
        <x:v>11</x:v>
      </x:c>
      <x:c r="N415" s="51" t="n">
        <x:v>8</x:v>
      </x:c>
      <x:c r="O415" s="51" t="n">
        <x:v>7</x:v>
      </x:c>
      <x:c r="P415" s="51" t="n">
        <x:v>16</x:v>
      </x:c>
      <x:c r="Q415" s="51" t="n">
        <x:v>2</x:v>
      </x:c>
      <x:c r="R415" s="52" t="n">
        <x:f>SUM(J415:Q415)</x:f>
        <x:v>75</x:v>
      </x:c>
      <x:c r="S415" s="50" t="str">
        <x:f>IF(R415&gt;='Rubrik'!$B$17,"Öncelikli video",IF(R415&gt;='Rubrik'!$B$18,"Video kuyruğu",IF(R415&gt;='Rubrik'!$B$19,"Revize et",IF(R415&gt;='Rubrik'!$B$20,"Kartla test","Düşük öncelik"))))</x:f>
        <x:v>Kartla test</x:v>
      </x:c>
      <x:c r="T415" s="50" t="str">
        <x:f>IF(AND(R415&gt;=85,P415&gt;=16,M415&gt;=12,L415&gt;=12),"Reel + Carousel",IF(AND(R415&gt;=85,P415&gt;=16,N415&gt;=8),"Soru odaklı Reel",IF(AND(R415&gt;=85,P415&gt;=16),"Reel / Short",IF(M415&gt;=11,"Carousel","Kart testi"))))</x:f>
        <x:v>Carousel</x:v>
      </x:c>
      <x:c r="U415" s="46" t="str">
        <x:v>Dart tahtası karşılaştırması dikkat çekici; adı verilmeyen araştırma ve geniş uzman genellemesi güveni düşürüyor.</x:v>
      </x:c>
      <x:c r="V415" s="46" t="str">
        <x:f>IF(Q415&lt;=3,"Kaynak kontrolü şart",IF(Q415=4,"Kaynak kontrolü önerilir","Standart doğrulama"))</x:f>
        <x:v>Kaynak kontrolü şart</x:v>
      </x:c>
    </x:row>
    <x:row r="416" ht="24" customHeight="1">
      <x:c r="A416" s="48" t="n">
        <x:f>COUNTIF($R$2:$R$751,"&gt;"&amp;R416)+COUNTIF($R$2:R416,R416)</x:f>
        <x:v>415</x:v>
      </x:c>
      <x:c r="B416" s="48" t="n">
        <x:v>1401</x:v>
      </x:c>
      <x:c r="C416" s="46" t="str">
        <x:v>Flash mob ve anlık koordinasyon</x:v>
      </x:c>
      <x:c r="D416" s="34" t="str">
        <x:v>Bilim</x:v>
      </x:c>
      <x:c r="E416" s="34" t="str">
        <x:v>Teknoloji</x:v>
      </x:c>
      <x:c r="F416" s="34" t="str">
        <x:v>Zeki Kalabalıklar</x:v>
      </x:c>
      <x:c r="G416" s="34" t="str">
        <x:v>Howard Rheingold</x:v>
      </x:c>
      <x:c r="H416" s="50" t="str">
        <x:v>1</x:v>
      </x:c>
      <x:c r="I416" s="50" t="str">
        <x:v>Temel</x:v>
      </x:c>
      <x:c r="J416" s="51" t="n">
        <x:v>13</x:v>
      </x:c>
      <x:c r="K416" s="51" t="n">
        <x:v>7</x:v>
      </x:c>
      <x:c r="L416" s="51" t="n">
        <x:v>12</x:v>
      </x:c>
      <x:c r="M416" s="51" t="n">
        <x:v>9</x:v>
      </x:c>
      <x:c r="N416" s="51" t="n">
        <x:v>9</x:v>
      </x:c>
      <x:c r="O416" s="51" t="n">
        <x:v>8</x:v>
      </x:c>
      <x:c r="P416" s="51" t="n">
        <x:v>16</x:v>
      </x:c>
      <x:c r="Q416" s="51" t="n">
        <x:v>1</x:v>
      </x:c>
      <x:c r="R416" s="52" t="n">
        <x:f>SUM(J416:Q416)</x:f>
        <x:v>75</x:v>
      </x:c>
      <x:c r="S416" s="50" t="str">
        <x:f>IF(R416&gt;='Rubrik'!$B$17,"Öncelikli video",IF(R416&gt;='Rubrik'!$B$18,"Video kuyruğu",IF(R416&gt;='Rubrik'!$B$19,"Revize et",IF(R416&gt;='Rubrik'!$B$20,"Kartla test","Düşük öncelik"))))</x:f>
        <x:v>Kartla test</x:v>
      </x:c>
      <x:c r="T416" s="50" t="str">
        <x:f>IF(AND(R416&gt;=85,P416&gt;=16,M416&gt;=12,L416&gt;=12),"Reel + Carousel",IF(AND(R416&gt;=85,P416&gt;=16,N416&gt;=8),"Soru odaklı Reel",IF(AND(R416&gt;=85,P416&gt;=16),"Reel / Short",IF(M416&gt;=11,"Carousel","Kart testi"))))</x:f>
        <x:v>Kart testi</x:v>
      </x:c>
      <x:c r="U416" s="46" t="str">
        <x:v>Flash mob çok görsel ve hareketli; ilk etkinliğin yeri ile tarihsel örneklerin bağlanışı hatalı görünüyor.</x:v>
      </x:c>
      <x:c r="V416" s="46" t="str">
        <x:f>IF(Q416&lt;=3,"Kaynak kontrolü şart",IF(Q416=4,"Kaynak kontrolü önerilir","Standart doğrulama"))</x:f>
        <x:v>Kaynak kontrolü şart</x:v>
      </x:c>
    </x:row>
    <x:row r="417" ht="24" customHeight="1">
      <x:c r="A417" s="48" t="n">
        <x:f>COUNTIF($R$2:$R$751,"&gt;"&amp;R417)+COUNTIF($R$2:R417,R417)</x:f>
        <x:v>416</x:v>
      </x:c>
      <x:c r="B417" s="48" t="n">
        <x:v>1426</x:v>
      </x:c>
      <x:c r="C417" s="46" t="str">
        <x:v>Mozart'ın mucize çocuk efsanesi</x:v>
      </x:c>
      <x:c r="D417" s="34" t="str">
        <x:v>Liderlik</x:v>
      </x:c>
      <x:c r="E417" s="34" t="str">
        <x:v>Başarı</x:v>
      </x:c>
      <x:c r="F417" s="34" t="str">
        <x:v>Yetenek Yanılgısı</x:v>
      </x:c>
      <x:c r="G417" s="34" t="str">
        <x:v>Geoff Colvin</x:v>
      </x:c>
      <x:c r="H417" s="50" t="str">
        <x:v>1</x:v>
      </x:c>
      <x:c r="I417" s="50" t="str">
        <x:v>Temel</x:v>
      </x:c>
      <x:c r="J417" s="51" t="n">
        <x:v>13</x:v>
      </x:c>
      <x:c r="K417" s="51" t="n">
        <x:v>7</x:v>
      </x:c>
      <x:c r="L417" s="51" t="n">
        <x:v>12</x:v>
      </x:c>
      <x:c r="M417" s="51" t="n">
        <x:v>9</x:v>
      </x:c>
      <x:c r="N417" s="51" t="n">
        <x:v>9</x:v>
      </x:c>
      <x:c r="O417" s="51" t="n">
        <x:v>8</x:v>
      </x:c>
      <x:c r="P417" s="51" t="n">
        <x:v>16</x:v>
      </x:c>
      <x:c r="Q417" s="51" t="n">
        <x:v>1</x:v>
      </x:c>
      <x:c r="R417" s="52" t="n">
        <x:f>SUM(J417:Q417)</x:f>
        <x:v>75</x:v>
      </x:c>
      <x:c r="S417" s="50" t="str">
        <x:f>IF(R417&gt;='Rubrik'!$B$17,"Öncelikli video",IF(R417&gt;='Rubrik'!$B$18,"Video kuyruğu",IF(R417&gt;='Rubrik'!$B$19,"Revize et",IF(R417&gt;='Rubrik'!$B$20,"Kartla test","Düşük öncelik"))))</x:f>
        <x:v>Kartla test</x:v>
      </x:c>
      <x:c r="T417" s="50" t="str">
        <x:f>IF(AND(R417&gt;=85,P417&gt;=16,M417&gt;=12,L417&gt;=12),"Reel + Carousel",IF(AND(R417&gt;=85,P417&gt;=16,N417&gt;=8),"Soru odaklı Reel",IF(AND(R417&gt;=85,P417&gt;=16),"Reel / Short",IF(M417&gt;=11,"Carousel","Kart testi"))))</x:f>
        <x:v>Kart testi</x:v>
      </x:c>
      <x:c r="U417" s="46" t="str">
        <x:v>Mucize çocuk efsanesini pratikle kırmak ilgi çekici; yeteneği bütünüyle reddetmesi ve biyografi fazla kesin.</x:v>
      </x:c>
      <x:c r="V417" s="46" t="str">
        <x:f>IF(Q417&lt;=3,"Kaynak kontrolü şart",IF(Q417=4,"Kaynak kontrolü önerilir","Standart doğrulama"))</x:f>
        <x:v>Kaynak kontrolü şart</x:v>
      </x:c>
    </x:row>
    <x:row r="418" ht="24" customHeight="1">
      <x:c r="A418" s="48" t="n">
        <x:f>COUNTIF($R$2:$R$751,"&gt;"&amp;R418)+COUNTIF($R$2:R418,R418)</x:f>
        <x:v>417</x:v>
      </x:c>
      <x:c r="B418" s="48" t="n">
        <x:v>1480</x:v>
      </x:c>
      <x:c r="C418" s="46" t="str">
        <x:v>Yapay zeka ve iş gücünün geleceği</x:v>
      </x:c>
      <x:c r="D418" s="34" t="str">
        <x:v>Tarih</x:v>
      </x:c>
      <x:c r="E418" s="34" t="str">
        <x:v>Güncel</x:v>
      </x:c>
      <x:c r="F418" s="34" t="str">
        <x:v>21. Yüzyıl İçin 21 Ders</x:v>
      </x:c>
      <x:c r="G418" s="34" t="str">
        <x:v>Yuval Noah Harari</x:v>
      </x:c>
      <x:c r="H418" s="50" t="str">
        <x:v>1</x:v>
      </x:c>
      <x:c r="I418" s="50" t="str">
        <x:v>Temel</x:v>
      </x:c>
      <x:c r="J418" s="51" t="n">
        <x:v>12</x:v>
      </x:c>
      <x:c r="K418" s="51" t="n">
        <x:v>6</x:v>
      </x:c>
      <x:c r="L418" s="51" t="n">
        <x:v>13</x:v>
      </x:c>
      <x:c r="M418" s="51" t="n">
        <x:v>12</x:v>
      </x:c>
      <x:c r="N418" s="51" t="n">
        <x:v>8</x:v>
      </x:c>
      <x:c r="O418" s="51" t="n">
        <x:v>6</x:v>
      </x:c>
      <x:c r="P418" s="51" t="n">
        <x:v>15</x:v>
      </x:c>
      <x:c r="Q418" s="51" t="n">
        <x:v>3</x:v>
      </x:c>
      <x:c r="R418" s="52" t="n">
        <x:f>SUM(J418:Q418)</x:f>
        <x:v>75</x:v>
      </x:c>
      <x:c r="S418" s="50" t="str">
        <x:f>IF(R418&gt;='Rubrik'!$B$17,"Öncelikli video",IF(R418&gt;='Rubrik'!$B$18,"Video kuyruğu",IF(R418&gt;='Rubrik'!$B$19,"Revize et",IF(R418&gt;='Rubrik'!$B$20,"Kartla test","Düşük öncelik"))))</x:f>
        <x:v>Kartla test</x:v>
      </x:c>
      <x:c r="T418" s="50" t="str">
        <x:f>IF(AND(R418&gt;=85,P418&gt;=16,M418&gt;=12,L418&gt;=12),"Reel + Carousel",IF(AND(R418&gt;=85,P418&gt;=16,N418&gt;=8),"Soru odaklı Reel",IF(AND(R418&gt;=85,P418&gt;=16),"Reel / Short",IF(M418&gt;=11,"Carousel","Kart testi"))))</x:f>
        <x:v>Carousel</x:v>
      </x:c>
      <x:c r="U418" s="46" t="str">
        <x:v>Yapay zekâ ve iş kaybı doğrudan güncel kaygıya dokunur; dengeli kaynaklandırma paylaşım güveni için şart.</x:v>
      </x:c>
      <x:c r="V418" s="46" t="str">
        <x:f>IF(Q418&lt;=3,"Kaynak kontrolü şart",IF(Q418=4,"Kaynak kontrolü önerilir","Standart doğrulama"))</x:f>
        <x:v>Kaynak kontrolü şart</x:v>
      </x:c>
    </x:row>
    <x:row r="419" ht="24" customHeight="1">
      <x:c r="A419" s="48" t="n">
        <x:f>COUNTIF($R$2:$R$751,"&gt;"&amp;R419)+COUNTIF($R$2:R419,R419)</x:f>
        <x:v>418</x:v>
      </x:c>
      <x:c r="B419" s="48" t="n">
        <x:v>1383</x:v>
      </x:c>
      <x:c r="C419" s="46" t="str">
        <x:v>Başarı mutluluğu getirmez — tersine çalışır</x:v>
      </x:c>
      <x:c r="D419" s="34" t="str">
        <x:v>Psikoloji</x:v>
      </x:c>
      <x:c r="E419" s="34" t="str">
        <x:v>Mutluluk</x:v>
      </x:c>
      <x:c r="F419" s="34" t="str">
        <x:v>Mutluluğun Peşinde</x:v>
      </x:c>
      <x:c r="G419" s="34" t="str">
        <x:v>Shawn Achor</x:v>
      </x:c>
      <x:c r="H419" s="50" t="str">
        <x:v>1</x:v>
      </x:c>
      <x:c r="I419" s="50" t="str">
        <x:v>Temel</x:v>
      </x:c>
      <x:c r="J419" s="51" t="n">
        <x:v>12</x:v>
      </x:c>
      <x:c r="K419" s="51" t="n">
        <x:v>7</x:v>
      </x:c>
      <x:c r="L419" s="51" t="n">
        <x:v>12</x:v>
      </x:c>
      <x:c r="M419" s="51" t="n">
        <x:v>11</x:v>
      </x:c>
      <x:c r="N419" s="51" t="n">
        <x:v>9</x:v>
      </x:c>
      <x:c r="O419" s="51" t="n">
        <x:v>7</x:v>
      </x:c>
      <x:c r="P419" s="51" t="n">
        <x:v>15</x:v>
      </x:c>
      <x:c r="Q419" s="51" t="n">
        <x:v>2</x:v>
      </x:c>
      <x:c r="R419" s="52" t="n">
        <x:f>SUM(J419:Q419)</x:f>
        <x:v>75</x:v>
      </x:c>
      <x:c r="S419" s="50" t="str">
        <x:f>IF(R419&gt;='Rubrik'!$B$17,"Öncelikli video",IF(R419&gt;='Rubrik'!$B$18,"Video kuyruğu",IF(R419&gt;='Rubrik'!$B$19,"Revize et",IF(R419&gt;='Rubrik'!$B$20,"Kartla test","Düşük öncelik"))))</x:f>
        <x:v>Kartla test</x:v>
      </x:c>
      <x:c r="T419" s="50" t="str">
        <x:f>IF(AND(R419&gt;=85,P419&gt;=16,M419&gt;=12,L419&gt;=12),"Reel + Carousel",IF(AND(R419&gt;=85,P419&gt;=16,N419&gt;=8),"Soru odaklı Reel",IF(AND(R419&gt;=85,P419&gt;=16),"Reel / Short",IF(M419&gt;=11,"Carousel","Kart testi"))))</x:f>
        <x:v>Carousel</x:v>
      </x:c>
      <x:c r="U419" s="46" t="str">
        <x:v>“Mutluluk yakıttır” sözü paylaşılır; mutluluktan başarı ve sağlık sonuçlarına giden nedensellik fazla geniş.</x:v>
      </x:c>
      <x:c r="V419" s="46" t="str">
        <x:f>IF(Q419&lt;=3,"Kaynak kontrolü şart",IF(Q419=4,"Kaynak kontrolü önerilir","Standart doğrulama"))</x:f>
        <x:v>Kaynak kontrolü şart</x:v>
      </x:c>
    </x:row>
    <x:row r="420" ht="24" customHeight="1">
      <x:c r="A420" s="48" t="n">
        <x:f>COUNTIF($R$2:$R$751,"&gt;"&amp;R420)+COUNTIF($R$2:R420,R420)</x:f>
        <x:v>419</x:v>
      </x:c>
      <x:c r="B420" s="48" t="n">
        <x:v>1444</x:v>
      </x:c>
      <x:c r="C420" s="46" t="str">
        <x:v>Müşteri kaybı ve görünmez buz buzdağı</x:v>
      </x:c>
      <x:c r="D420" s="34" t="str">
        <x:v>Verimlilik</x:v>
      </x:c>
      <x:c r="E420" s="34" t="str">
        <x:v>İş Dünyası</x:v>
      </x:c>
      <x:c r="F420" s="34" t="str">
        <x:v>Sadakat Etkisi</x:v>
      </x:c>
      <x:c r="G420" s="34" t="str">
        <x:v>Frederick Reichheld</x:v>
      </x:c>
      <x:c r="H420" s="50" t="str">
        <x:v>1</x:v>
      </x:c>
      <x:c r="I420" s="50" t="str">
        <x:v>Temel</x:v>
      </x:c>
      <x:c r="J420" s="51" t="n">
        <x:v>12</x:v>
      </x:c>
      <x:c r="K420" s="51" t="n">
        <x:v>6</x:v>
      </x:c>
      <x:c r="L420" s="51" t="n">
        <x:v>12</x:v>
      </x:c>
      <x:c r="M420" s="51" t="n">
        <x:v>12</x:v>
      </x:c>
      <x:c r="N420" s="51" t="n">
        <x:v>8</x:v>
      </x:c>
      <x:c r="O420" s="51" t="n">
        <x:v>6</x:v>
      </x:c>
      <x:c r="P420" s="51" t="n">
        <x:v>15</x:v>
      </x:c>
      <x:c r="Q420" s="51" t="n">
        <x:v>4</x:v>
      </x:c>
      <x:c r="R420" s="52" t="n">
        <x:f>SUM(J420:Q420)</x:f>
        <x:v>75</x:v>
      </x:c>
      <x:c r="S420" s="50" t="str">
        <x:f>IF(R420&gt;='Rubrik'!$B$17,"Öncelikli video",IF(R420&gt;='Rubrik'!$B$18,"Video kuyruğu",IF(R420&gt;='Rubrik'!$B$19,"Revize et",IF(R420&gt;='Rubrik'!$B$20,"Kartla test","Düşük öncelik"))))</x:f>
        <x:v>Kartla test</x:v>
      </x:c>
      <x:c r="T420" s="50" t="str">
        <x:f>IF(AND(R420&gt;=85,P420&gt;=16,M420&gt;=12,L420&gt;=12),"Reel + Carousel",IF(AND(R420&gt;=85,P420&gt;=16,N420&gt;=8),"Soru odaklı Reel",IF(AND(R420&gt;=85,P420&gt;=16),"Reel / Short",IF(M420&gt;=11,"Carousel","Kart testi"))))</x:f>
        <x:v>Carousel</x:v>
      </x:c>
      <x:c r="U420" s="46" t="str">
        <x:v>Sessiz müşteri ve buzdağı metaforu güçlü bir iş kancası; kayıp hissi paylaşımı tetikler.</x:v>
      </x:c>
      <x:c r="V420" s="46" t="str">
        <x:f>IF(Q420&lt;=3,"Kaynak kontrolü şart",IF(Q420=4,"Kaynak kontrolü önerilir","Standart doğrulama"))</x:f>
        <x:v>Kaynak kontrolü önerilir</x:v>
      </x:c>
    </x:row>
    <x:row r="421" ht="24" customHeight="1">
      <x:c r="A421" s="48" t="n">
        <x:f>COUNTIF($R$2:$R$751,"&gt;"&amp;R421)+COUNTIF($R$2:R421,R421)</x:f>
        <x:v>420</x:v>
      </x:c>
      <x:c r="B421" s="48" t="n">
        <x:v>1567</x:v>
      </x:c>
      <x:c r="C421" s="46" t="str">
        <x:v>Miyelin — yeteneklerin biyolojik temeli</x:v>
      </x:c>
      <x:c r="D421" s="34" t="str">
        <x:v>Liderlik</x:v>
      </x:c>
      <x:c r="E421" s="34" t="str">
        <x:v>Başarı</x:v>
      </x:c>
      <x:c r="F421" s="34" t="str">
        <x:v>Yetenek Kodu</x:v>
      </x:c>
      <x:c r="G421" s="34" t="str">
        <x:v>Daniel Coyle</x:v>
      </x:c>
      <x:c r="H421" s="50" t="str">
        <x:v>1</x:v>
      </x:c>
      <x:c r="I421" s="50" t="str">
        <x:v>Temel</x:v>
      </x:c>
      <x:c r="J421" s="51" t="n">
        <x:v>12</x:v>
      </x:c>
      <x:c r="K421" s="51" t="n">
        <x:v>6</x:v>
      </x:c>
      <x:c r="L421" s="51" t="n">
        <x:v>12</x:v>
      </x:c>
      <x:c r="M421" s="51" t="n">
        <x:v>13</x:v>
      </x:c>
      <x:c r="N421" s="51" t="n">
        <x:v>8</x:v>
      </x:c>
      <x:c r="O421" s="51" t="n">
        <x:v>6</x:v>
      </x:c>
      <x:c r="P421" s="51" t="n">
        <x:v>15</x:v>
      </x:c>
      <x:c r="Q421" s="51" t="n">
        <x:v>3</x:v>
      </x:c>
      <x:c r="R421" s="52" t="n">
        <x:f>SUM(J421:Q421)</x:f>
        <x:v>75</x:v>
      </x:c>
      <x:c r="S421" s="50" t="str">
        <x:f>IF(R421&gt;='Rubrik'!$B$17,"Öncelikli video",IF(R421&gt;='Rubrik'!$B$18,"Video kuyruğu",IF(R421&gt;='Rubrik'!$B$19,"Revize et",IF(R421&gt;='Rubrik'!$B$20,"Kartla test","Düşük öncelik"))))</x:f>
        <x:v>Kartla test</x:v>
      </x:c>
      <x:c r="T421" s="50" t="str">
        <x:f>IF(AND(R421&gt;=85,P421&gt;=16,M421&gt;=12,L421&gt;=12),"Reel + Carousel",IF(AND(R421&gt;=85,P421&gt;=16,N421&gt;=8),"Soru odaklı Reel",IF(AND(R421&gt;=85,P421&gt;=16),"Reel / Short",IF(M421&gt;=11,"Carousel","Kart testi"))))</x:f>
        <x:v>Carousel</x:v>
      </x:c>
      <x:c r="U421" s="46" t="str">
        <x:v>Miyelini becerinin görünmez kablosu yapmak iyi görsel verir; biyolojik açıklama fazla basitleştirilmemeli.</x:v>
      </x:c>
      <x:c r="V421" s="46" t="str">
        <x:f>IF(Q421&lt;=3,"Kaynak kontrolü şart",IF(Q421=4,"Kaynak kontrolü önerilir","Standart doğrulama"))</x:f>
        <x:v>Kaynak kontrolü şart</x:v>
      </x:c>
    </x:row>
    <x:row r="422" ht="24" customHeight="1">
      <x:c r="A422" s="48" t="n">
        <x:f>COUNTIF($R$2:$R$751,"&gt;"&amp;R422)+COUNTIF($R$2:R422,R422)</x:f>
        <x:v>421</x:v>
      </x:c>
      <x:c r="B422" s="48" t="n">
        <x:v>1585</x:v>
      </x:c>
      <x:c r="C422" s="46" t="str">
        <x:v>İç saat — vücudun 24 saatlik ritmi ve sağlık üzerindeki derin etkisi</x:v>
      </x:c>
      <x:c r="D422" s="34" t="str">
        <x:v>Sağlık</x:v>
      </x:c>
      <x:c r="E422" s="34" t="str">
        <x:v>Sağlık</x:v>
      </x:c>
      <x:c r="F422" s="34" t="str">
        <x:v>Sirkadyen Kod</x:v>
      </x:c>
      <x:c r="G422" s="34" t="str">
        <x:v>Satchin Panda</x:v>
      </x:c>
      <x:c r="H422" s="50" t="str">
        <x:v>1</x:v>
      </x:c>
      <x:c r="I422" s="50" t="str">
        <x:v>Temel</x:v>
      </x:c>
      <x:c r="J422" s="51" t="n">
        <x:v>12</x:v>
      </x:c>
      <x:c r="K422" s="51" t="n">
        <x:v>6</x:v>
      </x:c>
      <x:c r="L422" s="51" t="n">
        <x:v>12</x:v>
      </x:c>
      <x:c r="M422" s="51" t="n">
        <x:v>13</x:v>
      </x:c>
      <x:c r="N422" s="51" t="n">
        <x:v>8</x:v>
      </x:c>
      <x:c r="O422" s="51" t="n">
        <x:v>6</x:v>
      </x:c>
      <x:c r="P422" s="51" t="n">
        <x:v>15</x:v>
      </x:c>
      <x:c r="Q422" s="51" t="n">
        <x:v>3</x:v>
      </x:c>
      <x:c r="R422" s="52" t="n">
        <x:f>SUM(J422:Q422)</x:f>
        <x:v>75</x:v>
      </x:c>
      <x:c r="S422" s="50" t="str">
        <x:f>IF(R422&gt;='Rubrik'!$B$17,"Öncelikli video",IF(R422&gt;='Rubrik'!$B$18,"Video kuyruğu",IF(R422&gt;='Rubrik'!$B$19,"Revize et",IF(R422&gt;='Rubrik'!$B$20,"Kartla test","Düşük öncelik"))))</x:f>
        <x:v>Kartla test</x:v>
      </x:c>
      <x:c r="T422" s="50" t="str">
        <x:f>IF(AND(R422&gt;=85,P422&gt;=16,M422&gt;=12,L422&gt;=12),"Reel + Carousel",IF(AND(R422&gt;=85,P422&gt;=16,N422&gt;=8),"Soru odaklı Reel",IF(AND(R422&gt;=85,P422&gt;=16),"Reel / Short",IF(M422&gt;=11,"Carousel","Kart testi"))))</x:f>
        <x:v>Carousel</x:v>
      </x:c>
      <x:c r="U422" s="46" t="str">
        <x:v>Organların kendi saatleri olduğu fikri şaşırtıcı ve görsel; sağlık önerileri kesin reçete gibi sunulmamalı.</x:v>
      </x:c>
      <x:c r="V422" s="46" t="str">
        <x:f>IF(Q422&lt;=3,"Kaynak kontrolü şart",IF(Q422=4,"Kaynak kontrolü önerilir","Standart doğrulama"))</x:f>
        <x:v>Kaynak kontrolü şart</x:v>
      </x:c>
    </x:row>
    <x:row r="423" ht="24" customHeight="1">
      <x:c r="A423" s="48" t="n">
        <x:f>COUNTIF($R$2:$R$751,"&gt;"&amp;R423)+COUNTIF($R$2:R423,R423)</x:f>
        <x:v>422</x:v>
      </x:c>
      <x:c r="B423" s="48" t="n">
        <x:v>1596</x:v>
      </x:c>
      <x:c r="C423" s="46" t="str">
        <x:v>BDNF — beyni büyüten molekül ve onu artırmanın yolları</x:v>
      </x:c>
      <x:c r="D423" s="34" t="str">
        <x:v>Sağlık</x:v>
      </x:c>
      <x:c r="E423" s="34" t="str">
        <x:v>Sağlık</x:v>
      </x:c>
      <x:c r="F423" s="34" t="str">
        <x:v>Beyin ve Diyet</x:v>
      </x:c>
      <x:c r="G423" s="34" t="str">
        <x:v>David Perlmutter</x:v>
      </x:c>
      <x:c r="H423" s="50" t="str">
        <x:v>1</x:v>
      </x:c>
      <x:c r="I423" s="50" t="str">
        <x:v>Temel</x:v>
      </x:c>
      <x:c r="J423" s="51" t="n">
        <x:v>12</x:v>
      </x:c>
      <x:c r="K423" s="51" t="n">
        <x:v>6</x:v>
      </x:c>
      <x:c r="L423" s="51" t="n">
        <x:v>12</x:v>
      </x:c>
      <x:c r="M423" s="51" t="n">
        <x:v>14</x:v>
      </x:c>
      <x:c r="N423" s="51" t="n">
        <x:v>8</x:v>
      </x:c>
      <x:c r="O423" s="51" t="n">
        <x:v>6</x:v>
      </x:c>
      <x:c r="P423" s="51" t="n">
        <x:v>15</x:v>
      </x:c>
      <x:c r="Q423" s="51" t="n">
        <x:v>2</x:v>
      </x:c>
      <x:c r="R423" s="52" t="n">
        <x:f>SUM(J423:Q423)</x:f>
        <x:v>75</x:v>
      </x:c>
      <x:c r="S423" s="50" t="str">
        <x:f>IF(R423&gt;='Rubrik'!$B$17,"Öncelikli video",IF(R423&gt;='Rubrik'!$B$18,"Video kuyruğu",IF(R423&gt;='Rubrik'!$B$19,"Revize et",IF(R423&gt;='Rubrik'!$B$20,"Kartla test","Düşük öncelik"))))</x:f>
        <x:v>Kartla test</x:v>
      </x:c>
      <x:c r="T423" s="50" t="str">
        <x:f>IF(AND(R423&gt;=85,P423&gt;=16,M423&gt;=12,L423&gt;=12),"Reel + Carousel",IF(AND(R423&gt;=85,P423&gt;=16,N423&gt;=8),"Soru odaklı Reel",IF(AND(R423&gt;=85,P423&gt;=16),"Reel / Short",IF(M423&gt;=11,"Carousel","Kart testi"))))</x:f>
        <x:v>Carousel</x:v>
      </x:c>
      <x:c r="U423" s="46" t="str">
        <x:v>BDNF'yi beyin gübresi yapmak akılda kalıcı ve görsel; sayı ve etki büyüklükleri doğrulanmadan paylaşılmamalı.</x:v>
      </x:c>
      <x:c r="V423" s="46" t="str">
        <x:f>IF(Q423&lt;=3,"Kaynak kontrolü şart",IF(Q423=4,"Kaynak kontrolü önerilir","Standart doğrulama"))</x:f>
        <x:v>Kaynak kontrolü şart</x:v>
      </x:c>
    </x:row>
    <x:row r="424" ht="24" customHeight="1">
      <x:c r="A424" s="48" t="n">
        <x:f>COUNTIF($R$2:$R$751,"&gt;"&amp;R424)+COUNTIF($R$2:R424,R424)</x:f>
        <x:v>423</x:v>
      </x:c>
      <x:c r="B424" s="48" t="n">
        <x:v>1602</x:v>
      </x:c>
      <x:c r="C424" s="46" t="str">
        <x:v>CO2 toleransı — oksijen değil karbondioksit kontrolü</x:v>
      </x:c>
      <x:c r="D424" s="34" t="str">
        <x:v>Sağlık</x:v>
      </x:c>
      <x:c r="E424" s="34" t="str">
        <x:v>Sağlık</x:v>
      </x:c>
      <x:c r="F424" s="34" t="str">
        <x:v>Nefes</x:v>
      </x:c>
      <x:c r="G424" s="34" t="str">
        <x:v>James Nestor</x:v>
      </x:c>
      <x:c r="H424" s="50" t="str">
        <x:v>1</x:v>
      </x:c>
      <x:c r="I424" s="50" t="str">
        <x:v>Temel</x:v>
      </x:c>
      <x:c r="J424" s="51" t="n">
        <x:v>12</x:v>
      </x:c>
      <x:c r="K424" s="51" t="n">
        <x:v>6</x:v>
      </x:c>
      <x:c r="L424" s="51" t="n">
        <x:v>12</x:v>
      </x:c>
      <x:c r="M424" s="51" t="n">
        <x:v>14</x:v>
      </x:c>
      <x:c r="N424" s="51" t="n">
        <x:v>8</x:v>
      </x:c>
      <x:c r="O424" s="51" t="n">
        <x:v>6</x:v>
      </x:c>
      <x:c r="P424" s="51" t="n">
        <x:v>15</x:v>
      </x:c>
      <x:c r="Q424" s="51" t="n">
        <x:v>2</x:v>
      </x:c>
      <x:c r="R424" s="52" t="n">
        <x:f>SUM(J424:Q424)</x:f>
        <x:v>75</x:v>
      </x:c>
      <x:c r="S424" s="50" t="str">
        <x:f>IF(R424&gt;='Rubrik'!$B$17,"Öncelikli video",IF(R424&gt;='Rubrik'!$B$18,"Video kuyruğu",IF(R424&gt;='Rubrik'!$B$19,"Revize et",IF(R424&gt;='Rubrik'!$B$20,"Kartla test","Düşük öncelik"))))</x:f>
        <x:v>Kartla test</x:v>
      </x:c>
      <x:c r="T424" s="50" t="str">
        <x:f>IF(AND(R424&gt;=85,P424&gt;=16,M424&gt;=12,L424&gt;=12),"Reel + Carousel",IF(AND(R424&gt;=85,P424&gt;=16,N424&gt;=8),"Soru odaklı Reel",IF(AND(R424&gt;=85,P424&gt;=16),"Reel / Short",IF(M424&gt;=11,"Carousel","Kart testi"))))</x:f>
        <x:v>Carousel</x:v>
      </x:c>
      <x:c r="U424" s="46" t="str">
        <x:v>CO2 toleransı ve nefes tutma testi etkileşimli video olur; performans ve sağlık çıkarımları sınırlanmalı.</x:v>
      </x:c>
      <x:c r="V424" s="46" t="str">
        <x:f>IF(Q424&lt;=3,"Kaynak kontrolü şart",IF(Q424=4,"Kaynak kontrolü önerilir","Standart doğrulama"))</x:f>
        <x:v>Kaynak kontrolü şart</x:v>
      </x:c>
    </x:row>
    <x:row r="425" ht="24" customHeight="1">
      <x:c r="A425" s="48" t="n">
        <x:f>COUNTIF($R$2:$R$751,"&gt;"&amp;R425)+COUNTIF($R$2:R425,R425)</x:f>
        <x:v>424</x:v>
      </x:c>
      <x:c r="B425" s="48" t="n">
        <x:v>1249</x:v>
      </x:c>
      <x:c r="C425" s="46" t="str">
        <x:v>Theodore Johnson'ın taze meyve tasarrufu</x:v>
      </x:c>
      <x:c r="D425" s="34" t="str">
        <x:v>Finans</x:v>
      </x:c>
      <x:c r="E425" s="34" t="str">
        <x:v>Finans</x:v>
      </x:c>
      <x:c r="F425" s="34" t="str">
        <x:v>Money: Master the Game</x:v>
      </x:c>
      <x:c r="G425" s="34" t="str">
        <x:v>Tony Robbins</x:v>
      </x:c>
      <x:c r="H425" s="50" t="str">
        <x:v>1</x:v>
      </x:c>
      <x:c r="I425" s="50" t="str">
        <x:v>Temel</x:v>
      </x:c>
      <x:c r="J425" s="51" t="n">
        <x:v>13</x:v>
      </x:c>
      <x:c r="K425" s="51" t="n">
        <x:v>6</x:v>
      </x:c>
      <x:c r="L425" s="51" t="n">
        <x:v>11</x:v>
      </x:c>
      <x:c r="M425" s="51" t="n">
        <x:v>13</x:v>
      </x:c>
      <x:c r="N425" s="51" t="n">
        <x:v>8</x:v>
      </x:c>
      <x:c r="O425" s="51" t="n">
        <x:v>7</x:v>
      </x:c>
      <x:c r="P425" s="51" t="n">
        <x:v>15</x:v>
      </x:c>
      <x:c r="Q425" s="51" t="n">
        <x:v>2</x:v>
      </x:c>
      <x:c r="R425" s="52" t="n">
        <x:f>SUM(J425:Q425)</x:f>
        <x:v>75</x:v>
      </x:c>
      <x:c r="S425" s="50" t="str">
        <x:f>IF(R425&gt;='Rubrik'!$B$17,"Öncelikli video",IF(R425&gt;='Rubrik'!$B$18,"Video kuyruğu",IF(R425&gt;='Rubrik'!$B$19,"Revize et",IF(R425&gt;='Rubrik'!$B$20,"Kartla test","Düşük öncelik"))))</x:f>
        <x:v>Kartla test</x:v>
      </x:c>
      <x:c r="T425" s="50" t="str">
        <x:f>IF(AND(R425&gt;=85,P425&gt;=16,M425&gt;=12,L425&gt;=12),"Reel + Carousel",IF(AND(R425&gt;=85,P425&gt;=16,N425&gt;=8),"Soru odaklı Reel",IF(AND(R425&gt;=85,P425&gt;=16),"Reel / Short",IF(M425&gt;=11,"Carousel","Kart testi"))))</x:f>
        <x:v>Carousel</x:v>
      </x:c>
      <x:c r="U425" s="46" t="str">
        <x:v>70 milyon dolarlık sonuç çarpıcı ve tasarruf fikri uygulanabilir; rakam ile bağlam mutlaka doğrulanmalı.</x:v>
      </x:c>
      <x:c r="V425" s="46" t="str">
        <x:f>IF(Q425&lt;=3,"Kaynak kontrolü şart",IF(Q425=4,"Kaynak kontrolü önerilir","Standart doğrulama"))</x:f>
        <x:v>Kaynak kontrolü şart</x:v>
      </x:c>
    </x:row>
    <x:row r="426" ht="24" customHeight="1">
      <x:c r="A426" s="48" t="n">
        <x:f>COUNTIF($R$2:$R$751,"&gt;"&amp;R426)+COUNTIF($R$2:R426,R426)</x:f>
        <x:v>425</x:v>
      </x:c>
      <x:c r="B426" s="48" t="n">
        <x:v>1266</x:v>
      </x:c>
      <x:c r="C426" s="46" t="str">
        <x:v>Amor fati — kaderi sevmek</x:v>
      </x:c>
      <x:c r="D426" s="34" t="str">
        <x:v>Felsefe</x:v>
      </x:c>
      <x:c r="E426" s="34" t="str">
        <x:v>Felsefe</x:v>
      </x:c>
      <x:c r="F426" s="34" t="str">
        <x:v>Engel Yolu Açar</x:v>
      </x:c>
      <x:c r="G426" s="34" t="str">
        <x:v>Ryan Holiday</x:v>
      </x:c>
      <x:c r="H426" s="50" t="str">
        <x:v>1</x:v>
      </x:c>
      <x:c r="I426" s="50" t="str">
        <x:v>Temel</x:v>
      </x:c>
      <x:c r="J426" s="51" t="n">
        <x:v>11</x:v>
      </x:c>
      <x:c r="K426" s="51" t="n">
        <x:v>7</x:v>
      </x:c>
      <x:c r="L426" s="51" t="n">
        <x:v>11</x:v>
      </x:c>
      <x:c r="M426" s="51" t="n">
        <x:v>13</x:v>
      </x:c>
      <x:c r="N426" s="51" t="n">
        <x:v>9</x:v>
      </x:c>
      <x:c r="O426" s="51" t="n">
        <x:v>6</x:v>
      </x:c>
      <x:c r="P426" s="51" t="n">
        <x:v>15</x:v>
      </x:c>
      <x:c r="Q426" s="51" t="n">
        <x:v>3</x:v>
      </x:c>
      <x:c r="R426" s="52" t="n">
        <x:f>SUM(J426:Q426)</x:f>
        <x:v>75</x:v>
      </x:c>
      <x:c r="S426" s="50" t="str">
        <x:f>IF(R426&gt;='Rubrik'!$B$17,"Öncelikli video",IF(R426&gt;='Rubrik'!$B$18,"Video kuyruğu",IF(R426&gt;='Rubrik'!$B$19,"Revize et",IF(R426&gt;='Rubrik'!$B$20,"Kartla test","Düşük öncelik"))))</x:f>
        <x:v>Kartla test</x:v>
      </x:c>
      <x:c r="T426" s="50" t="str">
        <x:f>IF(AND(R426&gt;=85,P426&gt;=16,M426&gt;=12,L426&gt;=12),"Reel + Carousel",IF(AND(R426&gt;=85,P426&gt;=16,N426&gt;=8),"Soru odaklı Reel",IF(AND(R426&gt;=85,P426&gt;=16),"Reel / Short",IF(M426&gt;=11,"Carousel","Kart testi"))))</x:f>
        <x:v>Carousel</x:v>
      </x:c>
      <x:c r="U426" s="46" t="str">
        <x:v>Kabulden eyleme geçen çerçeve kaydedilebilir ve kişisel; atfedilen söz ile felsefi bağlar doğrulanmalı.</x:v>
      </x:c>
      <x:c r="V426" s="46" t="str">
        <x:f>IF(Q426&lt;=3,"Kaynak kontrolü şart",IF(Q426=4,"Kaynak kontrolü önerilir","Standart doğrulama"))</x:f>
        <x:v>Kaynak kontrolü şart</x:v>
      </x:c>
    </x:row>
    <x:row r="427" ht="24" customHeight="1">
      <x:c r="A427" s="48" t="n">
        <x:f>COUNTIF($R$2:$R$751,"&gt;"&amp;R427)+COUNTIF($R$2:R427,R427)</x:f>
        <x:v>426</x:v>
      </x:c>
      <x:c r="B427" s="48" t="n">
        <x:v>1269</x:v>
      </x:c>
      <x:c r="C427" s="46" t="str">
        <x:v>REM uykusu ve duygusal iyileşme</x:v>
      </x:c>
      <x:c r="D427" s="34" t="str">
        <x:v>Sağlık</x:v>
      </x:c>
      <x:c r="E427" s="34" t="str">
        <x:v>Sağlık</x:v>
      </x:c>
      <x:c r="F427" s="34" t="str">
        <x:v>Neden Uyuyoruz</x:v>
      </x:c>
      <x:c r="G427" s="34" t="str">
        <x:v>Matthew Walker</x:v>
      </x:c>
      <x:c r="H427" s="50" t="str">
        <x:v>1</x:v>
      </x:c>
      <x:c r="I427" s="50" t="str">
        <x:v>Temel</x:v>
      </x:c>
      <x:c r="J427" s="51" t="n">
        <x:v>12</x:v>
      </x:c>
      <x:c r="K427" s="51" t="n">
        <x:v>7</x:v>
      </x:c>
      <x:c r="L427" s="51" t="n">
        <x:v>11</x:v>
      </x:c>
      <x:c r="M427" s="51" t="n">
        <x:v>11</x:v>
      </x:c>
      <x:c r="N427" s="51" t="n">
        <x:v>9</x:v>
      </x:c>
      <x:c r="O427" s="51" t="n">
        <x:v>7</x:v>
      </x:c>
      <x:c r="P427" s="51" t="n">
        <x:v>15</x:v>
      </x:c>
      <x:c r="Q427" s="51" t="n">
        <x:v>3</x:v>
      </x:c>
      <x:c r="R427" s="52" t="n">
        <x:f>SUM(J427:Q427)</x:f>
        <x:v>75</x:v>
      </x:c>
      <x:c r="S427" s="50" t="str">
        <x:f>IF(R427&gt;='Rubrik'!$B$17,"Öncelikli video",IF(R427&gt;='Rubrik'!$B$18,"Video kuyruğu",IF(R427&gt;='Rubrik'!$B$19,"Revize et",IF(R427&gt;='Rubrik'!$B$20,"Kartla test","Düşük öncelik"))))</x:f>
        <x:v>Kartla test</x:v>
      </x:c>
      <x:c r="T427" s="50" t="str">
        <x:f>IF(AND(R427&gt;=85,P427&gt;=16,M427&gt;=12,L427&gt;=12),"Reel + Carousel",IF(AND(R427&gt;=85,P427&gt;=16,N427&gt;=8),"Soru odaklı Reel",IF(AND(R427&gt;=85,P427&gt;=16),"Reel / Short",IF(M427&gt;=11,"Carousel","Kart testi"))))</x:f>
        <x:v>Carousel</x:v>
      </x:c>
      <x:c r="U427" s="46" t="str">
        <x:v>Sabah hafifleyen duygudan REM’e geçiş yakınlık kuruyor; nörokimyasal açıklama fazla kesin anlatılıyor.</x:v>
      </x:c>
      <x:c r="V427" s="46" t="str">
        <x:f>IF(Q427&lt;=3,"Kaynak kontrolü şart",IF(Q427=4,"Kaynak kontrolü önerilir","Standart doğrulama"))</x:f>
        <x:v>Kaynak kontrolü şart</x:v>
      </x:c>
    </x:row>
    <x:row r="428" ht="24" customHeight="1">
      <x:c r="A428" s="48" t="n">
        <x:f>COUNTIF($R$2:$R$751,"&gt;"&amp;R428)+COUNTIF($R$2:R428,R428)</x:f>
        <x:v>427</x:v>
      </x:c>
      <x:c r="B428" s="48" t="n">
        <x:v>1314</x:v>
      </x:c>
      <x:c r="C428" s="46" t="str">
        <x:v>Olgunluk aşaması ve sistematik büyüme</x:v>
      </x:c>
      <x:c r="D428" s="34" t="str">
        <x:v>Verimlilik</x:v>
      </x:c>
      <x:c r="E428" s="34" t="str">
        <x:v>Girişimcilik</x:v>
      </x:c>
      <x:c r="F428" s="34" t="str">
        <x:v>İşin Özü</x:v>
      </x:c>
      <x:c r="G428" s="34" t="str">
        <x:v>Michael Gerber</x:v>
      </x:c>
      <x:c r="H428" s="50" t="str">
        <x:v>1</x:v>
      </x:c>
      <x:c r="I428" s="50" t="str">
        <x:v>Temel</x:v>
      </x:c>
      <x:c r="J428" s="51" t="n">
        <x:v>12</x:v>
      </x:c>
      <x:c r="K428" s="51" t="n">
        <x:v>6</x:v>
      </x:c>
      <x:c r="L428" s="51" t="n">
        <x:v>11</x:v>
      </x:c>
      <x:c r="M428" s="51" t="n">
        <x:v>13</x:v>
      </x:c>
      <x:c r="N428" s="51" t="n">
        <x:v>9</x:v>
      </x:c>
      <x:c r="O428" s="51" t="n">
        <x:v>7</x:v>
      </x:c>
      <x:c r="P428" s="51" t="n">
        <x:v>15</x:v>
      </x:c>
      <x:c r="Q428" s="51" t="n">
        <x:v>2</x:v>
      </x:c>
      <x:c r="R428" s="52" t="n">
        <x:f>SUM(J428:Q428)</x:f>
        <x:v>75</x:v>
      </x:c>
      <x:c r="S428" s="50" t="str">
        <x:f>IF(R428&gt;='Rubrik'!$B$17,"Öncelikli video",IF(R428&gt;='Rubrik'!$B$18,"Video kuyruğu",IF(R428&gt;='Rubrik'!$B$19,"Revize et",IF(R428&gt;='Rubrik'!$B$20,"Kartla test","Düşük öncelik"))))</x:f>
        <x:v>Kartla test</x:v>
      </x:c>
      <x:c r="T428" s="50" t="str">
        <x:f>IF(AND(R428&gt;=85,P428&gt;=16,M428&gt;=12,L428&gt;=12),"Reel + Carousel",IF(AND(R428&gt;=85,P428&gt;=16,N428&gt;=8),"Soru odaklı Reel",IF(AND(R428&gt;=85,P428&gt;=16),"Reel / Short",IF(M428&gt;=11,"Carousel","Kart testi"))))</x:f>
        <x:v>Carousel</x:v>
      </x:c>
      <x:c r="U428" s="46" t="str">
        <x:v>İşin içinde ve üzerinde çalışma ayrımı çok kullanışlı; yüzde seksen kapanma iddiası kaynaksız.</x:v>
      </x:c>
      <x:c r="V428" s="46" t="str">
        <x:f>IF(Q428&lt;=3,"Kaynak kontrolü şart",IF(Q428=4,"Kaynak kontrolü önerilir","Standart doğrulama"))</x:f>
        <x:v>Kaynak kontrolü şart</x:v>
      </x:c>
    </x:row>
    <x:row r="429" ht="24" customHeight="1">
      <x:c r="A429" s="48" t="n">
        <x:f>COUNTIF($R$2:$R$751,"&gt;"&amp;R429)+COUNTIF($R$2:R429,R429)</x:f>
        <x:v>428</x:v>
      </x:c>
      <x:c r="B429" s="48" t="n">
        <x:v>1323</x:v>
      </x:c>
      <x:c r="C429" s="46" t="str">
        <x:v>Naif soru ve uzman körlüğü</x:v>
      </x:c>
      <x:c r="D429" s="34" t="str">
        <x:v>Verimlilik</x:v>
      </x:c>
      <x:c r="E429" s="34" t="str">
        <x:v>Yaratıcılık</x:v>
      </x:c>
      <x:c r="F429" s="34" t="str">
        <x:v>Güçlü Sorular</x:v>
      </x:c>
      <x:c r="G429" s="34" t="str">
        <x:v>Warren Berger</x:v>
      </x:c>
      <x:c r="H429" s="50" t="str">
        <x:v>1</x:v>
      </x:c>
      <x:c r="I429" s="50" t="str">
        <x:v>Temel</x:v>
      </x:c>
      <x:c r="J429" s="51" t="n">
        <x:v>12</x:v>
      </x:c>
      <x:c r="K429" s="51" t="n">
        <x:v>6</x:v>
      </x:c>
      <x:c r="L429" s="51" t="n">
        <x:v>11</x:v>
      </x:c>
      <x:c r="M429" s="51" t="n">
        <x:v>11</x:v>
      </x:c>
      <x:c r="N429" s="51" t="n">
        <x:v>10</x:v>
      </x:c>
      <x:c r="O429" s="51" t="n">
        <x:v>7</x:v>
      </x:c>
      <x:c r="P429" s="51" t="n">
        <x:v>15</x:v>
      </x:c>
      <x:c r="Q429" s="51" t="n">
        <x:v>3</x:v>
      </x:c>
      <x:c r="R429" s="52" t="n">
        <x:f>SUM(J429:Q429)</x:f>
        <x:v>75</x:v>
      </x:c>
      <x:c r="S429" s="50" t="str">
        <x:f>IF(R429&gt;='Rubrik'!$B$17,"Öncelikli video",IF(R429&gt;='Rubrik'!$B$18,"Video kuyruğu",IF(R429&gt;='Rubrik'!$B$19,"Revize et",IF(R429&gt;='Rubrik'!$B$20,"Kartla test","Düşük öncelik"))))</x:f>
        <x:v>Kartla test</x:v>
      </x:c>
      <x:c r="T429" s="50" t="str">
        <x:f>IF(AND(R429&gt;=85,P429&gt;=16,M429&gt;=12,L429&gt;=12),"Reel + Carousel",IF(AND(R429&gt;=85,P429&gt;=16,N429&gt;=8),"Soru odaklı Reel",IF(AND(R429&gt;=85,P429&gt;=16),"Reel / Short",IF(M429&gt;=11,"Carousel","Kart testi"))))</x:f>
        <x:v>Carousel</x:v>
      </x:c>
      <x:c r="U429" s="46" t="str">
        <x:v>Uzman körlüğü güçlü bir tartışma ve öz sorgu açıyor; Airbnb örneği yeniliği tek soruya indirgemiş.</x:v>
      </x:c>
      <x:c r="V429" s="46" t="str">
        <x:f>IF(Q429&lt;=3,"Kaynak kontrolü şart",IF(Q429=4,"Kaynak kontrolü önerilir","Standart doğrulama"))</x:f>
        <x:v>Kaynak kontrolü şart</x:v>
      </x:c>
    </x:row>
    <x:row r="430" ht="24" customHeight="1">
      <x:c r="A430" s="48" t="n">
        <x:f>COUNTIF($R$2:$R$751,"&gt;"&amp;R430)+COUNTIF($R$2:R430,R430)</x:f>
        <x:v>429</x:v>
      </x:c>
      <x:c r="B430" s="48" t="n">
        <x:v>1329</x:v>
      </x:c>
      <x:c r="C430" s="46" t="str">
        <x:v>Geri bildirim döngüsü ve sürekli iyileşme</x:v>
      </x:c>
      <x:c r="D430" s="34" t="str">
        <x:v>Büyüme</x:v>
      </x:c>
      <x:c r="E430" s="34" t="str">
        <x:v>Motivasyon</x:v>
      </x:c>
      <x:c r="F430" s="34" t="str">
        <x:v>The Success Principles</x:v>
      </x:c>
      <x:c r="G430" s="34" t="str">
        <x:v>Jack Canfield</x:v>
      </x:c>
      <x:c r="H430" s="50" t="str">
        <x:v>1</x:v>
      </x:c>
      <x:c r="I430" s="50" t="str">
        <x:v>Temel</x:v>
      </x:c>
      <x:c r="J430" s="51" t="n">
        <x:v>12</x:v>
      </x:c>
      <x:c r="K430" s="51" t="n">
        <x:v>6</x:v>
      </x:c>
      <x:c r="L430" s="51" t="n">
        <x:v>11</x:v>
      </x:c>
      <x:c r="M430" s="51" t="n">
        <x:v>12</x:v>
      </x:c>
      <x:c r="N430" s="51" t="n">
        <x:v>9</x:v>
      </x:c>
      <x:c r="O430" s="51" t="n">
        <x:v>7</x:v>
      </x:c>
      <x:c r="P430" s="51" t="n">
        <x:v>15</x:v>
      </x:c>
      <x:c r="Q430" s="51" t="n">
        <x:v>3</x:v>
      </x:c>
      <x:c r="R430" s="52" t="n">
        <x:f>SUM(J430:Q430)</x:f>
        <x:v>75</x:v>
      </x:c>
      <x:c r="S430" s="50" t="str">
        <x:f>IF(R430&gt;='Rubrik'!$B$17,"Öncelikli video",IF(R430&gt;='Rubrik'!$B$18,"Video kuyruğu",IF(R430&gt;='Rubrik'!$B$19,"Revize et",IF(R430&gt;='Rubrik'!$B$20,"Kartla test","Düşük öncelik"))))</x:f>
        <x:v>Kartla test</x:v>
      </x:c>
      <x:c r="T430" s="50" t="str">
        <x:f>IF(AND(R430&gt;=85,P430&gt;=16,M430&gt;=12,L430&gt;=12),"Reel + Carousel",IF(AND(R430&gt;=85,P430&gt;=16,N430&gt;=8),"Soru odaklı Reel",IF(AND(R430&gt;=85,P430&gt;=16),"Reel / Short",IF(M430&gt;=11,"Carousel","Kart testi"))))</x:f>
        <x:v>Carousel</x:v>
      </x:c>
      <x:c r="U430" s="46" t="str">
        <x:v>Rotasını düzelten füze başarısızlığı yararlı veriye çeviriyor; tanıdık metafor özgünlüğü sınırlıyor.</x:v>
      </x:c>
      <x:c r="V430" s="46" t="str">
        <x:f>IF(Q430&lt;=3,"Kaynak kontrolü şart",IF(Q430=4,"Kaynak kontrolü önerilir","Standart doğrulama"))</x:f>
        <x:v>Kaynak kontrolü şart</x:v>
      </x:c>
    </x:row>
    <x:row r="431" ht="24" customHeight="1">
      <x:c r="A431" s="48" t="n">
        <x:f>COUNTIF($R$2:$R$751,"&gt;"&amp;R431)+COUNTIF($R$2:R431,R431)</x:f>
        <x:v>430</x:v>
      </x:c>
      <x:c r="B431" s="48" t="n">
        <x:v>1343</x:v>
      </x:c>
      <x:c r="C431" s="46" t="str">
        <x:v>Yüzde on daha mutlu</x:v>
      </x:c>
      <x:c r="D431" s="34" t="str">
        <x:v>Psikoloji</x:v>
      </x:c>
      <x:c r="E431" s="34" t="str">
        <x:v>Farkındalık</x:v>
      </x:c>
      <x:c r="F431" s="34" t="str">
        <x:v>Meditasyon</x:v>
      </x:c>
      <x:c r="G431" s="34" t="str">
        <x:v>Dan Harris</x:v>
      </x:c>
      <x:c r="H431" s="50" t="str">
        <x:v>1</x:v>
      </x:c>
      <x:c r="I431" s="50" t="str">
        <x:v>Temel</x:v>
      </x:c>
      <x:c r="J431" s="51" t="n">
        <x:v>12</x:v>
      </x:c>
      <x:c r="K431" s="51" t="n">
        <x:v>7</x:v>
      </x:c>
      <x:c r="L431" s="51" t="n">
        <x:v>11</x:v>
      </x:c>
      <x:c r="M431" s="51" t="n">
        <x:v>12</x:v>
      </x:c>
      <x:c r="N431" s="51" t="n">
        <x:v>9</x:v>
      </x:c>
      <x:c r="O431" s="51" t="n">
        <x:v>7</x:v>
      </x:c>
      <x:c r="P431" s="51" t="n">
        <x:v>15</x:v>
      </x:c>
      <x:c r="Q431" s="51" t="n">
        <x:v>2</x:v>
      </x:c>
      <x:c r="R431" s="52" t="n">
        <x:f>SUM(J431:Q431)</x:f>
        <x:v>75</x:v>
      </x:c>
      <x:c r="S431" s="50" t="str">
        <x:f>IF(R431&gt;='Rubrik'!$B$17,"Öncelikli video",IF(R431&gt;='Rubrik'!$B$18,"Video kuyruğu",IF(R431&gt;='Rubrik'!$B$19,"Revize et",IF(R431&gt;='Rubrik'!$B$20,"Kartla test","Düşük öncelik"))))</x:f>
        <x:v>Kartla test</x:v>
      </x:c>
      <x:c r="T431" s="50" t="str">
        <x:f>IF(AND(R431&gt;=85,P431&gt;=16,M431&gt;=12,L431&gt;=12),"Reel + Carousel",IF(AND(R431&gt;=85,P431&gt;=16,N431&gt;=8),"Soru odaklı Reel",IF(AND(R431&gt;=85,P431&gt;=16),"Reel / Short",IF(M431&gt;=11,"Carousel","Kart testi"))))</x:f>
        <x:v>Carousel</x:v>
      </x:c>
      <x:c r="U431" s="46" t="str">
        <x:v>Yüzde onluk mütevazı vaat güven ve yakınlık yaratıyor; beyin ve hormon etkileri fazla kesin listelenmiş.</x:v>
      </x:c>
      <x:c r="V431" s="46" t="str">
        <x:f>IF(Q431&lt;=3,"Kaynak kontrolü şart",IF(Q431=4,"Kaynak kontrolü önerilir","Standart doğrulama"))</x:f>
        <x:v>Kaynak kontrolü şart</x:v>
      </x:c>
    </x:row>
    <x:row r="432" ht="24" customHeight="1">
      <x:c r="A432" s="48" t="n">
        <x:f>COUNTIF($R$2:$R$751,"&gt;"&amp;R432)+COUNTIF($R$2:R432,R432)</x:f>
        <x:v>431</x:v>
      </x:c>
      <x:c r="B432" s="48" t="n">
        <x:v>1347</x:v>
      </x:c>
      <x:c r="C432" s="46" t="str">
        <x:v>Beklenti ve hayal kırıklığı</x:v>
      </x:c>
      <x:c r="D432" s="34" t="str">
        <x:v>Psikoloji</x:v>
      </x:c>
      <x:c r="E432" s="34" t="str">
        <x:v>Psikoloji</x:v>
      </x:c>
      <x:c r="F432" s="34" t="str">
        <x:v>The Paradox of Choice</x:v>
      </x:c>
      <x:c r="G432" s="34" t="str">
        <x:v>Barry Schwartz</x:v>
      </x:c>
      <x:c r="H432" s="50" t="str">
        <x:v>1</x:v>
      </x:c>
      <x:c r="I432" s="50" t="str">
        <x:v>Temel</x:v>
      </x:c>
      <x:c r="J432" s="51" t="n">
        <x:v>12</x:v>
      </x:c>
      <x:c r="K432" s="51" t="n">
        <x:v>7</x:v>
      </x:c>
      <x:c r="L432" s="51" t="n">
        <x:v>11</x:v>
      </x:c>
      <x:c r="M432" s="51" t="n">
        <x:v>12</x:v>
      </x:c>
      <x:c r="N432" s="51" t="n">
        <x:v>9</x:v>
      </x:c>
      <x:c r="O432" s="51" t="n">
        <x:v>7</x:v>
      </x:c>
      <x:c r="P432" s="51" t="n">
        <x:v>15</x:v>
      </x:c>
      <x:c r="Q432" s="51" t="n">
        <x:v>2</x:v>
      </x:c>
      <x:c r="R432" s="52" t="n">
        <x:f>SUM(J432:Q432)</x:f>
        <x:v>75</x:v>
      </x:c>
      <x:c r="S432" s="50" t="str">
        <x:f>IF(R432&gt;='Rubrik'!$B$17,"Öncelikli video",IF(R432&gt;='Rubrik'!$B$18,"Video kuyruğu",IF(R432&gt;='Rubrik'!$B$19,"Revize et",IF(R432&gt;='Rubrik'!$B$20,"Kartla test","Düşük öncelik"))))</x:f>
        <x:v>Kartla test</x:v>
      </x:c>
      <x:c r="T432" s="50" t="str">
        <x:f>IF(AND(R432&gt;=85,P432&gt;=16,M432&gt;=12,L432&gt;=12),"Reel + Carousel",IF(AND(R432&gt;=85,P432&gt;=16,N432&gt;=8),"Soru odaklı Reel",IF(AND(R432&gt;=85,P432&gt;=16),"Reel / Short",IF(M432&gt;=11,"Carousel","Kart testi"))))</x:f>
        <x:v>Carousel</x:v>
      </x:c>
      <x:c r="U432" s="46" t="str">
        <x:v>Beklenti-sonuç uçurumu çok ilişkilendirilebilir; tarihsel refah ve ruh sağlığı ilişkisi aşırı basitleştirilmiş.</x:v>
      </x:c>
      <x:c r="V432" s="46" t="str">
        <x:f>IF(Q432&lt;=3,"Kaynak kontrolü şart",IF(Q432=4,"Kaynak kontrolü önerilir","Standart doğrulama"))</x:f>
        <x:v>Kaynak kontrolü şart</x:v>
      </x:c>
    </x:row>
    <x:row r="433" ht="24" customHeight="1">
      <x:c r="A433" s="48" t="n">
        <x:f>COUNTIF($R$2:$R$751,"&gt;"&amp;R433)+COUNTIF($R$2:R433,R433)</x:f>
        <x:v>432</x:v>
      </x:c>
      <x:c r="B433" s="48" t="n">
        <x:v>1368</x:v>
      </x:c>
      <x:c r="C433" s="46" t="str">
        <x:v>Direnç ve yavaş büyümenin avantajı</x:v>
      </x:c>
      <x:c r="D433" s="34" t="str">
        <x:v>Verimlilik</x:v>
      </x:c>
      <x:c r="E433" s="34" t="str">
        <x:v>Girişimcilik</x:v>
      </x:c>
      <x:c r="F433" s="34" t="str">
        <x:v>Kendi Patronun Ol</x:v>
      </x:c>
      <x:c r="G433" s="34" t="str">
        <x:v>Paul Jarvis</x:v>
      </x:c>
      <x:c r="H433" s="50" t="str">
        <x:v>1</x:v>
      </x:c>
      <x:c r="I433" s="50" t="str">
        <x:v>Temel</x:v>
      </x:c>
      <x:c r="J433" s="51" t="n">
        <x:v>12</x:v>
      </x:c>
      <x:c r="K433" s="51" t="n">
        <x:v>6</x:v>
      </x:c>
      <x:c r="L433" s="51" t="n">
        <x:v>11</x:v>
      </x:c>
      <x:c r="M433" s="51" t="n">
        <x:v>12</x:v>
      </x:c>
      <x:c r="N433" s="51" t="n">
        <x:v>9</x:v>
      </x:c>
      <x:c r="O433" s="51" t="n">
        <x:v>7</x:v>
      </x:c>
      <x:c r="P433" s="51" t="n">
        <x:v>15</x:v>
      </x:c>
      <x:c r="Q433" s="51" t="n">
        <x:v>3</x:v>
      </x:c>
      <x:c r="R433" s="52" t="n">
        <x:f>SUM(J433:Q433)</x:f>
        <x:v>75</x:v>
      </x:c>
      <x:c r="S433" s="50" t="str">
        <x:f>IF(R433&gt;='Rubrik'!$B$17,"Öncelikli video",IF(R433&gt;='Rubrik'!$B$18,"Video kuyruğu",IF(R433&gt;='Rubrik'!$B$19,"Revize et",IF(R433&gt;='Rubrik'!$B$20,"Kartla test","Düşük öncelik"))))</x:f>
        <x:v>Kartla test</x:v>
      </x:c>
      <x:c r="T433" s="50" t="str">
        <x:f>IF(AND(R433&gt;=85,P433&gt;=16,M433&gt;=12,L433&gt;=12),"Reel + Carousel",IF(AND(R433&gt;=85,P433&gt;=16,N433&gt;=8),"Soru odaklı Reel",IF(AND(R433&gt;=85,P433&gt;=16),"Reel / Short",IF(M433&gt;=11,"Carousel","Kart testi"))))</x:f>
        <x:v>Carousel</x:v>
      </x:c>
      <x:c r="U433" s="46" t="str">
        <x:v>Yavaş büyüyen ağaç iyi bir sürdürülebilirlik metaforu; startup çöküş genellemesi kanıt istemekte.</x:v>
      </x:c>
      <x:c r="V433" s="46" t="str">
        <x:f>IF(Q433&lt;=3,"Kaynak kontrolü şart",IF(Q433=4,"Kaynak kontrolü önerilir","Standart doğrulama"))</x:f>
        <x:v>Kaynak kontrolü şart</x:v>
      </x:c>
    </x:row>
    <x:row r="434" ht="24" customHeight="1">
      <x:c r="A434" s="48" t="n">
        <x:f>COUNTIF($R$2:$R$751,"&gt;"&amp;R434)+COUNTIF($R$2:R434,R434)</x:f>
        <x:v>433</x:v>
      </x:c>
      <x:c r="B434" s="48" t="n">
        <x:v>1377</x:v>
      </x:c>
      <x:c r="C434" s="46" t="str">
        <x:v>Olumsuz görselleştirme — en kötüyü hayal etmek</x:v>
      </x:c>
      <x:c r="D434" s="34" t="str">
        <x:v>Felsefe</x:v>
      </x:c>
      <x:c r="E434" s="34" t="str">
        <x:v>Felsefe</x:v>
      </x:c>
      <x:c r="F434" s="34" t="str">
        <x:v>Stoacılık</x:v>
      </x:c>
      <x:c r="G434" s="34" t="str">
        <x:v>Marcus Aurelius</x:v>
      </x:c>
      <x:c r="H434" s="50" t="str">
        <x:v>1</x:v>
      </x:c>
      <x:c r="I434" s="50" t="str">
        <x:v>Temel</x:v>
      </x:c>
      <x:c r="J434" s="51" t="n">
        <x:v>12</x:v>
      </x:c>
      <x:c r="K434" s="51" t="n">
        <x:v>7</x:v>
      </x:c>
      <x:c r="L434" s="51" t="n">
        <x:v>11</x:v>
      </x:c>
      <x:c r="M434" s="51" t="n">
        <x:v>11</x:v>
      </x:c>
      <x:c r="N434" s="51" t="n">
        <x:v>9</x:v>
      </x:c>
      <x:c r="O434" s="51" t="n">
        <x:v>7</x:v>
      </x:c>
      <x:c r="P434" s="51" t="n">
        <x:v>15</x:v>
      </x:c>
      <x:c r="Q434" s="51" t="n">
        <x:v>3</x:v>
      </x:c>
      <x:c r="R434" s="52" t="n">
        <x:f>SUM(J434:Q434)</x:f>
        <x:v>75</x:v>
      </x:c>
      <x:c r="S434" s="50" t="str">
        <x:f>IF(R434&gt;='Rubrik'!$B$17,"Öncelikli video",IF(R434&gt;='Rubrik'!$B$18,"Video kuyruğu",IF(R434&gt;='Rubrik'!$B$19,"Revize et",IF(R434&gt;='Rubrik'!$B$20,"Kartla test","Düşük öncelik"))))</x:f>
        <x:v>Kartla test</x:v>
      </x:c>
      <x:c r="T434" s="50" t="str">
        <x:f>IF(AND(R434&gt;=85,P434&gt;=16,M434&gt;=12,L434&gt;=12),"Reel + Carousel",IF(AND(R434&gt;=85,P434&gt;=16,N434&gt;=8),"Soru odaklı Reel",IF(AND(R434&gt;=85,P434&gt;=16),"Reel / Short",IF(M434&gt;=11,"Carousel","Kart testi"))))</x:f>
        <x:v>Carousel</x:v>
      </x:c>
      <x:c r="U434" s="46" t="str">
        <x:v>Kaybı hayal ederek minnet üretme paradoksu güçlü; alıntı teyidi ve kaygıya duyarlı dil gerekiyor.</x:v>
      </x:c>
      <x:c r="V434" s="46" t="str">
        <x:f>IF(Q434&lt;=3,"Kaynak kontrolü şart",IF(Q434=4,"Kaynak kontrolü önerilir","Standart doğrulama"))</x:f>
        <x:v>Kaynak kontrolü şart</x:v>
      </x:c>
    </x:row>
    <x:row r="435" ht="24" customHeight="1">
      <x:c r="A435" s="48" t="n">
        <x:f>COUNTIF($R$2:$R$751,"&gt;"&amp;R435)+COUNTIF($R$2:R435,R435)</x:f>
        <x:v>434</x:v>
      </x:c>
      <x:c r="B435" s="48" t="n">
        <x:v>1397</x:v>
      </x:c>
      <x:c r="C435" s="46" t="str">
        <x:v>Sadık rakip — öğreten düşman</x:v>
      </x:c>
      <x:c r="D435" s="34" t="str">
        <x:v>Liderlik</x:v>
      </x:c>
      <x:c r="E435" s="34" t="str">
        <x:v>Strateji</x:v>
      </x:c>
      <x:c r="F435" s="34" t="str">
        <x:v>Sonsuz Oyun</x:v>
      </x:c>
      <x:c r="G435" s="34" t="str">
        <x:v>Simon Sinek</x:v>
      </x:c>
      <x:c r="H435" s="50" t="str">
        <x:v>1</x:v>
      </x:c>
      <x:c r="I435" s="50" t="str">
        <x:v>Temel</x:v>
      </x:c>
      <x:c r="J435" s="51" t="n">
        <x:v>12</x:v>
      </x:c>
      <x:c r="K435" s="51" t="n">
        <x:v>6</x:v>
      </x:c>
      <x:c r="L435" s="51" t="n">
        <x:v>11</x:v>
      </x:c>
      <x:c r="M435" s="51" t="n">
        <x:v>12</x:v>
      </x:c>
      <x:c r="N435" s="51" t="n">
        <x:v>9</x:v>
      </x:c>
      <x:c r="O435" s="51" t="n">
        <x:v>7</x:v>
      </x:c>
      <x:c r="P435" s="51" t="n">
        <x:v>15</x:v>
      </x:c>
      <x:c r="Q435" s="51" t="n">
        <x:v>3</x:v>
      </x:c>
      <x:c r="R435" s="52" t="n">
        <x:f>SUM(J435:Q435)</x:f>
        <x:v>75</x:v>
      </x:c>
      <x:c r="S435" s="50" t="str">
        <x:f>IF(R435&gt;='Rubrik'!$B$17,"Öncelikli video",IF(R435&gt;='Rubrik'!$B$18,"Video kuyruğu",IF(R435&gt;='Rubrik'!$B$19,"Revize et",IF(R435&gt;='Rubrik'!$B$20,"Kartla test","Düşük öncelik"))))</x:f>
        <x:v>Kartla test</x:v>
      </x:c>
      <x:c r="T435" s="50" t="str">
        <x:f>IF(AND(R435&gt;=85,P435&gt;=16,M435&gt;=12,L435&gt;=12),"Reel + Carousel",IF(AND(R435&gt;=85,P435&gt;=16,N435&gt;=8),"Soru odaklı Reel",IF(AND(R435&gt;=85,P435&gt;=16),"Reel / Short",IF(M435&gt;=11,"Carousel","Kart testi"))))</x:f>
        <x:v>Carousel</x:v>
      </x:c>
      <x:c r="U435" s="46" t="str">
        <x:v>Rakibi düşman değil öğretmen görmek iyi bir karşıtlık; Apple’ın söylem dönüşü nedensellik için zayıf kanıt.</x:v>
      </x:c>
      <x:c r="V435" s="46" t="str">
        <x:f>IF(Q435&lt;=3,"Kaynak kontrolü şart",IF(Q435=4,"Kaynak kontrolü önerilir","Standart doğrulama"))</x:f>
        <x:v>Kaynak kontrolü şart</x:v>
      </x:c>
    </x:row>
    <x:row r="436" ht="24" customHeight="1">
      <x:c r="A436" s="48" t="n">
        <x:f>COUNTIF($R$2:$R$751,"&gt;"&amp;R436)+COUNTIF($R$2:R436,R436)</x:f>
        <x:v>435</x:v>
      </x:c>
      <x:c r="B436" s="48" t="n">
        <x:v>1428</x:v>
      </x:c>
      <x:c r="C436" s="46" t="str">
        <x:v>Coçluk ve geri bildirim olmadan büyüme olmaz</x:v>
      </x:c>
      <x:c r="D436" s="34" t="str">
        <x:v>Liderlik</x:v>
      </x:c>
      <x:c r="E436" s="34" t="str">
        <x:v>Başarı</x:v>
      </x:c>
      <x:c r="F436" s="34" t="str">
        <x:v>Yetenek Yanılgısı</x:v>
      </x:c>
      <x:c r="G436" s="34" t="str">
        <x:v>Geoff Colvin</x:v>
      </x:c>
      <x:c r="H436" s="50" t="str">
        <x:v>1</x:v>
      </x:c>
      <x:c r="I436" s="50" t="str">
        <x:v>Temel</x:v>
      </x:c>
      <x:c r="J436" s="51" t="n">
        <x:v>12</x:v>
      </x:c>
      <x:c r="K436" s="51" t="n">
        <x:v>7</x:v>
      </x:c>
      <x:c r="L436" s="51" t="n">
        <x:v>11</x:v>
      </x:c>
      <x:c r="M436" s="51" t="n">
        <x:v>12</x:v>
      </x:c>
      <x:c r="N436" s="51" t="n">
        <x:v>9</x:v>
      </x:c>
      <x:c r="O436" s="51" t="n">
        <x:v>7</x:v>
      </x:c>
      <x:c r="P436" s="51" t="n">
        <x:v>15</x:v>
      </x:c>
      <x:c r="Q436" s="51" t="n">
        <x:v>2</x:v>
      </x:c>
      <x:c r="R436" s="52" t="n">
        <x:f>SUM(J436:Q436)</x:f>
        <x:v>75</x:v>
      </x:c>
      <x:c r="S436" s="50" t="str">
        <x:f>IF(R436&gt;='Rubrik'!$B$17,"Öncelikli video",IF(R436&gt;='Rubrik'!$B$18,"Video kuyruğu",IF(R436&gt;='Rubrik'!$B$19,"Revize et",IF(R436&gt;='Rubrik'!$B$20,"Kartla test","Düşük öncelik"))))</x:f>
        <x:v>Kartla test</x:v>
      </x:c>
      <x:c r="T436" s="50" t="str">
        <x:f>IF(AND(R436&gt;=85,P436&gt;=16,M436&gt;=12,L436&gt;=12),"Reel + Carousel",IF(AND(R436&gt;=85,P436&gt;=16,N436&gt;=8),"Soru odaklı Reel",IF(AND(R436&gt;=85,P436&gt;=16),"Reel / Short",IF(M436&gt;=11,"Carousel","Kart testi"))))</x:f>
        <x:v>Carousel</x:v>
      </x:c>
      <x:c r="U436" s="46" t="str">
        <x:v>Kör noktayı gören koç fikri değerli; Buffett ve Welch dahil herkesin gençten beri koçlu olduğu iddiası zayıf.</x:v>
      </x:c>
      <x:c r="V436" s="46" t="str">
        <x:f>IF(Q436&lt;=3,"Kaynak kontrolü şart",IF(Q436=4,"Kaynak kontrolü önerilir","Standart doğrulama"))</x:f>
        <x:v>Kaynak kontrolü şart</x:v>
      </x:c>
    </x:row>
    <x:row r="437" ht="24" customHeight="1">
      <x:c r="A437" s="48" t="n">
        <x:f>COUNTIF($R$2:$R$751,"&gt;"&amp;R437)+COUNTIF($R$2:R437,R437)</x:f>
        <x:v>436</x:v>
      </x:c>
      <x:c r="B437" s="48" t="n">
        <x:v>1196</x:v>
      </x:c>
      <x:c r="C437" s="46" t="str">
        <x:v>Roger Federer'in 12 saati</x:v>
      </x:c>
      <x:c r="D437" s="34" t="str">
        <x:v>Sağlık</x:v>
      </x:c>
      <x:c r="E437" s="34" t="str">
        <x:v>Sağlık</x:v>
      </x:c>
      <x:c r="F437" s="34" t="str">
        <x:v>Neden Uyuyoruz</x:v>
      </x:c>
      <x:c r="G437" s="34" t="str">
        <x:v>Matthew Walker</x:v>
      </x:c>
      <x:c r="H437" s="50" t="str">
        <x:v>1</x:v>
      </x:c>
      <x:c r="I437" s="50" t="str">
        <x:v>Temel</x:v>
      </x:c>
      <x:c r="J437" s="51" t="n">
        <x:v>15</x:v>
      </x:c>
      <x:c r="K437" s="51" t="n">
        <x:v>8</x:v>
      </x:c>
      <x:c r="L437" s="51" t="n">
        <x:v>10</x:v>
      </x:c>
      <x:c r="M437" s="51" t="n">
        <x:v>11</x:v>
      </x:c>
      <x:c r="N437" s="51" t="n">
        <x:v>8</x:v>
      </x:c>
      <x:c r="O437" s="51" t="n">
        <x:v>7</x:v>
      </x:c>
      <x:c r="P437" s="51" t="n">
        <x:v>15</x:v>
      </x:c>
      <x:c r="Q437" s="51" t="n">
        <x:v>1</x:v>
      </x:c>
      <x:c r="R437" s="52" t="n">
        <x:f>SUM(J437:Q437)</x:f>
        <x:v>75</x:v>
      </x:c>
      <x:c r="S437" s="50" t="str">
        <x:f>IF(R437&gt;='Rubrik'!$B$17,"Öncelikli video",IF(R437&gt;='Rubrik'!$B$18,"Video kuyruğu",IF(R437&gt;='Rubrik'!$B$19,"Revize et",IF(R437&gt;='Rubrik'!$B$20,"Kartla test","Düşük öncelik"))))</x:f>
        <x:v>Kartla test</x:v>
      </x:c>
      <x:c r="T437" s="50" t="str">
        <x:f>IF(AND(R437&gt;=85,P437&gt;=16,M437&gt;=12,L437&gt;=12),"Reel + Carousel",IF(AND(R437&gt;=85,P437&gt;=16,N437&gt;=8),"Soru odaklı Reel",IF(AND(R437&gt;=85,P437&gt;=16),"Reel / Short",IF(M437&gt;=11,"Carousel","Kart testi"))))</x:f>
        <x:v>Carousel</x:v>
      </x:c>
      <x:c r="U437" s="46" t="str">
        <x:v>Federer ve LeBron'un 12 saati viral kanca; bireysel uyku rakamları ile performans genellemesi teyit ister.</x:v>
      </x:c>
      <x:c r="V437" s="46" t="str">
        <x:f>IF(Q437&lt;=3,"Kaynak kontrolü şart",IF(Q437=4,"Kaynak kontrolü önerilir","Standart doğrulama"))</x:f>
        <x:v>Kaynak kontrolü şart</x:v>
      </x:c>
    </x:row>
    <x:row r="438" ht="24" customHeight="1">
      <x:c r="A438" s="48" t="n">
        <x:f>COUNTIF($R$2:$R$751,"&gt;"&amp;R438)+COUNTIF($R$2:R438,R438)</x:f>
        <x:v>437</x:v>
      </x:c>
      <x:c r="B438" s="48" t="n">
        <x:v>1211</x:v>
      </x:c>
      <x:c r="C438" s="46" t="str">
        <x:v>İki babanın iki farklı dersi</x:v>
      </x:c>
      <x:c r="D438" s="34" t="str">
        <x:v>Finans</x:v>
      </x:c>
      <x:c r="E438" s="34" t="str">
        <x:v>Finans</x:v>
      </x:c>
      <x:c r="F438" s="34" t="str">
        <x:v>Zengin Baba Fakir Baba</x:v>
      </x:c>
      <x:c r="G438" s="34" t="str">
        <x:v>Robert Kiyosaki</x:v>
      </x:c>
      <x:c r="H438" s="50" t="str">
        <x:v>1</x:v>
      </x:c>
      <x:c r="I438" s="50" t="str">
        <x:v>Temel</x:v>
      </x:c>
      <x:c r="J438" s="51" t="n">
        <x:v>13</x:v>
      </x:c>
      <x:c r="K438" s="51" t="n">
        <x:v>7</x:v>
      </x:c>
      <x:c r="L438" s="51" t="n">
        <x:v>10</x:v>
      </x:c>
      <x:c r="M438" s="51" t="n">
        <x:v>13</x:v>
      </x:c>
      <x:c r="N438" s="51" t="n">
        <x:v>9</x:v>
      </x:c>
      <x:c r="O438" s="51" t="n">
        <x:v>7</x:v>
      </x:c>
      <x:c r="P438" s="51" t="n">
        <x:v>15</x:v>
      </x:c>
      <x:c r="Q438" s="51" t="n">
        <x:v>1</x:v>
      </x:c>
      <x:c r="R438" s="52" t="n">
        <x:f>SUM(J438:Q438)</x:f>
        <x:v>75</x:v>
      </x:c>
      <x:c r="S438" s="50" t="str">
        <x:f>IF(R438&gt;='Rubrik'!$B$17,"Öncelikli video",IF(R438&gt;='Rubrik'!$B$18,"Video kuyruğu",IF(R438&gt;='Rubrik'!$B$19,"Revize et",IF(R438&gt;='Rubrik'!$B$20,"Kartla test","Düşük öncelik"))))</x:f>
        <x:v>Kartla test</x:v>
      </x:c>
      <x:c r="T438" s="50" t="str">
        <x:f>IF(AND(R438&gt;=85,P438&gt;=16,M438&gt;=12,L438&gt;=12),"Reel + Carousel",IF(AND(R438&gt;=85,P438&gt;=16,N438&gt;=8),"Soru odaklı Reel",IF(AND(R438&gt;=85,P438&gt;=16),"Reel / Short",IF(M438&gt;=11,"Carousel","Kart testi"))))</x:f>
        <x:v>Carousel</x:v>
      </x:c>
      <x:c r="U438" s="46" t="str">
        <x:v>İki baba ve iki cümle finans farkını netleştiriyor; kitabın otobiyografik gerçekliği ve reçetesi tartışmalı.</x:v>
      </x:c>
      <x:c r="V438" s="46" t="str">
        <x:f>IF(Q438&lt;=3,"Kaynak kontrolü şart",IF(Q438=4,"Kaynak kontrolü önerilir","Standart doğrulama"))</x:f>
        <x:v>Kaynak kontrolü şart</x:v>
      </x:c>
    </x:row>
    <x:row r="439" ht="24" customHeight="1">
      <x:c r="A439" s="48" t="n">
        <x:f>COUNTIF($R$2:$R$751,"&gt;"&amp;R439)+COUNTIF($R$2:R439,R439)</x:f>
        <x:v>438</x:v>
      </x:c>
      <x:c r="B439" s="48" t="n">
        <x:v>1305</x:v>
      </x:c>
      <x:c r="C439" s="46" t="str">
        <x:v>Kırılganlık ve siyah kuğuya hazırlık</x:v>
      </x:c>
      <x:c r="D439" s="34" t="str">
        <x:v>Felsefe</x:v>
      </x:c>
      <x:c r="E439" s="34" t="str">
        <x:v>Düşünme</x:v>
      </x:c>
      <x:c r="F439" s="34" t="str">
        <x:v>Siyah Kuğu</x:v>
      </x:c>
      <x:c r="G439" s="34" t="str">
        <x:v>Nassim Taleb</x:v>
      </x:c>
      <x:c r="H439" s="50" t="str">
        <x:v>1</x:v>
      </x:c>
      <x:c r="I439" s="50" t="str">
        <x:v>Temel</x:v>
      </x:c>
      <x:c r="J439" s="51" t="n">
        <x:v>12</x:v>
      </x:c>
      <x:c r="K439" s="51" t="n">
        <x:v>6</x:v>
      </x:c>
      <x:c r="L439" s="51" t="n">
        <x:v>10</x:v>
      </x:c>
      <x:c r="M439" s="51" t="n">
        <x:v>12</x:v>
      </x:c>
      <x:c r="N439" s="51" t="n">
        <x:v>9</x:v>
      </x:c>
      <x:c r="O439" s="51" t="n">
        <x:v>7</x:v>
      </x:c>
      <x:c r="P439" s="51" t="n">
        <x:v>15</x:v>
      </x:c>
      <x:c r="Q439" s="51" t="n">
        <x:v>4</x:v>
      </x:c>
      <x:c r="R439" s="52" t="n">
        <x:f>SUM(J439:Q439)</x:f>
        <x:v>75</x:v>
      </x:c>
      <x:c r="S439" s="50" t="str">
        <x:f>IF(R439&gt;='Rubrik'!$B$17,"Öncelikli video",IF(R439&gt;='Rubrik'!$B$18,"Video kuyruğu",IF(R439&gt;='Rubrik'!$B$19,"Revize et",IF(R439&gt;='Rubrik'!$B$20,"Kartla test","Düşük öncelik"))))</x:f>
        <x:v>Kartla test</x:v>
      </x:c>
      <x:c r="T439" s="50" t="str">
        <x:f>IF(AND(R439&gt;=85,P439&gt;=16,M439&gt;=12,L439&gt;=12),"Reel + Carousel",IF(AND(R439&gt;=85,P439&gt;=16,N439&gt;=8),"Soru odaklı Reel",IF(AND(R439&gt;=85,P439&gt;=16),"Reel / Short",IF(M439&gt;=11,"Carousel","Kart testi"))))</x:f>
        <x:v>Carousel</x:v>
      </x:c>
      <x:c r="U439" s="46" t="str">
        <x:v>Camdan antikırılgan sisteme geçiş anlaşılır ve uygulanabilir; kişisel kırılganlık sorusu iyi sohbet açıyor.</x:v>
      </x:c>
      <x:c r="V439" s="46" t="str">
        <x:f>IF(Q439&lt;=3,"Kaynak kontrolü şart",IF(Q439=4,"Kaynak kontrolü önerilir","Standart doğrulama"))</x:f>
        <x:v>Kaynak kontrolü önerilir</x:v>
      </x:c>
    </x:row>
    <x:row r="440" ht="24" customHeight="1">
      <x:c r="A440" s="48" t="n">
        <x:f>COUNTIF($R$2:$R$751,"&gt;"&amp;R440)+COUNTIF($R$2:R440,R440)</x:f>
        <x:v>439</x:v>
      </x:c>
      <x:c r="B440" s="48" t="n">
        <x:v>1476</x:v>
      </x:c>
      <x:c r="C440" s="46" t="str">
        <x:v>Mutluluk ve anlam — tarihsel perspektif</x:v>
      </x:c>
      <x:c r="D440" s="34" t="str">
        <x:v>Tarih</x:v>
      </x:c>
      <x:c r="E440" s="34" t="str">
        <x:v>Tarih</x:v>
      </x:c>
      <x:c r="F440" s="34" t="str">
        <x:v>İnsanlığın Kısa Tarihi</x:v>
      </x:c>
      <x:c r="G440" s="34" t="str">
        <x:v>Yuval Noah Harari</x:v>
      </x:c>
      <x:c r="H440" s="50" t="str">
        <x:v>1</x:v>
      </x:c>
      <x:c r="I440" s="50" t="str">
        <x:v>Temel</x:v>
      </x:c>
      <x:c r="J440" s="51" t="n">
        <x:v>11</x:v>
      </x:c>
      <x:c r="K440" s="51" t="n">
        <x:v>7</x:v>
      </x:c>
      <x:c r="L440" s="51" t="n">
        <x:v>12</x:v>
      </x:c>
      <x:c r="M440" s="51" t="n">
        <x:v>13</x:v>
      </x:c>
      <x:c r="N440" s="51" t="n">
        <x:v>8</x:v>
      </x:c>
      <x:c r="O440" s="51" t="n">
        <x:v>6</x:v>
      </x:c>
      <x:c r="P440" s="51" t="n">
        <x:v>14</x:v>
      </x:c>
      <x:c r="Q440" s="51" t="n">
        <x:v>4</x:v>
      </x:c>
      <x:c r="R440" s="52" t="n">
        <x:f>SUM(J440:Q440)</x:f>
        <x:v>75</x:v>
      </x:c>
      <x:c r="S440" s="50" t="str">
        <x:f>IF(R440&gt;='Rubrik'!$B$17,"Öncelikli video",IF(R440&gt;='Rubrik'!$B$18,"Video kuyruğu",IF(R440&gt;='Rubrik'!$B$19,"Revize et",IF(R440&gt;='Rubrik'!$B$20,"Kartla test","Düşük öncelik"))))</x:f>
        <x:v>Kartla test</x:v>
      </x:c>
      <x:c r="T440" s="50" t="str">
        <x:f>IF(AND(R440&gt;=85,P440&gt;=16,M440&gt;=12,L440&gt;=12),"Reel + Carousel",IF(AND(R440&gt;=85,P440&gt;=16,N440&gt;=8),"Soru odaklı Reel",IF(AND(R440&gt;=85,P440&gt;=16),"Reel / Short",IF(M440&gt;=11,"Carousel","Kart testi"))))</x:f>
        <x:v>Carousel</x:v>
      </x:c>
      <x:c r="U440" s="46" t="str">
        <x:v>Servet ile anlam arasındaki ayrım geniş kitlede karşılık bulur; kişisel karar sorusu kaydetmeyi destekler.</x:v>
      </x:c>
      <x:c r="V440" s="46" t="str">
        <x:f>IF(Q440&lt;=3,"Kaynak kontrolü şart",IF(Q440=4,"Kaynak kontrolü önerilir","Standart doğrulama"))</x:f>
        <x:v>Kaynak kontrolü önerilir</x:v>
      </x:c>
    </x:row>
    <x:row r="441" ht="24" customHeight="1">
      <x:c r="A441" s="48" t="n">
        <x:f>COUNTIF($R$2:$R$751,"&gt;"&amp;R441)+COUNTIF($R$2:R441,R441)</x:f>
        <x:v>440</x:v>
      </x:c>
      <x:c r="B441" s="48" t="n">
        <x:v>1302</x:v>
      </x:c>
      <x:c r="C441" s="46" t="str">
        <x:v>Korkuyla değil veriyle düşünmek</x:v>
      </x:c>
      <x:c r="D441" s="34" t="str">
        <x:v>Felsefe</x:v>
      </x:c>
      <x:c r="E441" s="34" t="str">
        <x:v>Düşünme</x:v>
      </x:c>
      <x:c r="F441" s="34" t="str">
        <x:v>Akıl Yürütme</x:v>
      </x:c>
      <x:c r="G441" s="34" t="str">
        <x:v>Hans Rosling</x:v>
      </x:c>
      <x:c r="H441" s="50" t="str">
        <x:v>1</x:v>
      </x:c>
      <x:c r="I441" s="50" t="str">
        <x:v>Temel</x:v>
      </x:c>
      <x:c r="J441" s="51" t="n">
        <x:v>11</x:v>
      </x:c>
      <x:c r="K441" s="51" t="n">
        <x:v>6</x:v>
      </x:c>
      <x:c r="L441" s="51" t="n">
        <x:v>11</x:v>
      </x:c>
      <x:c r="M441" s="51" t="n">
        <x:v>14</x:v>
      </x:c>
      <x:c r="N441" s="51" t="n">
        <x:v>9</x:v>
      </x:c>
      <x:c r="O441" s="51" t="n">
        <x:v>6</x:v>
      </x:c>
      <x:c r="P441" s="51" t="n">
        <x:v>14</x:v>
      </x:c>
      <x:c r="Q441" s="51" t="n">
        <x:v>4</x:v>
      </x:c>
      <x:c r="R441" s="52" t="n">
        <x:f>SUM(J441:Q441)</x:f>
        <x:v>75</x:v>
      </x:c>
      <x:c r="S441" s="50" t="str">
        <x:f>IF(R441&gt;='Rubrik'!$B$17,"Öncelikli video",IF(R441&gt;='Rubrik'!$B$18,"Video kuyruğu",IF(R441&gt;='Rubrik'!$B$19,"Revize et",IF(R441&gt;='Rubrik'!$B$20,"Kartla test","Düşük öncelik"))))</x:f>
        <x:v>Kartla test</x:v>
      </x:c>
      <x:c r="T441" s="50" t="str">
        <x:f>IF(AND(R441&gt;=85,P441&gt;=16,M441&gt;=12,L441&gt;=12),"Reel + Carousel",IF(AND(R441&gt;=85,P441&gt;=16,N441&gt;=8),"Soru odaklı Reel",IF(AND(R441&gt;=85,P441&gt;=16),"Reel / Short",IF(M441&gt;=11,"Carousel","Kart testi"))))</x:f>
        <x:v>Carousel</x:v>
      </x:c>
      <x:c r="U441" s="46" t="str">
        <x:v>Dört içgüdü iyi bir kontrol listesi ve “his mi veri mi?” sorusu sunuyor; anlatı sahnesi sınırlı.</x:v>
      </x:c>
      <x:c r="V441" s="46" t="str">
        <x:f>IF(Q441&lt;=3,"Kaynak kontrolü şart",IF(Q441=4,"Kaynak kontrolü önerilir","Standart doğrulama"))</x:f>
        <x:v>Kaynak kontrolü önerilir</x:v>
      </x:c>
    </x:row>
    <x:row r="442" ht="24" customHeight="1">
      <x:c r="A442" s="48" t="n">
        <x:f>COUNTIF($R$2:$R$751,"&gt;"&amp;R442)+COUNTIF($R$2:R442,R442)</x:f>
        <x:v>441</x:v>
      </x:c>
      <x:c r="B442" s="48" t="n">
        <x:v>1522</x:v>
      </x:c>
      <x:c r="C442" s="46" t="str">
        <x:v>Sevgi ve disiplinin birlikte çalışması</x:v>
      </x:c>
      <x:c r="D442" s="34" t="str">
        <x:v>Psikoloji</x:v>
      </x:c>
      <x:c r="E442" s="34" t="str">
        <x:v>Psikoloji</x:v>
      </x:c>
      <x:c r="F442" s="34" t="str">
        <x:v>Az Gitme Yolu</x:v>
      </x:c>
      <x:c r="G442" s="34" t="str">
        <x:v>M. Scott Peck</x:v>
      </x:c>
      <x:c r="H442" s="50" t="str">
        <x:v>1</x:v>
      </x:c>
      <x:c r="I442" s="50" t="str">
        <x:v>Temel</x:v>
      </x:c>
      <x:c r="J442" s="51" t="n">
        <x:v>11</x:v>
      </x:c>
      <x:c r="K442" s="51" t="n">
        <x:v>7</x:v>
      </x:c>
      <x:c r="L442" s="51" t="n">
        <x:v>11</x:v>
      </x:c>
      <x:c r="M442" s="51" t="n">
        <x:v>14</x:v>
      </x:c>
      <x:c r="N442" s="51" t="n">
        <x:v>8</x:v>
      </x:c>
      <x:c r="O442" s="51" t="n">
        <x:v>6</x:v>
      </x:c>
      <x:c r="P442" s="51" t="n">
        <x:v>14</x:v>
      </x:c>
      <x:c r="Q442" s="51" t="n">
        <x:v>4</x:v>
      </x:c>
      <x:c r="R442" s="52" t="n">
        <x:f>SUM(J442:Q442)</x:f>
        <x:v>75</x:v>
      </x:c>
      <x:c r="S442" s="50" t="str">
        <x:f>IF(R442&gt;='Rubrik'!$B$17,"Öncelikli video",IF(R442&gt;='Rubrik'!$B$18,"Video kuyruğu",IF(R442&gt;='Rubrik'!$B$19,"Revize et",IF(R442&gt;='Rubrik'!$B$20,"Kartla test","Düşük öncelik"))))</x:f>
        <x:v>Kartla test</x:v>
      </x:c>
      <x:c r="T442" s="50" t="str">
        <x:f>IF(AND(R442&gt;=85,P442&gt;=16,M442&gt;=12,L442&gt;=12),"Reel + Carousel",IF(AND(R442&gt;=85,P442&gt;=16,N442&gt;=8),"Soru odaklı Reel",IF(AND(R442&gt;=85,P442&gt;=16),"Reel / Short",IF(M442&gt;=11,"Carousel","Kart testi"))))</x:f>
        <x:v>Carousel</x:v>
      </x:c>
      <x:c r="U442" s="46" t="str">
        <x:v>Sevgi ile disiplini birleştiren mesaj ebeveynlik ve öz gelişimde paylaşılır; dengeli karşıtlık iyi çalışıyor.</x:v>
      </x:c>
      <x:c r="V442" s="46" t="str">
        <x:f>IF(Q442&lt;=3,"Kaynak kontrolü şart",IF(Q442=4,"Kaynak kontrolü önerilir","Standart doğrulama"))</x:f>
        <x:v>Kaynak kontrolü önerilir</x:v>
      </x:c>
    </x:row>
    <x:row r="443" ht="24" customHeight="1">
      <x:c r="A443" s="48" t="n">
        <x:f>COUNTIF($R$2:$R$751,"&gt;"&amp;R443)+COUNTIF($R$2:R443,R443)</x:f>
        <x:v>442</x:v>
      </x:c>
      <x:c r="B443" s="48" t="n">
        <x:v>1137</x:v>
      </x:c>
      <x:c r="C443" s="46" t="str">
        <x:v>Warren Buffett'ın el sıkışması</x:v>
      </x:c>
      <x:c r="D443" s="34" t="str">
        <x:v>Liderlik</x:v>
      </x:c>
      <x:c r="E443" s="34" t="str">
        <x:v>Liderlik</x:v>
      </x:c>
      <x:c r="F443" s="34" t="str">
        <x:v>Hız ve Güven</x:v>
      </x:c>
      <x:c r="G443" s="34" t="str">
        <x:v>Stephen M. R. Covey</x:v>
      </x:c>
      <x:c r="H443" s="50" t="str">
        <x:v>1</x:v>
      </x:c>
      <x:c r="I443" s="50" t="str">
        <x:v>Temel</x:v>
      </x:c>
      <x:c r="J443" s="51" t="n">
        <x:v>13</x:v>
      </x:c>
      <x:c r="K443" s="51" t="n">
        <x:v>7</x:v>
      </x:c>
      <x:c r="L443" s="51" t="n">
        <x:v>10</x:v>
      </x:c>
      <x:c r="M443" s="51" t="n">
        <x:v>13</x:v>
      </x:c>
      <x:c r="N443" s="51" t="n">
        <x:v>9</x:v>
      </x:c>
      <x:c r="O443" s="51" t="n">
        <x:v>7</x:v>
      </x:c>
      <x:c r="P443" s="51" t="n">
        <x:v>14</x:v>
      </x:c>
      <x:c r="Q443" s="51" t="n">
        <x:v>2</x:v>
      </x:c>
      <x:c r="R443" s="52" t="n">
        <x:f>SUM(J443:Q443)</x:f>
        <x:v>75</x:v>
      </x:c>
      <x:c r="S443" s="50" t="str">
        <x:f>IF(R443&gt;='Rubrik'!$B$17,"Öncelikli video",IF(R443&gt;='Rubrik'!$B$18,"Video kuyruğu",IF(R443&gt;='Rubrik'!$B$19,"Revize et",IF(R443&gt;='Rubrik'!$B$20,"Kartla test","Düşük öncelik"))))</x:f>
        <x:v>Kartla test</x:v>
      </x:c>
      <x:c r="T443" s="50" t="str">
        <x:f>IF(AND(R443&gt;=85,P443&gt;=16,M443&gt;=12,L443&gt;=12),"Reel + Carousel",IF(AND(R443&gt;=85,P443&gt;=16,N443&gt;=8),"Soru odaklı Reel",IF(AND(R443&gt;=85,P443&gt;=16),"Reel / Short",IF(M443&gt;=11,"Carousel","Kart testi"))))</x:f>
        <x:v>Carousel</x:v>
      </x:c>
      <x:c r="U443" s="46" t="str">
        <x:v>Milyarlık anlaşmayı el sıkışmayla bitirmek güçlü görüntü; sözleşmesiz anlatım gerçeği fazla sadeleştiriyor.</x:v>
      </x:c>
      <x:c r="V443" s="46" t="str">
        <x:f>IF(Q443&lt;=3,"Kaynak kontrolü şart",IF(Q443=4,"Kaynak kontrolü önerilir","Standart doğrulama"))</x:f>
        <x:v>Kaynak kontrolü şart</x:v>
      </x:c>
    </x:row>
    <x:row r="444" ht="24" customHeight="1">
      <x:c r="A444" s="48" t="n">
        <x:f>COUNTIF($R$2:$R$751,"&gt;"&amp;R444)+COUNTIF($R$2:R444,R444)</x:f>
        <x:v>443</x:v>
      </x:c>
      <x:c r="B444" s="48" t="n">
        <x:v>1158</x:v>
      </x:c>
      <x:c r="C444" s="46" t="str">
        <x:v>Uçak kazası ve söylenmeden kalan söz</x:v>
      </x:c>
      <x:c r="D444" s="34" t="str">
        <x:v>İletişim</x:v>
      </x:c>
      <x:c r="E444" s="34" t="str">
        <x:v>İletişim</x:v>
      </x:c>
      <x:c r="F444" s="34" t="str">
        <x:v>Dürüst Konuşmak</x:v>
      </x:c>
      <x:c r="G444" s="34" t="str">
        <x:v>Kerry Patterson</x:v>
      </x:c>
      <x:c r="H444" s="50" t="str">
        <x:v>1</x:v>
      </x:c>
      <x:c r="I444" s="50" t="str">
        <x:v>Temel</x:v>
      </x:c>
      <x:c r="J444" s="51" t="n">
        <x:v>14</x:v>
      </x:c>
      <x:c r="K444" s="51" t="n">
        <x:v>10</x:v>
      </x:c>
      <x:c r="L444" s="51" t="n">
        <x:v>10</x:v>
      </x:c>
      <x:c r="M444" s="51" t="n">
        <x:v>10</x:v>
      </x:c>
      <x:c r="N444" s="51" t="n">
        <x:v>10</x:v>
      </x:c>
      <x:c r="O444" s="51" t="n">
        <x:v>6</x:v>
      </x:c>
      <x:c r="P444" s="51" t="n">
        <x:v>14</x:v>
      </x:c>
      <x:c r="Q444" s="51" t="n">
        <x:v>1</x:v>
      </x:c>
      <x:c r="R444" s="52" t="n">
        <x:f>SUM(J444:Q444)</x:f>
        <x:v>75</x:v>
      </x:c>
      <x:c r="S444" s="50" t="str">
        <x:f>IF(R444&gt;='Rubrik'!$B$17,"Öncelikli video",IF(R444&gt;='Rubrik'!$B$18,"Video kuyruğu",IF(R444&gt;='Rubrik'!$B$19,"Revize et",IF(R444&gt;='Rubrik'!$B$20,"Kartla test","Düşük öncelik"))))</x:f>
        <x:v>Kartla test</x:v>
      </x:c>
      <x:c r="T444" s="50" t="str">
        <x:f>IF(AND(R444&gt;=85,P444&gt;=16,M444&gt;=12,L444&gt;=12),"Reel + Carousel",IF(AND(R444&gt;=85,P444&gt;=16,N444&gt;=8),"Soru odaklı Reel",IF(AND(R444&gt;=85,P444&gt;=16),"Reel / Short",IF(M444&gt;=11,"Carousel","Kart testi"))))</x:f>
        <x:v>Kart testi</x:v>
      </x:c>
      <x:c r="U444" s="46" t="str">
        <x:v>Söylenmeyen uyarının ölüme dönüşmesi çok güçlü; uçuş, tarih ve rapor yokluğu doğruluk riskini büyütüyor.</x:v>
      </x:c>
      <x:c r="V444" s="46" t="str">
        <x:f>IF(Q444&lt;=3,"Kaynak kontrolü şart",IF(Q444=4,"Kaynak kontrolü önerilir","Standart doğrulama"))</x:f>
        <x:v>Kaynak kontrolü şart</x:v>
      </x:c>
    </x:row>
    <x:row r="445" ht="24" customHeight="1">
      <x:c r="A445" s="48" t="n">
        <x:f>COUNTIF($R$2:$R$751,"&gt;"&amp;R445)+COUNTIF($R$2:R445,R445)</x:f>
        <x:v>444</x:v>
      </x:c>
      <x:c r="B445" s="48" t="n">
        <x:v>1176</x:v>
      </x:c>
      <x:c r="C445" s="46" t="str">
        <x:v>Bahçedeki bezelye</x:v>
      </x:c>
      <x:c r="D445" s="34" t="str">
        <x:v>Verimlilik</x:v>
      </x:c>
      <x:c r="E445" s="34" t="str">
        <x:v>Verimlilik</x:v>
      </x:c>
      <x:c r="F445" s="34" t="str">
        <x:v>Pareto İlkesi</x:v>
      </x:c>
      <x:c r="G445" s="34" t="str">
        <x:v>Richard Koch</x:v>
      </x:c>
      <x:c r="H445" s="50" t="str">
        <x:v>1</x:v>
      </x:c>
      <x:c r="I445" s="50" t="str">
        <x:v>Temel</x:v>
      </x:c>
      <x:c r="J445" s="51" t="n">
        <x:v>13</x:v>
      </x:c>
      <x:c r="K445" s="51" t="n">
        <x:v>7</x:v>
      </x:c>
      <x:c r="L445" s="51" t="n">
        <x:v>10</x:v>
      </x:c>
      <x:c r="M445" s="51" t="n">
        <x:v>13</x:v>
      </x:c>
      <x:c r="N445" s="51" t="n">
        <x:v>9</x:v>
      </x:c>
      <x:c r="O445" s="51" t="n">
        <x:v>7</x:v>
      </x:c>
      <x:c r="P445" s="51" t="n">
        <x:v>14</x:v>
      </x:c>
      <x:c r="Q445" s="51" t="n">
        <x:v>2</x:v>
      </x:c>
      <x:c r="R445" s="52" t="n">
        <x:f>SUM(J445:Q445)</x:f>
        <x:v>75</x:v>
      </x:c>
      <x:c r="S445" s="50" t="str">
        <x:f>IF(R445&gt;='Rubrik'!$B$17,"Öncelikli video",IF(R445&gt;='Rubrik'!$B$18,"Video kuyruğu",IF(R445&gt;='Rubrik'!$B$19,"Revize et",IF(R445&gt;='Rubrik'!$B$20,"Kartla test","Düşük öncelik"))))</x:f>
        <x:v>Kartla test</x:v>
      </x:c>
      <x:c r="T445" s="50" t="str">
        <x:f>IF(AND(R445&gt;=85,P445&gt;=16,M445&gt;=12,L445&gt;=12),"Reel + Carousel",IF(AND(R445&gt;=85,P445&gt;=16,N445&gt;=8),"Soru odaklı Reel",IF(AND(R445&gt;=85,P445&gt;=16),"Reel / Short",IF(M445&gt;=11,"Carousel","Kart testi"))))</x:f>
        <x:v>Carousel</x:v>
      </x:c>
      <x:c r="U445" s="46" t="str">
        <x:v>Bezelyeden servet dağılımına sıçrama çok görsel; bahçe kökeni anekdotunun doğruluğu tartışmalı.</x:v>
      </x:c>
      <x:c r="V445" s="46" t="str">
        <x:f>IF(Q445&lt;=3,"Kaynak kontrolü şart",IF(Q445=4,"Kaynak kontrolü önerilir","Standart doğrulama"))</x:f>
        <x:v>Kaynak kontrolü şart</x:v>
      </x:c>
    </x:row>
    <x:row r="446" ht="24" customHeight="1">
      <x:c r="A446" s="48" t="n">
        <x:f>COUNTIF($R$2:$R$751,"&gt;"&amp;R446)+COUNTIF($R$2:R446,R446)</x:f>
        <x:v>445</x:v>
      </x:c>
      <x:c r="B446" s="48" t="n">
        <x:v>1213</x:v>
      </x:c>
      <x:c r="C446" s="46" t="str">
        <x:v>80/20 ve işi silmek</x:v>
      </x:c>
      <x:c r="D446" s="34" t="str">
        <x:v>Verimlilik</x:v>
      </x:c>
      <x:c r="E446" s="34" t="str">
        <x:v>Verimlilik</x:v>
      </x:c>
      <x:c r="F446" s="34" t="str">
        <x:v>The 4-Hour Workweek</x:v>
      </x:c>
      <x:c r="G446" s="34" t="str">
        <x:v>Tim Ferriss</x:v>
      </x:c>
      <x:c r="H446" s="50" t="str">
        <x:v>1</x:v>
      </x:c>
      <x:c r="I446" s="50" t="str">
        <x:v>Temel</x:v>
      </x:c>
      <x:c r="J446" s="51" t="n">
        <x:v>13</x:v>
      </x:c>
      <x:c r="K446" s="51" t="n">
        <x:v>7</x:v>
      </x:c>
      <x:c r="L446" s="51" t="n">
        <x:v>10</x:v>
      </x:c>
      <x:c r="M446" s="51" t="n">
        <x:v>13</x:v>
      </x:c>
      <x:c r="N446" s="51" t="n">
        <x:v>9</x:v>
      </x:c>
      <x:c r="O446" s="51" t="n">
        <x:v>7</x:v>
      </x:c>
      <x:c r="P446" s="51" t="n">
        <x:v>14</x:v>
      </x:c>
      <x:c r="Q446" s="51" t="n">
        <x:v>2</x:v>
      </x:c>
      <x:c r="R446" s="52" t="n">
        <x:f>SUM(J446:Q446)</x:f>
        <x:v>75</x:v>
      </x:c>
      <x:c r="S446" s="50" t="str">
        <x:f>IF(R446&gt;='Rubrik'!$B$17,"Öncelikli video",IF(R446&gt;='Rubrik'!$B$18,"Video kuyruğu",IF(R446&gt;='Rubrik'!$B$19,"Revize et",IF(R446&gt;='Rubrik'!$B$20,"Kartla test","Düşük öncelik"))))</x:f>
        <x:v>Kartla test</x:v>
      </x:c>
      <x:c r="T446" s="50" t="str">
        <x:f>IF(AND(R446&gt;=85,P446&gt;=16,M446&gt;=12,L446&gt;=12),"Reel + Carousel",IF(AND(R446&gt;=85,P446&gt;=16,N446&gt;=8),"Soru odaklı Reel",IF(AND(R446&gt;=85,P446&gt;=16),"Reel / Short",IF(M446&gt;=11,"Carousel","Kart testi"))))</x:f>
        <x:v>Carousel</x:v>
      </x:c>
      <x:c r="U446" s="46" t="str">
        <x:v>Müşterilerin çoğunu kesip kârı artırmak güçlü karşıtlık; Ferriss'in sonuçları bağımsız veriyle desteklenmiyor.</x:v>
      </x:c>
      <x:c r="V446" s="46" t="str">
        <x:f>IF(Q446&lt;=3,"Kaynak kontrolü şart",IF(Q446=4,"Kaynak kontrolü önerilir","Standart doğrulama"))</x:f>
        <x:v>Kaynak kontrolü şart</x:v>
      </x:c>
    </x:row>
    <x:row r="447" ht="24" customHeight="1">
      <x:c r="A447" s="48" t="n">
        <x:f>COUNTIF($R$2:$R$751,"&gt;"&amp;R447)+COUNTIF($R$2:R447,R447)</x:f>
        <x:v>446</x:v>
      </x:c>
      <x:c r="B447" s="48" t="n">
        <x:v>1231</x:v>
      </x:c>
      <x:c r="C447" s="46" t="str">
        <x:v>Kazanmak savaşmadan</x:v>
      </x:c>
      <x:c r="D447" s="34" t="str">
        <x:v>Liderlik</x:v>
      </x:c>
      <x:c r="E447" s="34" t="str">
        <x:v>Strateji</x:v>
      </x:c>
      <x:c r="F447" s="34" t="str">
        <x:v>Savaş Sanatı</x:v>
      </x:c>
      <x:c r="G447" s="34" t="str">
        <x:v>Sun Tzu</x:v>
      </x:c>
      <x:c r="H447" s="50" t="str">
        <x:v>1</x:v>
      </x:c>
      <x:c r="I447" s="50" t="str">
        <x:v>Temel</x:v>
      </x:c>
      <x:c r="J447" s="51" t="n">
        <x:v>12</x:v>
      </x:c>
      <x:c r="K447" s="51" t="n">
        <x:v>7</x:v>
      </x:c>
      <x:c r="L447" s="51" t="n">
        <x:v>10</x:v>
      </x:c>
      <x:c r="M447" s="51" t="n">
        <x:v>12</x:v>
      </x:c>
      <x:c r="N447" s="51" t="n">
        <x:v>9</x:v>
      </x:c>
      <x:c r="O447" s="51" t="n">
        <x:v>6</x:v>
      </x:c>
      <x:c r="P447" s="51" t="n">
        <x:v>14</x:v>
      </x:c>
      <x:c r="Q447" s="51" t="n">
        <x:v>5</x:v>
      </x:c>
      <x:c r="R447" s="52" t="n">
        <x:f>SUM(J447:Q447)</x:f>
        <x:v>75</x:v>
      </x:c>
      <x:c r="S447" s="50" t="str">
        <x:f>IF(R447&gt;='Rubrik'!$B$17,"Öncelikli video",IF(R447&gt;='Rubrik'!$B$18,"Video kuyruğu",IF(R447&gt;='Rubrik'!$B$19,"Revize et",IF(R447&gt;='Rubrik'!$B$20,"Kartla test","Düşük öncelik"))))</x:f>
        <x:v>Kartla test</x:v>
      </x:c>
      <x:c r="T447" s="50" t="str">
        <x:f>IF(AND(R447&gt;=85,P447&gt;=16,M447&gt;=12,L447&gt;=12),"Reel + Carousel",IF(AND(R447&gt;=85,P447&gt;=16,N447&gt;=8),"Soru odaklı Reel",IF(AND(R447&gt;=85,P447&gt;=16),"Reel / Short",IF(M447&gt;=11,"Carousel","Kart testi"))))</x:f>
        <x:v>Carousel</x:v>
      </x:c>
      <x:c r="U447" s="46" t="str">
        <x:v>Savaşmadan kazanmak iyi bir strateji sorusu; anlatıdan çok açıklama olduğu için duygusal yay orta.</x:v>
      </x:c>
      <x:c r="V447" s="46" t="str">
        <x:f>IF(Q447&lt;=3,"Kaynak kontrolü şart",IF(Q447=4,"Kaynak kontrolü önerilir","Standart doğrulama"))</x:f>
        <x:v>Standart doğrulama</x:v>
      </x:c>
    </x:row>
    <x:row r="448" ht="24" customHeight="1">
      <x:c r="A448" s="48" t="n">
        <x:f>COUNTIF($R$2:$R$751,"&gt;"&amp;R448)+COUNTIF($R$2:R448,R448)</x:f>
        <x:v>447</x:v>
      </x:c>
      <x:c r="B448" s="48" t="n">
        <x:v>1232</x:v>
      </x:c>
      <x:c r="C448" s="46" t="str">
        <x:v>Fil ve kazık</x:v>
      </x:c>
      <x:c r="D448" s="34" t="str">
        <x:v>Büyüme</x:v>
      </x:c>
      <x:c r="E448" s="34" t="str">
        <x:v>Değişim</x:v>
      </x:c>
      <x:c r="F448" s="34" t="str">
        <x:v>Değişimin Gücü</x:v>
      </x:c>
      <x:c r="G448" s="34" t="str">
        <x:v>Chip Heath</x:v>
      </x:c>
      <x:c r="H448" s="50" t="str">
        <x:v>1</x:v>
      </x:c>
      <x:c r="I448" s="50" t="str">
        <x:v>Temel</x:v>
      </x:c>
      <x:c r="J448" s="51" t="n">
        <x:v>14</x:v>
      </x:c>
      <x:c r="K448" s="51" t="n">
        <x:v>8</x:v>
      </x:c>
      <x:c r="L448" s="51" t="n">
        <x:v>10</x:v>
      </x:c>
      <x:c r="M448" s="51" t="n">
        <x:v>11</x:v>
      </x:c>
      <x:c r="N448" s="51" t="n">
        <x:v>10</x:v>
      </x:c>
      <x:c r="O448" s="51" t="n">
        <x:v>7</x:v>
      </x:c>
      <x:c r="P448" s="51" t="n">
        <x:v>14</x:v>
      </x:c>
      <x:c r="Q448" s="51" t="n">
        <x:v>1</x:v>
      </x:c>
      <x:c r="R448" s="52" t="n">
        <x:f>SUM(J448:Q448)</x:f>
        <x:v>75</x:v>
      </x:c>
      <x:c r="S448" s="50" t="str">
        <x:f>IF(R448&gt;='Rubrik'!$B$17,"Öncelikli video",IF(R448&gt;='Rubrik'!$B$18,"Video kuyruğu",IF(R448&gt;='Rubrik'!$B$19,"Revize et",IF(R448&gt;='Rubrik'!$B$20,"Kartla test","Düşük öncelik"))))</x:f>
        <x:v>Kartla test</x:v>
      </x:c>
      <x:c r="T448" s="50" t="str">
        <x:f>IF(AND(R448&gt;=85,P448&gt;=16,M448&gt;=12,L448&gt;=12),"Reel + Carousel",IF(AND(R448&gt;=85,P448&gt;=16,N448&gt;=8),"Soru odaklı Reel",IF(AND(R448&gt;=85,P448&gt;=16),"Reel / Short",IF(M448&gt;=11,"Carousel","Kart testi"))))</x:f>
        <x:v>Carousel</x:v>
      </x:c>
      <x:c r="U448" s="46" t="str">
        <x:v>Küçük kazığa bağlı büyük fil unutulmaz görsel; gerçek hayvan davranışı gibi sunulan parabol doğrulanmalı.</x:v>
      </x:c>
      <x:c r="V448" s="46" t="str">
        <x:f>IF(Q448&lt;=3,"Kaynak kontrolü şart",IF(Q448=4,"Kaynak kontrolü önerilir","Standart doğrulama"))</x:f>
        <x:v>Kaynak kontrolü şart</x:v>
      </x:c>
    </x:row>
    <x:row r="449" ht="24" customHeight="1">
      <x:c r="A449" s="48" t="n">
        <x:f>COUNTIF($R$2:$R$751,"&gt;"&amp;R449)+COUNTIF($R$2:R449,R449)</x:f>
        <x:v>448</x:v>
      </x:c>
      <x:c r="B449" s="48" t="n">
        <x:v>1380</x:v>
      </x:c>
      <x:c r="C449" s="46" t="str">
        <x:v>ABCDE modeli — düşünceyi yeniden yapılandırma</x:v>
      </x:c>
      <x:c r="D449" s="34" t="str">
        <x:v>Psikoloji</x:v>
      </x:c>
      <x:c r="E449" s="34" t="str">
        <x:v>Psikoloji</x:v>
      </x:c>
      <x:c r="F449" s="34" t="str">
        <x:v>İyimserlik Öğrenmek</x:v>
      </x:c>
      <x:c r="G449" s="34" t="str">
        <x:v>Martin Seligman</x:v>
      </x:c>
      <x:c r="H449" s="50" t="str">
        <x:v>1</x:v>
      </x:c>
      <x:c r="I449" s="50" t="str">
        <x:v>Temel</x:v>
      </x:c>
      <x:c r="J449" s="51" t="n">
        <x:v>11</x:v>
      </x:c>
      <x:c r="K449" s="51" t="n">
        <x:v>6</x:v>
      </x:c>
      <x:c r="L449" s="51" t="n">
        <x:v>10</x:v>
      </x:c>
      <x:c r="M449" s="51" t="n">
        <x:v>14</x:v>
      </x:c>
      <x:c r="N449" s="51" t="n">
        <x:v>10</x:v>
      </x:c>
      <x:c r="O449" s="51" t="n">
        <x:v>6</x:v>
      </x:c>
      <x:c r="P449" s="51" t="n">
        <x:v>14</x:v>
      </x:c>
      <x:c r="Q449" s="51" t="n">
        <x:v>4</x:v>
      </x:c>
      <x:c r="R449" s="52" t="n">
        <x:f>SUM(J449:Q449)</x:f>
        <x:v>75</x:v>
      </x:c>
      <x:c r="S449" s="50" t="str">
        <x:f>IF(R449&gt;='Rubrik'!$B$17,"Öncelikli video",IF(R449&gt;='Rubrik'!$B$18,"Video kuyruğu",IF(R449&gt;='Rubrik'!$B$19,"Revize et",IF(R449&gt;='Rubrik'!$B$20,"Kartla test","Düşük öncelik"))))</x:f>
        <x:v>Kartla test</x:v>
      </x:c>
      <x:c r="T449" s="50" t="str">
        <x:f>IF(AND(R449&gt;=85,P449&gt;=16,M449&gt;=12,L449&gt;=12),"Reel + Carousel",IF(AND(R449&gt;=85,P449&gt;=16,N449&gt;=8),"Soru odaklı Reel",IF(AND(R449&gt;=85,P449&gt;=16),"Reel / Short",IF(M449&gt;=11,"Carousel","Kart testi"))))</x:f>
        <x:v>Carousel</x:v>
      </x:c>
      <x:c r="U449" s="46" t="str">
        <x:v>ABCDE modeli güçlü bir düşünce kontrol listesi; örnek uygulaması yüksek kaydetme ve sesli çalışma değeri taşıyor.</x:v>
      </x:c>
      <x:c r="V449" s="46" t="str">
        <x:f>IF(Q449&lt;=3,"Kaynak kontrolü şart",IF(Q449=4,"Kaynak kontrolü önerilir","Standart doğrulama"))</x:f>
        <x:v>Kaynak kontrolü önerilir</x:v>
      </x:c>
    </x:row>
    <x:row r="450" ht="24" customHeight="1">
      <x:c r="A450" s="48" t="n">
        <x:f>COUNTIF($R$2:$R$751,"&gt;"&amp;R450)+COUNTIF($R$2:R450,R450)</x:f>
        <x:v>449</x:v>
      </x:c>
      <x:c r="B450" s="48" t="n">
        <x:v>1124</x:v>
      </x:c>
      <x:c r="C450" s="46" t="str">
        <x:v>Keystone alışkanlık ve koşu</x:v>
      </x:c>
      <x:c r="D450" s="34" t="str">
        <x:v>Sağlık</x:v>
      </x:c>
      <x:c r="E450" s="34" t="str">
        <x:v>Alışkanlıklar</x:v>
      </x:c>
      <x:c r="F450" s="34" t="str">
        <x:v>Alışkanlıkların Gücü</x:v>
      </x:c>
      <x:c r="G450" s="34" t="str">
        <x:v>Charles Duhigg</x:v>
      </x:c>
      <x:c r="H450" s="50" t="str">
        <x:v>1</x:v>
      </x:c>
      <x:c r="I450" s="50" t="str">
        <x:v>Temel</x:v>
      </x:c>
      <x:c r="J450" s="51" t="n">
        <x:v>13</x:v>
      </x:c>
      <x:c r="K450" s="51" t="n">
        <x:v>8</x:v>
      </x:c>
      <x:c r="L450" s="51" t="n">
        <x:v>9</x:v>
      </x:c>
      <x:c r="M450" s="51" t="n">
        <x:v>14</x:v>
      </x:c>
      <x:c r="N450" s="51" t="n">
        <x:v>9</x:v>
      </x:c>
      <x:c r="O450" s="51" t="n">
        <x:v>7</x:v>
      </x:c>
      <x:c r="P450" s="51" t="n">
        <x:v>14</x:v>
      </x:c>
      <x:c r="Q450" s="51" t="n">
        <x:v>1</x:v>
      </x:c>
      <x:c r="R450" s="52" t="n">
        <x:f>SUM(J450:Q450)</x:f>
        <x:v>75</x:v>
      </x:c>
      <x:c r="S450" s="50" t="str">
        <x:f>IF(R450&gt;='Rubrik'!$B$17,"Öncelikli video",IF(R450&gt;='Rubrik'!$B$18,"Video kuyruğu",IF(R450&gt;='Rubrik'!$B$19,"Revize et",IF(R450&gt;='Rubrik'!$B$20,"Kartla test","Düşük öncelik"))))</x:f>
        <x:v>Kartla test</x:v>
      </x:c>
      <x:c r="T450" s="50" t="str">
        <x:f>IF(AND(R450&gt;=85,P450&gt;=16,M450&gt;=12,L450&gt;=12),"Reel + Carousel",IF(AND(R450&gt;=85,P450&gt;=16,N450&gt;=8),"Soru odaklı Reel",IF(AND(R450&gt;=85,P450&gt;=16),"Reel / Short",IF(M450&gt;=11,"Carousel","Kart testi"))))</x:f>
        <x:v>Carousel</x:v>
      </x:c>
      <x:c r="U450" s="46" t="str">
        <x:v>Koşuyla zincirleme değişen hayat ilham veriyor; Lisa vakası ve istemeden değişim sonuçları kaynak ister.</x:v>
      </x:c>
      <x:c r="V450" s="46" t="str">
        <x:f>IF(Q450&lt;=3,"Kaynak kontrolü şart",IF(Q450=4,"Kaynak kontrolü önerilir","Standart doğrulama"))</x:f>
        <x:v>Kaynak kontrolü şart</x:v>
      </x:c>
    </x:row>
    <x:row r="451" ht="24" customHeight="1">
      <x:c r="A451" s="48" t="n">
        <x:f>COUNTIF($R$2:$R$751,"&gt;"&amp;R451)+COUNTIF($R$2:R451,R451)</x:f>
        <x:v>450</x:v>
      </x:c>
      <x:c r="B451" s="48" t="n">
        <x:v>1224</x:v>
      </x:c>
      <x:c r="C451" s="46" t="str">
        <x:v>Jim Kwik'in beyin hasarı</x:v>
      </x:c>
      <x:c r="D451" s="34" t="str">
        <x:v>Felsefe</x:v>
      </x:c>
      <x:c r="E451" s="34" t="str">
        <x:v>Öğrenme</x:v>
      </x:c>
      <x:c r="F451" s="34" t="str">
        <x:v>İnsan Beyninin Gücü</x:v>
      </x:c>
      <x:c r="G451" s="34" t="str">
        <x:v>Jim Kwik</x:v>
      </x:c>
      <x:c r="H451" s="50" t="str">
        <x:v>1</x:v>
      </x:c>
      <x:c r="I451" s="50" t="str">
        <x:v>Temel</x:v>
      </x:c>
      <x:c r="J451" s="51" t="n">
        <x:v>14</x:v>
      </x:c>
      <x:c r="K451" s="51" t="n">
        <x:v>9</x:v>
      </x:c>
      <x:c r="L451" s="51" t="n">
        <x:v>9</x:v>
      </x:c>
      <x:c r="M451" s="51" t="n">
        <x:v>11</x:v>
      </x:c>
      <x:c r="N451" s="51" t="n">
        <x:v>9</x:v>
      </x:c>
      <x:c r="O451" s="51" t="n">
        <x:v>7</x:v>
      </x:c>
      <x:c r="P451" s="51" t="n">
        <x:v>14</x:v>
      </x:c>
      <x:c r="Q451" s="51" t="n">
        <x:v>2</x:v>
      </x:c>
      <x:c r="R451" s="52" t="n">
        <x:f>SUM(J451:Q451)</x:f>
        <x:v>75</x:v>
      </x:c>
      <x:c r="S451" s="50" t="str">
        <x:f>IF(R451&gt;='Rubrik'!$B$17,"Öncelikli video",IF(R451&gt;='Rubrik'!$B$18,"Video kuyruğu",IF(R451&gt;='Rubrik'!$B$19,"Revize et",IF(R451&gt;='Rubrik'!$B$20,"Kartla test","Düşük öncelik"))))</x:f>
        <x:v>Kartla test</x:v>
      </x:c>
      <x:c r="T451" s="50" t="str">
        <x:f>IF(AND(R451&gt;=85,P451&gt;=16,M451&gt;=12,L451&gt;=12),"Reel + Carousel",IF(AND(R451&gt;=85,P451&gt;=16,N451&gt;=8),"Soru odaklı Reel",IF(AND(R451&gt;=85,P451&gt;=16),"Reel / Short",IF(M451&gt;=11,"Carousel","Kart testi"))))</x:f>
        <x:v>Carousel</x:v>
      </x:c>
      <x:c r="U451" s="46" t="str">
        <x:v>Beyni kırık çocuktan hafıza eğitmenine dönüşüm duygusal; başarı ve ünlü müşteri anlatısı teyit ister.</x:v>
      </x:c>
      <x:c r="V451" s="46" t="str">
        <x:f>IF(Q451&lt;=3,"Kaynak kontrolü şart",IF(Q451=4,"Kaynak kontrolü önerilir","Standart doğrulama"))</x:f>
        <x:v>Kaynak kontrolü şart</x:v>
      </x:c>
    </x:row>
    <x:row r="452" ht="24" customHeight="1">
      <x:c r="A452" s="48" t="n">
        <x:f>COUNTIF($R$2:$R$751,"&gt;"&amp;R452)+COUNTIF($R$2:R452,R452)</x:f>
        <x:v>451</x:v>
      </x:c>
      <x:c r="B452" s="48" t="n">
        <x:v>1204</x:v>
      </x:c>
      <x:c r="C452" s="46" t="str">
        <x:v>Zırh ve liderlik</x:v>
      </x:c>
      <x:c r="D452" s="34" t="str">
        <x:v>Liderlik</x:v>
      </x:c>
      <x:c r="E452" s="34" t="str">
        <x:v>Liderlik</x:v>
      </x:c>
      <x:c r="F452" s="34" t="str">
        <x:v>Karanlığın Ötesi</x:v>
      </x:c>
      <x:c r="G452" s="34" t="str">
        <x:v>Brené Brown</x:v>
      </x:c>
      <x:c r="H452" s="50" t="str">
        <x:v>1</x:v>
      </x:c>
      <x:c r="I452" s="50" t="str">
        <x:v>Temel</x:v>
      </x:c>
      <x:c r="J452" s="51" t="n">
        <x:v>12</x:v>
      </x:c>
      <x:c r="K452" s="51" t="n">
        <x:v>8</x:v>
      </x:c>
      <x:c r="L452" s="51" t="n">
        <x:v>10</x:v>
      </x:c>
      <x:c r="M452" s="51" t="n">
        <x:v>12</x:v>
      </x:c>
      <x:c r="N452" s="51" t="n">
        <x:v>10</x:v>
      </x:c>
      <x:c r="O452" s="51" t="n">
        <x:v>6</x:v>
      </x:c>
      <x:c r="P452" s="51" t="n">
        <x:v>13</x:v>
      </x:c>
      <x:c r="Q452" s="51" t="n">
        <x:v>4</x:v>
      </x:c>
      <x:c r="R452" s="52" t="n">
        <x:f>SUM(J452:Q452)</x:f>
        <x:v>75</x:v>
      </x:c>
      <x:c r="S452" s="50" t="str">
        <x:f>IF(R452&gt;='Rubrik'!$B$17,"Öncelikli video",IF(R452&gt;='Rubrik'!$B$18,"Video kuyruğu",IF(R452&gt;='Rubrik'!$B$19,"Revize et",IF(R452&gt;='Rubrik'!$B$20,"Kartla test","Düşük öncelik"))))</x:f>
        <x:v>Kartla test</x:v>
      </x:c>
      <x:c r="T452" s="50" t="str">
        <x:f>IF(AND(R452&gt;=85,P452&gt;=16,M452&gt;=12,L452&gt;=12),"Reel + Carousel",IF(AND(R452&gt;=85,P452&gt;=16,N452&gt;=8),"Soru odaklı Reel",IF(AND(R452&gt;=85,P452&gt;=16),"Reel / Short",IF(M452&gt;=11,"Carousel","Kart testi"))))</x:f>
        <x:v>Carousel</x:v>
      </x:c>
      <x:c r="U452" s="46" t="str">
        <x:v>Bilmiyorum diyen lider ile zırhlı lider karşıtlığı ekip sohbetine uygun ve uygulanabilir.</x:v>
      </x:c>
      <x:c r="V452" s="46" t="str">
        <x:f>IF(Q452&lt;=3,"Kaynak kontrolü şart",IF(Q452=4,"Kaynak kontrolü önerilir","Standart doğrulama"))</x:f>
        <x:v>Kaynak kontrolü önerilir</x:v>
      </x:c>
    </x:row>
    <x:row r="453" ht="24" customHeight="1">
      <x:c r="A453" s="48" t="n">
        <x:f>COUNTIF($R$2:$R$751,"&gt;"&amp;R453)+COUNTIF($R$2:R453,R453)</x:f>
        <x:v>452</x:v>
      </x:c>
      <x:c r="B453" s="48" t="n">
        <x:v>1155</x:v>
      </x:c>
      <x:c r="C453" s="46" t="str">
        <x:v>Sabotaj zihninin beş sesi</x:v>
      </x:c>
      <x:c r="D453" s="34" t="str">
        <x:v>Psikoloji</x:v>
      </x:c>
      <x:c r="E453" s="34" t="str">
        <x:v>Psikoloji</x:v>
      </x:c>
      <x:c r="F453" s="34" t="str">
        <x:v>Olumlu Zeka</x:v>
      </x:c>
      <x:c r="G453" s="34" t="str">
        <x:v>Shirzad Chamine</x:v>
      </x:c>
      <x:c r="H453" s="50" t="str">
        <x:v>1</x:v>
      </x:c>
      <x:c r="I453" s="50" t="str">
        <x:v>Temel</x:v>
      </x:c>
      <x:c r="J453" s="51" t="n">
        <x:v>12</x:v>
      </x:c>
      <x:c r="K453" s="51" t="n">
        <x:v>8</x:v>
      </x:c>
      <x:c r="L453" s="51" t="n">
        <x:v>9</x:v>
      </x:c>
      <x:c r="M453" s="51" t="n">
        <x:v>14</x:v>
      </x:c>
      <x:c r="N453" s="51" t="n">
        <x:v>10</x:v>
      </x:c>
      <x:c r="O453" s="51" t="n">
        <x:v>6</x:v>
      </x:c>
      <x:c r="P453" s="51" t="n">
        <x:v>13</x:v>
      </x:c>
      <x:c r="Q453" s="51" t="n">
        <x:v>3</x:v>
      </x:c>
      <x:c r="R453" s="52" t="n">
        <x:f>SUM(J453:Q453)</x:f>
        <x:v>75</x:v>
      </x:c>
      <x:c r="S453" s="50" t="str">
        <x:f>IF(R453&gt;='Rubrik'!$B$17,"Öncelikli video",IF(R453&gt;='Rubrik'!$B$18,"Video kuyruğu",IF(R453&gt;='Rubrik'!$B$19,"Revize et",IF(R453&gt;='Rubrik'!$B$20,"Kartla test","Düşük öncelik"))))</x:f>
        <x:v>Kartla test</x:v>
      </x:c>
      <x:c r="T453" s="50" t="str">
        <x:f>IF(AND(R453&gt;=85,P453&gt;=16,M453&gt;=12,L453&gt;=12),"Reel + Carousel",IF(AND(R453&gt;=85,P453&gt;=16,N453&gt;=8),"Soru odaklı Reel",IF(AND(R453&gt;=85,P453&gt;=16),"Reel / Short",IF(M453&gt;=11,"Carousel","Kart testi"))))</x:f>
        <x:v>Carousel</x:v>
      </x:c>
      <x:c r="U453" s="46" t="str">
        <x:v>Yargıç, kaygıcı ve denetleyici sesleri adlandırmak kişisel not ve sesli öz değerlendirme için güçlü.</x:v>
      </x:c>
      <x:c r="V453" s="46" t="str">
        <x:f>IF(Q453&lt;=3,"Kaynak kontrolü şart",IF(Q453=4,"Kaynak kontrolü önerilir","Standart doğrulama"))</x:f>
        <x:v>Kaynak kontrolü şart</x:v>
      </x:c>
    </x:row>
    <x:row r="454" ht="24" customHeight="1">
      <x:c r="A454" s="48" t="n">
        <x:f>COUNTIF($R$2:$R$751,"&gt;"&amp;R454)+COUNTIF($R$2:R454,R454)</x:f>
        <x:v>453</x:v>
      </x:c>
      <x:c r="B454" s="48" t="n">
        <x:v>1160</x:v>
      </x:c>
      <x:c r="C454" s="46" t="str">
        <x:v>Hikayelerden gerçeklere dönmek</x:v>
      </x:c>
      <x:c r="D454" s="34" t="str">
        <x:v>İletişim</x:v>
      </x:c>
      <x:c r="E454" s="34" t="str">
        <x:v>İletişim</x:v>
      </x:c>
      <x:c r="F454" s="34" t="str">
        <x:v>Dürüst Konuşmak</x:v>
      </x:c>
      <x:c r="G454" s="34" t="str">
        <x:v>Kerry Patterson</x:v>
      </x:c>
      <x:c r="H454" s="50" t="str">
        <x:v>1</x:v>
      </x:c>
      <x:c r="I454" s="50" t="str">
        <x:v>Temel</x:v>
      </x:c>
      <x:c r="J454" s="51" t="n">
        <x:v>12</x:v>
      </x:c>
      <x:c r="K454" s="51" t="n">
        <x:v>7</x:v>
      </x:c>
      <x:c r="L454" s="51" t="n">
        <x:v>9</x:v>
      </x:c>
      <x:c r="M454" s="51" t="n">
        <x:v>14</x:v>
      </x:c>
      <x:c r="N454" s="51" t="n">
        <x:v>10</x:v>
      </x:c>
      <x:c r="O454" s="51" t="n">
        <x:v>6</x:v>
      </x:c>
      <x:c r="P454" s="51" t="n">
        <x:v>13</x:v>
      </x:c>
      <x:c r="Q454" s="51" t="n">
        <x:v>4</x:v>
      </x:c>
      <x:c r="R454" s="52" t="n">
        <x:f>SUM(J454:Q454)</x:f>
        <x:v>75</x:v>
      </x:c>
      <x:c r="S454" s="50" t="str">
        <x:f>IF(R454&gt;='Rubrik'!$B$17,"Öncelikli video",IF(R454&gt;='Rubrik'!$B$18,"Video kuyruğu",IF(R454&gt;='Rubrik'!$B$19,"Revize et",IF(R454&gt;='Rubrik'!$B$20,"Kartla test","Düşük öncelik"))))</x:f>
        <x:v>Kartla test</x:v>
      </x:c>
      <x:c r="T454" s="50" t="str">
        <x:f>IF(AND(R454&gt;=85,P454&gt;=16,M454&gt;=12,L454&gt;=12),"Reel + Carousel",IF(AND(R454&gt;=85,P454&gt;=16,N454&gt;=8),"Soru odaklı Reel",IF(AND(R454&gt;=85,P454&gt;=16),"Reel / Short",IF(M454&gt;=11,"Carousel","Kart testi"))))</x:f>
        <x:v>Carousel</x:v>
      </x:c>
      <x:c r="U454" s="46" t="str">
        <x:v>Gerçek ile beynin hikâyesini ayırma örneği hemen uygulanır ve kişisel bir sesli yanıt üretir.</x:v>
      </x:c>
      <x:c r="V454" s="46" t="str">
        <x:f>IF(Q454&lt;=3,"Kaynak kontrolü şart",IF(Q454=4,"Kaynak kontrolü önerilir","Standart doğrulama"))</x:f>
        <x:v>Kaynak kontrolü önerilir</x:v>
      </x:c>
    </x:row>
    <x:row r="455" ht="24" customHeight="1">
      <x:c r="A455" s="48" t="n">
        <x:f>COUNTIF($R$2:$R$751,"&gt;"&amp;R455)+COUNTIF($R$2:R455,R455)</x:f>
        <x:v>454</x:v>
      </x:c>
      <x:c r="B455" s="48" t="n">
        <x:v>1778</x:v>
      </x:c>
      <x:c r="C455" s="46" t="str">
        <x:v>Boş Sandalyenin Anlamı</x:v>
      </x:c>
      <x:c r="D455" s="34" t="str">
        <x:v>Liderlik</x:v>
      </x:c>
      <x:c r="E455" s="34" t="str">
        <x:v>Liderlik</x:v>
      </x:c>
      <x:c r="F455" s="34" t="str">
        <x:v>The Everything Store</x:v>
      </x:c>
      <x:c r="G455" s="34" t="str">
        <x:v>Brad Stone</x:v>
      </x:c>
      <x:c r="H455" s="50" t="str">
        <x:v>2</x:v>
      </x:c>
      <x:c r="I455" s="50" t="str">
        <x:v>Zengin</x:v>
      </x:c>
      <x:c r="J455" s="51" t="n">
        <x:v>12</x:v>
      </x:c>
      <x:c r="K455" s="51" t="n">
        <x:v>4</x:v>
      </x:c>
      <x:c r="L455" s="51" t="n">
        <x:v>13</x:v>
      </x:c>
      <x:c r="M455" s="51" t="n">
        <x:v>9</x:v>
      </x:c>
      <x:c r="N455" s="51" t="n">
        <x:v>7</x:v>
      </x:c>
      <x:c r="O455" s="51" t="n">
        <x:v>8</x:v>
      </x:c>
      <x:c r="P455" s="51" t="n">
        <x:v>17</x:v>
      </x:c>
      <x:c r="Q455" s="51" t="n">
        <x:v>4</x:v>
      </x:c>
      <x:c r="R455" s="52" t="n">
        <x:f>SUM(J455:Q455)</x:f>
        <x:v>74</x:v>
      </x:c>
      <x:c r="S455" s="50" t="str">
        <x:f>IF(R455&gt;='Rubrik'!$B$17,"Öncelikli video",IF(R455&gt;='Rubrik'!$B$18,"Video kuyruğu",IF(R455&gt;='Rubrik'!$B$19,"Revize et",IF(R455&gt;='Rubrik'!$B$20,"Kartla test","Düşük öncelik"))))</x:f>
        <x:v>Kartla test</x:v>
      </x:c>
      <x:c r="T455" s="50" t="str">
        <x:f>IF(AND(R455&gt;=85,P455&gt;=16,M455&gt;=12,L455&gt;=12),"Reel + Carousel",IF(AND(R455&gt;=85,P455&gt;=16,N455&gt;=8),"Soru odaklı Reel",IF(AND(R455&gt;=85,P455&gt;=16),"Reel / Short",IF(M455&gt;=11,"Carousel","Kart testi"))))</x:f>
        <x:v>Kart testi</x:v>
      </x:c>
      <x:c r="U455" s="46" t="str">
        <x:v>Merak sorusu ve karşıtlık ilk saniye etkisini güçlendiriyor; olay örgüsü yeterli.</x:v>
      </x:c>
      <x:c r="V455" s="46" t="str">
        <x:f>IF(Q455&lt;=3,"Kaynak kontrolü şart",IF(Q455=4,"Kaynak kontrolü önerilir","Standart doğrulama"))</x:f>
        <x:v>Kaynak kontrolü önerilir</x:v>
      </x:c>
    </x:row>
    <x:row r="456" ht="24" customHeight="1">
      <x:c r="A456" s="48" t="n">
        <x:f>COUNTIF($R$2:$R$751,"&gt;"&amp;R456)+COUNTIF($R$2:R456,R456)</x:f>
        <x:v>455</x:v>
      </x:c>
      <x:c r="B456" s="48" t="n">
        <x:v>1499</x:v>
      </x:c>
      <x:c r="C456" s="46" t="str">
        <x:v>Ortak düşman kültürünün tehlikesi</x:v>
      </x:c>
      <x:c r="D456" s="34" t="str">
        <x:v>Liderlik</x:v>
      </x:c>
      <x:c r="E456" s="34" t="str">
        <x:v>Liderlik</x:v>
      </x:c>
      <x:c r="F456" s="34" t="str">
        <x:v>Kabile Liderliği</x:v>
      </x:c>
      <x:c r="G456" s="34" t="str">
        <x:v>Dave Logan</x:v>
      </x:c>
      <x:c r="H456" s="50" t="str">
        <x:v>1</x:v>
      </x:c>
      <x:c r="I456" s="50" t="str">
        <x:v>Temel</x:v>
      </x:c>
      <x:c r="J456" s="51" t="n">
        <x:v>11</x:v>
      </x:c>
      <x:c r="K456" s="51" t="n">
        <x:v>6</x:v>
      </x:c>
      <x:c r="L456" s="51" t="n">
        <x:v>12</x:v>
      </x:c>
      <x:c r="M456" s="51" t="n">
        <x:v>12</x:v>
      </x:c>
      <x:c r="N456" s="51" t="n">
        <x:v>8</x:v>
      </x:c>
      <x:c r="O456" s="51" t="n">
        <x:v>6</x:v>
      </x:c>
      <x:c r="P456" s="51" t="n">
        <x:v>15</x:v>
      </x:c>
      <x:c r="Q456" s="51" t="n">
        <x:v>4</x:v>
      </x:c>
      <x:c r="R456" s="52" t="n">
        <x:f>SUM(J456:Q456)</x:f>
        <x:v>74</x:v>
      </x:c>
      <x:c r="S456" s="50" t="str">
        <x:f>IF(R456&gt;='Rubrik'!$B$17,"Öncelikli video",IF(R456&gt;='Rubrik'!$B$18,"Video kuyruğu",IF(R456&gt;='Rubrik'!$B$19,"Revize et",IF(R456&gt;='Rubrik'!$B$20,"Kartla test","Düşük öncelik"))))</x:f>
        <x:v>Kartla test</x:v>
      </x:c>
      <x:c r="T456" s="50" t="str">
        <x:f>IF(AND(R456&gt;=85,P456&gt;=16,M456&gt;=12,L456&gt;=12),"Reel + Carousel",IF(AND(R456&gt;=85,P456&gt;=16,N456&gt;=8),"Soru odaklı Reel",IF(AND(R456&gt;=85,P456&gt;=16),"Reel / Short",IF(M456&gt;=11,"Carousel","Kart testi"))))</x:f>
        <x:v>Carousel</x:v>
      </x:c>
      <x:c r="U456" s="46" t="str">
        <x:v>Ortak düşmanın kültür kurması tanıdık ve kışkırtıcı; etik sınır eklenirse yorumlarda güçlü tartışma açar.</x:v>
      </x:c>
      <x:c r="V456" s="46" t="str">
        <x:f>IF(Q456&lt;=3,"Kaynak kontrolü şart",IF(Q456=4,"Kaynak kontrolü önerilir","Standart doğrulama"))</x:f>
        <x:v>Kaynak kontrolü önerilir</x:v>
      </x:c>
    </x:row>
    <x:row r="457" ht="24" customHeight="1">
      <x:c r="A457" s="48" t="n">
        <x:f>COUNTIF($R$2:$R$751,"&gt;"&amp;R457)+COUNTIF($R$2:R457,R457)</x:f>
        <x:v>456</x:v>
      </x:c>
      <x:c r="B457" s="48" t="n">
        <x:v>1589</x:v>
      </x:c>
      <x:c r="C457" s="46" t="str">
        <x:v>Hayatta kalma genleri — stres biyolojik saati nasıl yavaşlatıyor</x:v>
      </x:c>
      <x:c r="D457" s="34" t="str">
        <x:v>Sağlık</x:v>
      </x:c>
      <x:c r="E457" s="34" t="str">
        <x:v>Sağlık</x:v>
      </x:c>
      <x:c r="F457" s="34" t="str">
        <x:v>Uzun Yaşam Bilimi</x:v>
      </x:c>
      <x:c r="G457" s="34" t="str">
        <x:v>David Sinclair</x:v>
      </x:c>
      <x:c r="H457" s="50" t="str">
        <x:v>1</x:v>
      </x:c>
      <x:c r="I457" s="50" t="str">
        <x:v>Temel</x:v>
      </x:c>
      <x:c r="J457" s="51" t="n">
        <x:v>12</x:v>
      </x:c>
      <x:c r="K457" s="51" t="n">
        <x:v>6</x:v>
      </x:c>
      <x:c r="L457" s="51" t="n">
        <x:v>12</x:v>
      </x:c>
      <x:c r="M457" s="51" t="n">
        <x:v>13</x:v>
      </x:c>
      <x:c r="N457" s="51" t="n">
        <x:v>8</x:v>
      </x:c>
      <x:c r="O457" s="51" t="n">
        <x:v>6</x:v>
      </x:c>
      <x:c r="P457" s="51" t="n">
        <x:v>15</x:v>
      </x:c>
      <x:c r="Q457" s="51" t="n">
        <x:v>2</x:v>
      </x:c>
      <x:c r="R457" s="52" t="n">
        <x:f>SUM(J457:Q457)</x:f>
        <x:v>74</x:v>
      </x:c>
      <x:c r="S457" s="50" t="str">
        <x:f>IF(R457&gt;='Rubrik'!$B$17,"Öncelikli video",IF(R457&gt;='Rubrik'!$B$18,"Video kuyruğu",IF(R457&gt;='Rubrik'!$B$19,"Revize et",IF(R457&gt;='Rubrik'!$B$20,"Kartla test","Düşük öncelik"))))</x:f>
        <x:v>Kartla test</x:v>
      </x:c>
      <x:c r="T457" s="50" t="str">
        <x:f>IF(AND(R457&gt;=85,P457&gt;=16,M457&gt;=12,L457&gt;=12),"Reel + Carousel",IF(AND(R457&gt;=85,P457&gt;=16,N457&gt;=8),"Soru odaklı Reel",IF(AND(R457&gt;=85,P457&gt;=16),"Reel / Short",IF(M457&gt;=11,"Carousel","Kart testi"))))</x:f>
        <x:v>Carousel</x:v>
      </x:c>
      <x:c r="U457" s="46" t="str">
        <x:v>Hormesisin küçük stresle güçlenme fikri çekici ve uygulanabilir görünür; doz ve güvenlik sınırları kritik.</x:v>
      </x:c>
      <x:c r="V457" s="46" t="str">
        <x:f>IF(Q457&lt;=3,"Kaynak kontrolü şart",IF(Q457=4,"Kaynak kontrolü önerilir","Standart doğrulama"))</x:f>
        <x:v>Kaynak kontrolü şart</x:v>
      </x:c>
    </x:row>
    <x:row r="458" ht="24" customHeight="1">
      <x:c r="A458" s="48" t="n">
        <x:f>COUNTIF($R$2:$R$751,"&gt;"&amp;R458)+COUNTIF($R$2:R458,R458)</x:f>
        <x:v>457</x:v>
      </x:c>
      <x:c r="B458" s="48" t="n">
        <x:v>1595</x:v>
      </x:c>
      <x:c r="C458" s="46" t="str">
        <x:v>Karbonhidrat ve kolesterol — tersine dönen paradigma</x:v>
      </x:c>
      <x:c r="D458" s="34" t="str">
        <x:v>Sağlık</x:v>
      </x:c>
      <x:c r="E458" s="34" t="str">
        <x:v>Sağlık</x:v>
      </x:c>
      <x:c r="F458" s="34" t="str">
        <x:v>Beyin ve Diyet</x:v>
      </x:c>
      <x:c r="G458" s="34" t="str">
        <x:v>David Perlmutter</x:v>
      </x:c>
      <x:c r="H458" s="50" t="str">
        <x:v>1</x:v>
      </x:c>
      <x:c r="I458" s="50" t="str">
        <x:v>Temel</x:v>
      </x:c>
      <x:c r="J458" s="51" t="n">
        <x:v>12</x:v>
      </x:c>
      <x:c r="K458" s="51" t="n">
        <x:v>7</x:v>
      </x:c>
      <x:c r="L458" s="51" t="n">
        <x:v>12</x:v>
      </x:c>
      <x:c r="M458" s="51" t="n">
        <x:v>13</x:v>
      </x:c>
      <x:c r="N458" s="51" t="n">
        <x:v>8</x:v>
      </x:c>
      <x:c r="O458" s="51" t="n">
        <x:v>6</x:v>
      </x:c>
      <x:c r="P458" s="51" t="n">
        <x:v>15</x:v>
      </x:c>
      <x:c r="Q458" s="51" t="n">
        <x:v>1</x:v>
      </x:c>
      <x:c r="R458" s="52" t="n">
        <x:f>SUM(J458:Q458)</x:f>
        <x:v>74</x:v>
      </x:c>
      <x:c r="S458" s="50" t="str">
        <x:f>IF(R458&gt;='Rubrik'!$B$17,"Öncelikli video",IF(R458&gt;='Rubrik'!$B$18,"Video kuyruğu",IF(R458&gt;='Rubrik'!$B$19,"Revize et",IF(R458&gt;='Rubrik'!$B$20,"Kartla test","Düşük öncelik"))))</x:f>
        <x:v>Kartla test</x:v>
      </x:c>
      <x:c r="T458" s="50" t="str">
        <x:f>IF(AND(R458&gt;=85,P458&gt;=16,M458&gt;=12,L458&gt;=12),"Reel + Carousel",IF(AND(R458&gt;=85,P458&gt;=16,N458&gt;=8),"Soru odaklı Reel",IF(AND(R458&gt;=85,P458&gt;=16),"Reel / Short",IF(M458&gt;=11,"Carousel","Kart testi"))))</x:f>
        <x:v>Carousel</x:v>
      </x:c>
      <x:c r="U458" s="46" t="str">
        <x:v>Karbonhidrat ve kolesterol anlatısı tartışma yaratır; tek nedenli sağlık çıkarımları ciddi kaynak kontrolü ister.</x:v>
      </x:c>
      <x:c r="V458" s="46" t="str">
        <x:f>IF(Q458&lt;=3,"Kaynak kontrolü şart",IF(Q458=4,"Kaynak kontrolü önerilir","Standart doğrulama"))</x:f>
        <x:v>Kaynak kontrolü şart</x:v>
      </x:c>
    </x:row>
    <x:row r="459" ht="24" customHeight="1">
      <x:c r="A459" s="48" t="n">
        <x:f>COUNTIF($R$2:$R$751,"&gt;"&amp;R459)+COUNTIF($R$2:R459,R459)</x:f>
        <x:v>458</x:v>
      </x:c>
      <x:c r="B459" s="48" t="n">
        <x:v>1288</x:v>
      </x:c>
      <x:c r="C459" s="46" t="str">
        <x:v>Çocukluğun en karanlık gecesi</x:v>
      </x:c>
      <x:c r="D459" s="34" t="str">
        <x:v>Büyüme</x:v>
      </x:c>
      <x:c r="E459" s="34" t="str">
        <x:v>Motivasyon</x:v>
      </x:c>
      <x:c r="F459" s="34" t="str">
        <x:v>Can't Hurt Me</x:v>
      </x:c>
      <x:c r="G459" s="34" t="str">
        <x:v>David Goggins</x:v>
      </x:c>
      <x:c r="H459" s="50" t="str">
        <x:v>1</x:v>
      </x:c>
      <x:c r="I459" s="50" t="str">
        <x:v>Temel</x:v>
      </x:c>
      <x:c r="J459" s="51" t="n">
        <x:v>12</x:v>
      </x:c>
      <x:c r="K459" s="51" t="n">
        <x:v>8</x:v>
      </x:c>
      <x:c r="L459" s="51" t="n">
        <x:v>11</x:v>
      </x:c>
      <x:c r="M459" s="51" t="n">
        <x:v>10</x:v>
      </x:c>
      <x:c r="N459" s="51" t="n">
        <x:v>8</x:v>
      </x:c>
      <x:c r="O459" s="51" t="n">
        <x:v>7</x:v>
      </x:c>
      <x:c r="P459" s="51" t="n">
        <x:v>15</x:v>
      </x:c>
      <x:c r="Q459" s="51" t="n">
        <x:v>3</x:v>
      </x:c>
      <x:c r="R459" s="52" t="n">
        <x:f>SUM(J459:Q459)</x:f>
        <x:v>74</x:v>
      </x:c>
      <x:c r="S459" s="50" t="str">
        <x:f>IF(R459&gt;='Rubrik'!$B$17,"Öncelikli video",IF(R459&gt;='Rubrik'!$B$18,"Video kuyruğu",IF(R459&gt;='Rubrik'!$B$19,"Revize et",IF(R459&gt;='Rubrik'!$B$20,"Kartla test","Düşük öncelik"))))</x:f>
        <x:v>Kartla test</x:v>
      </x:c>
      <x:c r="T459" s="50" t="str">
        <x:f>IF(AND(R459&gt;=85,P459&gt;=16,M459&gt;=12,L459&gt;=12),"Reel + Carousel",IF(AND(R459&gt;=85,P459&gt;=16,N459&gt;=8),"Soru odaklı Reel",IF(AND(R459&gt;=85,P459&gt;=16),"Reel / Short",IF(M459&gt;=11,"Carousel","Kart testi"))))</x:f>
        <x:v>Kart testi</x:v>
      </x:c>
      <x:c r="U459" s="46" t="str">
        <x:v>Zorlu çocukluktan öz-yazarlığa geçiş duygusal; belirsiz “bir gece” sahnesi ve mağduriyet dili dikkat istiyor.</x:v>
      </x:c>
      <x:c r="V459" s="46" t="str">
        <x:f>IF(Q459&lt;=3,"Kaynak kontrolü şart",IF(Q459=4,"Kaynak kontrolü önerilir","Standart doğrulama"))</x:f>
        <x:v>Kaynak kontrolü şart</x:v>
      </x:c>
    </x:row>
    <x:row r="460" ht="24" customHeight="1">
      <x:c r="A460" s="48" t="n">
        <x:f>COUNTIF($R$2:$R$751,"&gt;"&amp;R460)+COUNTIF($R$2:R460,R460)</x:f>
        <x:v>459</x:v>
      </x:c>
      <x:c r="B460" s="48" t="n">
        <x:v>1299</x:v>
      </x:c>
      <x:c r="C460" s="46" t="str">
        <x:v>Dinlenmenin üretkenlik paradoksu</x:v>
      </x:c>
      <x:c r="D460" s="34" t="str">
        <x:v>Verimlilik</x:v>
      </x:c>
      <x:c r="E460" s="34" t="str">
        <x:v>Verimlilik</x:v>
      </x:c>
      <x:c r="F460" s="34" t="str">
        <x:v>Minimalizm</x:v>
      </x:c>
      <x:c r="G460" s="34" t="str">
        <x:v>Greg McKeown</x:v>
      </x:c>
      <x:c r="H460" s="50" t="str">
        <x:v>1</x:v>
      </x:c>
      <x:c r="I460" s="50" t="str">
        <x:v>Temel</x:v>
      </x:c>
      <x:c r="J460" s="51" t="n">
        <x:v>12</x:v>
      </x:c>
      <x:c r="K460" s="51" t="n">
        <x:v>6</x:v>
      </x:c>
      <x:c r="L460" s="51" t="n">
        <x:v>11</x:v>
      </x:c>
      <x:c r="M460" s="51" t="n">
        <x:v>13</x:v>
      </x:c>
      <x:c r="N460" s="51" t="n">
        <x:v>8</x:v>
      </x:c>
      <x:c r="O460" s="51" t="n">
        <x:v>7</x:v>
      </x:c>
      <x:c r="P460" s="51" t="n">
        <x:v>15</x:v>
      </x:c>
      <x:c r="Q460" s="51" t="n">
        <x:v>2</x:v>
      </x:c>
      <x:c r="R460" s="52" t="n">
        <x:f>SUM(J460:Q460)</x:f>
        <x:v>74</x:v>
      </x:c>
      <x:c r="S460" s="50" t="str">
        <x:f>IF(R460&gt;='Rubrik'!$B$17,"Öncelikli video",IF(R460&gt;='Rubrik'!$B$18,"Video kuyruğu",IF(R460&gt;='Rubrik'!$B$19,"Revize et",IF(R460&gt;='Rubrik'!$B$20,"Kartla test","Düşük öncelik"))))</x:f>
        <x:v>Kartla test</x:v>
      </x:c>
      <x:c r="T460" s="50" t="str">
        <x:f>IF(AND(R460&gt;=85,P460&gt;=16,M460&gt;=12,L460&gt;=12),"Reel + Carousel",IF(AND(R460&gt;=85,P460&gt;=16,N460&gt;=8),"Soru odaklı Reel",IF(AND(R460&gt;=85,P460&gt;=16),"Reel / Short",IF(M460&gt;=11,"Carousel","Kart testi"))))</x:f>
        <x:v>Carousel</x:v>
      </x:c>
      <x:c r="U460" s="46" t="str">
        <x:v>Elit müzisyenlerin dinlenmesi iyi ters köşe; çalışma-uyku saatleri ve nedensellik fazla kesin aktarılıyor.</x:v>
      </x:c>
      <x:c r="V460" s="46" t="str">
        <x:f>IF(Q460&lt;=3,"Kaynak kontrolü şart",IF(Q460=4,"Kaynak kontrolü önerilir","Standart doğrulama"))</x:f>
        <x:v>Kaynak kontrolü şart</x:v>
      </x:c>
    </x:row>
    <x:row r="461" ht="24" customHeight="1">
      <x:c r="A461" s="48" t="n">
        <x:f>COUNTIF($R$2:$R$751,"&gt;"&amp;R461)+COUNTIF($R$2:R461,R461)</x:f>
        <x:v>460</x:v>
      </x:c>
      <x:c r="B461" s="48" t="n">
        <x:v>1356</x:v>
      </x:c>
      <x:c r="C461" s="46" t="str">
        <x:v>Kaizen ilkesi ve sürekli küçük iyileştirme</x:v>
      </x:c>
      <x:c r="D461" s="34" t="str">
        <x:v>Büyüme</x:v>
      </x:c>
      <x:c r="E461" s="34" t="str">
        <x:v>İlham</x:v>
      </x:c>
      <x:c r="F461" s="34" t="str">
        <x:v>Lider Yok Köle Yok</x:v>
      </x:c>
      <x:c r="G461" s="34" t="str">
        <x:v>Robin Sharma</x:v>
      </x:c>
      <x:c r="H461" s="50" t="str">
        <x:v>1</x:v>
      </x:c>
      <x:c r="I461" s="50" t="str">
        <x:v>Temel</x:v>
      </x:c>
      <x:c r="J461" s="51" t="n">
        <x:v>12</x:v>
      </x:c>
      <x:c r="K461" s="51" t="n">
        <x:v>6</x:v>
      </x:c>
      <x:c r="L461" s="51" t="n">
        <x:v>11</x:v>
      </x:c>
      <x:c r="M461" s="51" t="n">
        <x:v>14</x:v>
      </x:c>
      <x:c r="N461" s="51" t="n">
        <x:v>9</x:v>
      </x:c>
      <x:c r="O461" s="51" t="n">
        <x:v>6</x:v>
      </x:c>
      <x:c r="P461" s="51" t="n">
        <x:v>15</x:v>
      </x:c>
      <x:c r="Q461" s="51" t="n">
        <x:v>1</x:v>
      </x:c>
      <x:c r="R461" s="52" t="n">
        <x:f>SUM(J461:Q461)</x:f>
        <x:v>74</x:v>
      </x:c>
      <x:c r="S461" s="50" t="str">
        <x:f>IF(R461&gt;='Rubrik'!$B$17,"Öncelikli video",IF(R461&gt;='Rubrik'!$B$18,"Video kuyruğu",IF(R461&gt;='Rubrik'!$B$19,"Revize et",IF(R461&gt;='Rubrik'!$B$20,"Kartla test","Düşük öncelik"))))</x:f>
        <x:v>Kartla test</x:v>
      </x:c>
      <x:c r="T461" s="50" t="str">
        <x:f>IF(AND(R461&gt;=85,P461&gt;=16,M461&gt;=12,L461&gt;=12),"Reel + Carousel",IF(AND(R461&gt;=85,P461&gt;=16,N461&gt;=8),"Soru odaklı Reel",IF(AND(R461&gt;=85,P461&gt;=16),"Reel / Short",IF(M461&gt;=11,"Carousel","Kart testi"))))</x:f>
        <x:v>Carousel</x:v>
      </x:c>
      <x:c r="U461" s="46" t="str">
        <x:v>Günlük yüzde bir fikri uygulanabilir; bir yılda yüzde 37 artış ifadesi bileşik matematiği yanlış aktarıyor.</x:v>
      </x:c>
      <x:c r="V461" s="46" t="str">
        <x:f>IF(Q461&lt;=3,"Kaynak kontrolü şart",IF(Q461=4,"Kaynak kontrolü önerilir","Standart doğrulama"))</x:f>
        <x:v>Kaynak kontrolü şart</x:v>
      </x:c>
    </x:row>
    <x:row r="462" ht="24" customHeight="1">
      <x:c r="A462" s="48" t="n">
        <x:f>COUNTIF($R$2:$R$751,"&gt;"&amp;R462)+COUNTIF($R$2:R462,R462)</x:f>
        <x:v>461</x:v>
      </x:c>
      <x:c r="B462" s="48" t="n">
        <x:v>1365</x:v>
      </x:c>
      <x:c r="C462" s="46" t="str">
        <x:v>Travma sonrası büyüme</x:v>
      </x:c>
      <x:c r="D462" s="34" t="str">
        <x:v>Büyüme</x:v>
      </x:c>
      <x:c r="E462" s="34" t="str">
        <x:v>Dayanıklılık</x:v>
      </x:c>
      <x:c r="F462" s="34" t="str">
        <x:v>Zihinsel Dayanıklılık</x:v>
      </x:c>
      <x:c r="G462" s="34" t="str">
        <x:v>Sheryl Sandberg</x:v>
      </x:c>
      <x:c r="H462" s="50" t="str">
        <x:v>1</x:v>
      </x:c>
      <x:c r="I462" s="50" t="str">
        <x:v>Temel</x:v>
      </x:c>
      <x:c r="J462" s="51" t="n">
        <x:v>12</x:v>
      </x:c>
      <x:c r="K462" s="51" t="n">
        <x:v>8</x:v>
      </x:c>
      <x:c r="L462" s="51" t="n">
        <x:v>11</x:v>
      </x:c>
      <x:c r="M462" s="51" t="n">
        <x:v>10</x:v>
      </x:c>
      <x:c r="N462" s="51" t="n">
        <x:v>9</x:v>
      </x:c>
      <x:c r="O462" s="51" t="n">
        <x:v>7</x:v>
      </x:c>
      <x:c r="P462" s="51" t="n">
        <x:v>15</x:v>
      </x:c>
      <x:c r="Q462" s="51" t="n">
        <x:v>2</x:v>
      </x:c>
      <x:c r="R462" s="52" t="n">
        <x:f>SUM(J462:Q462)</x:f>
        <x:v>74</x:v>
      </x:c>
      <x:c r="S462" s="50" t="str">
        <x:f>IF(R462&gt;='Rubrik'!$B$17,"Öncelikli video",IF(R462&gt;='Rubrik'!$B$18,"Video kuyruğu",IF(R462&gt;='Rubrik'!$B$19,"Revize et",IF(R462&gt;='Rubrik'!$B$20,"Kartla test","Düşük öncelik"))))</x:f>
        <x:v>Kartla test</x:v>
      </x:c>
      <x:c r="T462" s="50" t="str">
        <x:f>IF(AND(R462&gt;=85,P462&gt;=16,M462&gt;=12,L462&gt;=12),"Reel + Carousel",IF(AND(R462&gt;=85,P462&gt;=16,N462&gt;=8),"Soru odaklı Reel",IF(AND(R462&gt;=85,P462&gt;=16),"Reel / Short",IF(M462&gt;=11,"Carousel","Kart testi"))))</x:f>
        <x:v>Kart testi</x:v>
      </x:c>
      <x:c r="U462" s="46" t="str">
        <x:v>Acı ile büyümenin birlikte varlığı dokunaklı; çoğunluk iddiası ve “zorluklar sizi açar” dili dikkat istiyor.</x:v>
      </x:c>
      <x:c r="V462" s="46" t="str">
        <x:f>IF(Q462&lt;=3,"Kaynak kontrolü şart",IF(Q462=4,"Kaynak kontrolü önerilir","Standart doğrulama"))</x:f>
        <x:v>Kaynak kontrolü şart</x:v>
      </x:c>
    </x:row>
    <x:row r="463" ht="24" customHeight="1">
      <x:c r="A463" s="48" t="n">
        <x:f>COUNTIF($R$2:$R$751,"&gt;"&amp;R463)+COUNTIF($R$2:R463,R463)</x:f>
        <x:v>462</x:v>
      </x:c>
      <x:c r="B463" s="48" t="n">
        <x:v>1467</x:v>
      </x:c>
      <x:c r="C463" s="46" t="str">
        <x:v>Kural yüzde elli sekiz</x:v>
      </x:c>
      <x:c r="D463" s="34" t="str">
        <x:v>İletişim</x:v>
      </x:c>
      <x:c r="E463" s="34" t="str">
        <x:v>İletişim</x:v>
      </x:c>
      <x:c r="F463" s="34" t="str">
        <x:v>Etkileyici Konuşma</x:v>
      </x:c>
      <x:c r="G463" s="34" t="str">
        <x:v>Carmine Gallo</x:v>
      </x:c>
      <x:c r="H463" s="50" t="str">
        <x:v>1</x:v>
      </x:c>
      <x:c r="I463" s="50" t="str">
        <x:v>Temel</x:v>
      </x:c>
      <x:c r="J463" s="51" t="n">
        <x:v>12</x:v>
      </x:c>
      <x:c r="K463" s="51" t="n">
        <x:v>5</x:v>
      </x:c>
      <x:c r="L463" s="51" t="n">
        <x:v>11</x:v>
      </x:c>
      <x:c r="M463" s="51" t="n">
        <x:v>13</x:v>
      </x:c>
      <x:c r="N463" s="51" t="n">
        <x:v>8</x:v>
      </x:c>
      <x:c r="O463" s="51" t="n">
        <x:v>6</x:v>
      </x:c>
      <x:c r="P463" s="51" t="n">
        <x:v>15</x:v>
      </x:c>
      <x:c r="Q463" s="51" t="n">
        <x:v>4</x:v>
      </x:c>
      <x:c r="R463" s="52" t="n">
        <x:f>SUM(J463:Q463)</x:f>
        <x:v>74</x:v>
      </x:c>
      <x:c r="S463" s="50" t="str">
        <x:f>IF(R463&gt;='Rubrik'!$B$17,"Öncelikli video",IF(R463&gt;='Rubrik'!$B$18,"Video kuyruğu",IF(R463&gt;='Rubrik'!$B$19,"Revize et",IF(R463&gt;='Rubrik'!$B$20,"Kartla test","Düşük öncelik"))))</x:f>
        <x:v>Kartla test</x:v>
      </x:c>
      <x:c r="T463" s="50" t="str">
        <x:f>IF(AND(R463&gt;=85,P463&gt;=16,M463&gt;=12,L463&gt;=12),"Reel + Carousel",IF(AND(R463&gt;=85,P463&gt;=16,N463&gt;=8),"Soru odaklı Reel",IF(AND(R463&gt;=85,P463&gt;=16),"Reel / Short",IF(M463&gt;=11,"Carousel","Kart testi"))))</x:f>
        <x:v>Carousel</x:v>
      </x:c>
      <x:c r="U463" s="46" t="str">
        <x:v>Yüzde 7-38-55 miti güçlü kanca olur; bağlam düzeltmesi güveni korur ve yorumlarda tartışma yaratır.</x:v>
      </x:c>
      <x:c r="V463" s="46" t="str">
        <x:f>IF(Q463&lt;=3,"Kaynak kontrolü şart",IF(Q463=4,"Kaynak kontrolü önerilir","Standart doğrulama"))</x:f>
        <x:v>Kaynak kontrolü önerilir</x:v>
      </x:c>
    </x:row>
    <x:row r="464" ht="24" customHeight="1">
      <x:c r="A464" s="48" t="n">
        <x:f>COUNTIF($R$2:$R$751,"&gt;"&amp;R464)+COUNTIF($R$2:R464,R464)</x:f>
        <x:v>463</x:v>
      </x:c>
      <x:c r="B464" s="48" t="n">
        <x:v>1556</x:v>
      </x:c>
      <x:c r="C464" s="46" t="str">
        <x:v>Ücretsiz iş modeli — Google nasıl bedavaya milyarlar kazanıyor</x:v>
      </x:c>
      <x:c r="D464" s="34" t="str">
        <x:v>Verimlilik</x:v>
      </x:c>
      <x:c r="E464" s="34" t="str">
        <x:v>Girişimcilik</x:v>
      </x:c>
      <x:c r="F464" s="34" t="str">
        <x:v>İş Modeli Üretimi</x:v>
      </x:c>
      <x:c r="G464" s="34" t="str">
        <x:v>Alexander Osterwalder</x:v>
      </x:c>
      <x:c r="H464" s="50" t="str">
        <x:v>1</x:v>
      </x:c>
      <x:c r="I464" s="50" t="str">
        <x:v>Temel</x:v>
      </x:c>
      <x:c r="J464" s="51" t="n">
        <x:v>11</x:v>
      </x:c>
      <x:c r="K464" s="51" t="n">
        <x:v>5</x:v>
      </x:c>
      <x:c r="L464" s="51" t="n">
        <x:v>11</x:v>
      </x:c>
      <x:c r="M464" s="51" t="n">
        <x:v>13</x:v>
      </x:c>
      <x:c r="N464" s="51" t="n">
        <x:v>8</x:v>
      </x:c>
      <x:c r="O464" s="51" t="n">
        <x:v>6</x:v>
      </x:c>
      <x:c r="P464" s="51" t="n">
        <x:v>15</x:v>
      </x:c>
      <x:c r="Q464" s="51" t="n">
        <x:v>5</x:v>
      </x:c>
      <x:c r="R464" s="52" t="n">
        <x:f>SUM(J464:Q464)</x:f>
        <x:v>74</x:v>
      </x:c>
      <x:c r="S464" s="50" t="str">
        <x:f>IF(R464&gt;='Rubrik'!$B$17,"Öncelikli video",IF(R464&gt;='Rubrik'!$B$18,"Video kuyruğu",IF(R464&gt;='Rubrik'!$B$19,"Revize et",IF(R464&gt;='Rubrik'!$B$20,"Kartla test","Düşük öncelik"))))</x:f>
        <x:v>Kartla test</x:v>
      </x:c>
      <x:c r="T464" s="50" t="str">
        <x:f>IF(AND(R464&gt;=85,P464&gt;=16,M464&gt;=12,L464&gt;=12),"Reel + Carousel",IF(AND(R464&gt;=85,P464&gt;=16,N464&gt;=8),"Soru odaklı Reel",IF(AND(R464&gt;=85,P464&gt;=16),"Reel / Short",IF(M464&gt;=11,"Carousel","Kart testi"))))</x:f>
        <x:v>Carousel</x:v>
      </x:c>
      <x:c r="U464" s="46" t="str">
        <x:v>Google'ın ücretsiz hizmetten değer üretmesi çok taraflı modeli somutlaştırıyor; görsel akışla iyi anlatılır.</x:v>
      </x:c>
      <x:c r="V464" s="46" t="str">
        <x:f>IF(Q464&lt;=3,"Kaynak kontrolü şart",IF(Q464=4,"Kaynak kontrolü önerilir","Standart doğrulama"))</x:f>
        <x:v>Standart doğrulama</x:v>
      </x:c>
    </x:row>
    <x:row r="465" ht="24" customHeight="1">
      <x:c r="A465" s="48" t="n">
        <x:f>COUNTIF($R$2:$R$751,"&gt;"&amp;R465)+COUNTIF($R$2:R465,R465)</x:f>
        <x:v>464</x:v>
      </x:c>
      <x:c r="B465" s="48" t="n">
        <x:v>1235</x:v>
      </x:c>
      <x:c r="C465" s="46" t="str">
        <x:v>Sürpriz ve merak boşluğu</x:v>
      </x:c>
      <x:c r="D465" s="34" t="str">
        <x:v>İletişim</x:v>
      </x:c>
      <x:c r="E465" s="34" t="str">
        <x:v>İletişim</x:v>
      </x:c>
      <x:c r="F465" s="34" t="str">
        <x:v>Yapışkan Fikirler</x:v>
      </x:c>
      <x:c r="G465" s="34" t="str">
        <x:v>Chip Heath</x:v>
      </x:c>
      <x:c r="H465" s="50" t="str">
        <x:v>1</x:v>
      </x:c>
      <x:c r="I465" s="50" t="str">
        <x:v>Temel</x:v>
      </x:c>
      <x:c r="J465" s="51" t="n">
        <x:v>13</x:v>
      </x:c>
      <x:c r="K465" s="51" t="n">
        <x:v>6</x:v>
      </x:c>
      <x:c r="L465" s="51" t="n">
        <x:v>10</x:v>
      </x:c>
      <x:c r="M465" s="51" t="n">
        <x:v>14</x:v>
      </x:c>
      <x:c r="N465" s="51" t="n">
        <x:v>9</x:v>
      </x:c>
      <x:c r="O465" s="51" t="n">
        <x:v>5</x:v>
      </x:c>
      <x:c r="P465" s="51" t="n">
        <x:v>15</x:v>
      </x:c>
      <x:c r="Q465" s="51" t="n">
        <x:v>2</x:v>
      </x:c>
      <x:c r="R465" s="52" t="n">
        <x:f>SUM(J465:Q465)</x:f>
        <x:v>74</x:v>
      </x:c>
      <x:c r="S465" s="50" t="str">
        <x:f>IF(R465&gt;='Rubrik'!$B$17,"Öncelikli video",IF(R465&gt;='Rubrik'!$B$18,"Video kuyruğu",IF(R465&gt;='Rubrik'!$B$19,"Revize et",IF(R465&gt;='Rubrik'!$B$20,"Kartla test","Düşük öncelik"))))</x:f>
        <x:v>Kartla test</x:v>
      </x:c>
      <x:c r="T465" s="50" t="str">
        <x:f>IF(AND(R465&gt;=85,P465&gt;=16,M465&gt;=12,L465&gt;=12),"Reel + Carousel",IF(AND(R465&gt;=85,P465&gt;=16,N465&gt;=8),"Soru odaklı Reel",IF(AND(R465&gt;=85,P465&gt;=16),"Reel / Short",IF(M465&gt;=11,"Carousel","Kart testi"))))</x:f>
        <x:v>Carousel</x:v>
      </x:c>
      <x:c r="U465" s="46" t="str">
        <x:v>Merak boşluğu sosyal video üretimi için doğrudan yararlı; günlük reklam sayısı geniş ve tartışmalı.</x:v>
      </x:c>
      <x:c r="V465" s="46" t="str">
        <x:f>IF(Q465&lt;=3,"Kaynak kontrolü şart",IF(Q465=4,"Kaynak kontrolü önerilir","Standart doğrulama"))</x:f>
        <x:v>Kaynak kontrolü şart</x:v>
      </x:c>
    </x:row>
    <x:row r="466" ht="24" customHeight="1">
      <x:c r="A466" s="48" t="n">
        <x:f>COUNTIF($R$2:$R$751,"&gt;"&amp;R466)+COUNTIF($R$2:R466,R466)</x:f>
        <x:v>465</x:v>
      </x:c>
      <x:c r="B466" s="48" t="n">
        <x:v>1073</x:v>
      </x:c>
      <x:c r="C466" s="46" t="str">
        <x:v>Newport'un sosyal medyasız akademik kariyeri</x:v>
      </x:c>
      <x:c r="D466" s="34" t="str">
        <x:v>Verimlilik</x:v>
      </x:c>
      <x:c r="E466" s="34" t="str">
        <x:v>Verimlilik</x:v>
      </x:c>
      <x:c r="F466" s="34" t="str">
        <x:v>Derin Çalışma</x:v>
      </x:c>
      <x:c r="G466" s="34" t="str">
        <x:v>Cal Newport</x:v>
      </x:c>
      <x:c r="H466" s="50" t="str">
        <x:v>1</x:v>
      </x:c>
      <x:c r="I466" s="50" t="str">
        <x:v>Temel</x:v>
      </x:c>
      <x:c r="J466" s="51" t="n">
        <x:v>13</x:v>
      </x:c>
      <x:c r="K466" s="51" t="n">
        <x:v>7</x:v>
      </x:c>
      <x:c r="L466" s="51" t="n">
        <x:v>11</x:v>
      </x:c>
      <x:c r="M466" s="51" t="n">
        <x:v>11</x:v>
      </x:c>
      <x:c r="N466" s="51" t="n">
        <x:v>9</x:v>
      </x:c>
      <x:c r="O466" s="51" t="n">
        <x:v>6</x:v>
      </x:c>
      <x:c r="P466" s="51" t="n">
        <x:v>14</x:v>
      </x:c>
      <x:c r="Q466" s="51" t="n">
        <x:v>3</x:v>
      </x:c>
      <x:c r="R466" s="52" t="n">
        <x:f>SUM(J466:Q466)</x:f>
        <x:v>74</x:v>
      </x:c>
      <x:c r="S466" s="50" t="str">
        <x:f>IF(R466&gt;='Rubrik'!$B$17,"Öncelikli video",IF(R466&gt;='Rubrik'!$B$18,"Video kuyruğu",IF(R466&gt;='Rubrik'!$B$19,"Revize et",IF(R466&gt;='Rubrik'!$B$20,"Kartla test","Düşük öncelik"))))</x:f>
        <x:v>Kartla test</x:v>
      </x:c>
      <x:c r="T466" s="50" t="str">
        <x:f>IF(AND(R466&gt;=85,P466&gt;=16,M466&gt;=12,L466&gt;=12),"Reel + Carousel",IF(AND(R466&gt;=85,P466&gt;=16,N466&gt;=8),"Soru odaklı Reel",IF(AND(R466&gt;=85,P466&gt;=16),"Reel / Short",IF(M466&gt;=11,"Carousel","Kart testi"))))</x:f>
        <x:v>Carousel</x:v>
      </x:c>
      <x:c r="U466" s="46" t="str">
        <x:v>Sosyal medyasız başarı güncel bir karşıtlık yaratıyor; tek örnekten genel üstünlük sonucu çıkarılıyor.</x:v>
      </x:c>
      <x:c r="V466" s="46" t="str">
        <x:f>IF(Q466&lt;=3,"Kaynak kontrolü şart",IF(Q466=4,"Kaynak kontrolü önerilir","Standart doğrulama"))</x:f>
        <x:v>Kaynak kontrolü şart</x:v>
      </x:c>
    </x:row>
    <x:row r="467" ht="24" customHeight="1">
      <x:c r="A467" s="48" t="n">
        <x:f>COUNTIF($R$2:$R$751,"&gt;"&amp;R467)+COUNTIF($R$2:R467,R467)</x:f>
        <x:v>466</x:v>
      </x:c>
      <x:c r="B467" s="48" t="n">
        <x:v>1127</x:v>
      </x:c>
      <x:c r="C467" s="46" t="str">
        <x:v>İşten ayrılanlar amirleri bırakır</x:v>
      </x:c>
      <x:c r="D467" s="34" t="str">
        <x:v>Liderlik</x:v>
      </x:c>
      <x:c r="E467" s="34" t="str">
        <x:v>Liderlik</x:v>
      </x:c>
      <x:c r="F467" s="34" t="str">
        <x:v>Liderlik Sanatı</x:v>
      </x:c>
      <x:c r="G467" s="34" t="str">
        <x:v>Simon Sinek</x:v>
      </x:c>
      <x:c r="H467" s="50" t="str">
        <x:v>1</x:v>
      </x:c>
      <x:c r="I467" s="50" t="str">
        <x:v>Temel</x:v>
      </x:c>
      <x:c r="J467" s="51" t="n">
        <x:v>12</x:v>
      </x:c>
      <x:c r="K467" s="51" t="n">
        <x:v>8</x:v>
      </x:c>
      <x:c r="L467" s="51" t="n">
        <x:v>11</x:v>
      </x:c>
      <x:c r="M467" s="51" t="n">
        <x:v>12</x:v>
      </x:c>
      <x:c r="N467" s="51" t="n">
        <x:v>9</x:v>
      </x:c>
      <x:c r="O467" s="51" t="n">
        <x:v>6</x:v>
      </x:c>
      <x:c r="P467" s="51" t="n">
        <x:v>14</x:v>
      </x:c>
      <x:c r="Q467" s="51" t="n">
        <x:v>2</x:v>
      </x:c>
      <x:c r="R467" s="52" t="n">
        <x:f>SUM(J467:Q467)</x:f>
        <x:v>74</x:v>
      </x:c>
      <x:c r="S467" s="50" t="str">
        <x:f>IF(R467&gt;='Rubrik'!$B$17,"Öncelikli video",IF(R467&gt;='Rubrik'!$B$18,"Video kuyruğu",IF(R467&gt;='Rubrik'!$B$19,"Revize et",IF(R467&gt;='Rubrik'!$B$20,"Kartla test","Düşük öncelik"))))</x:f>
        <x:v>Kartla test</x:v>
      </x:c>
      <x:c r="T467" s="50" t="str">
        <x:f>IF(AND(R467&gt;=85,P467&gt;=16,M467&gt;=12,L467&gt;=12),"Reel + Carousel",IF(AND(R467&gt;=85,P467&gt;=16,N467&gt;=8),"Soru odaklı Reel",IF(AND(R467&gt;=85,P467&gt;=16),"Reel / Short",IF(M467&gt;=11,"Carousel","Kart testi"))))</x:f>
        <x:v>Carousel</x:v>
      </x:c>
      <x:c r="U467" s="46" t="str">
        <x:v>İnsanlar şirketi değil yöneticiyi bırakır sözü çok paylaşılır; araştırma ve nedensellik kaynaksız.</x:v>
      </x:c>
      <x:c r="V467" s="46" t="str">
        <x:f>IF(Q467&lt;=3,"Kaynak kontrolü şart",IF(Q467=4,"Kaynak kontrolü önerilir","Standart doğrulama"))</x:f>
        <x:v>Kaynak kontrolü şart</x:v>
      </x:c>
    </x:row>
    <x:row r="468" ht="24" customHeight="1">
      <x:c r="A468" s="48" t="n">
        <x:f>COUNTIF($R$2:$R$751,"&gt;"&amp;R468)+COUNTIF($R$2:R468,R468)</x:f>
        <x:v>467</x:v>
      </x:c>
      <x:c r="B468" s="48" t="n">
        <x:v>1496</x:v>
      </x:c>
      <x:c r="C468" s="46" t="str">
        <x:v>Akış anı ve yetenek işareti</x:v>
      </x:c>
      <x:c r="D468" s="34" t="str">
        <x:v>Finans</x:v>
      </x:c>
      <x:c r="E468" s="34" t="str">
        <x:v>Kariyer</x:v>
      </x:c>
      <x:c r="F468" s="34" t="str">
        <x:v>Güçlü Yönler Bulma</x:v>
      </x:c>
      <x:c r="G468" s="34" t="str">
        <x:v>Marcus Buckingham</x:v>
      </x:c>
      <x:c r="H468" s="50" t="str">
        <x:v>1</x:v>
      </x:c>
      <x:c r="I468" s="50" t="str">
        <x:v>Temel</x:v>
      </x:c>
      <x:c r="J468" s="51" t="n">
        <x:v>11</x:v>
      </x:c>
      <x:c r="K468" s="51" t="n">
        <x:v>6</x:v>
      </x:c>
      <x:c r="L468" s="51" t="n">
        <x:v>11</x:v>
      </x:c>
      <x:c r="M468" s="51" t="n">
        <x:v>14</x:v>
      </x:c>
      <x:c r="N468" s="51" t="n">
        <x:v>8</x:v>
      </x:c>
      <x:c r="O468" s="51" t="n">
        <x:v>6</x:v>
      </x:c>
      <x:c r="P468" s="51" t="n">
        <x:v>14</x:v>
      </x:c>
      <x:c r="Q468" s="51" t="n">
        <x:v>4</x:v>
      </x:c>
      <x:c r="R468" s="52" t="n">
        <x:f>SUM(J468:Q468)</x:f>
        <x:v>74</x:v>
      </x:c>
      <x:c r="S468" s="50" t="str">
        <x:f>IF(R468&gt;='Rubrik'!$B$17,"Öncelikli video",IF(R468&gt;='Rubrik'!$B$18,"Video kuyruğu",IF(R468&gt;='Rubrik'!$B$19,"Revize et",IF(R468&gt;='Rubrik'!$B$20,"Kartla test","Düşük öncelik"))))</x:f>
        <x:v>Kartla test</x:v>
      </x:c>
      <x:c r="T468" s="50" t="str">
        <x:f>IF(AND(R468&gt;=85,P468&gt;=16,M468&gt;=12,L468&gt;=12),"Reel + Carousel",IF(AND(R468&gt;=85,P468&gt;=16,N468&gt;=8),"Soru odaklı Reel",IF(AND(R468&gt;=85,P468&gt;=16),"Reel / Short",IF(M468&gt;=11,"Carousel","Kart testi"))))</x:f>
        <x:v>Carousel</x:v>
      </x:c>
      <x:c r="U468" s="46" t="str">
        <x:v>Akış anlarını yetenek pusulası yapmak kişisel keşif sunuyor; izleyiciye hemen uygulanacak sorular bırakıyor.</x:v>
      </x:c>
      <x:c r="V468" s="46" t="str">
        <x:f>IF(Q468&lt;=3,"Kaynak kontrolü şart",IF(Q468=4,"Kaynak kontrolü önerilir","Standart doğrulama"))</x:f>
        <x:v>Kaynak kontrolü önerilir</x:v>
      </x:c>
    </x:row>
    <x:row r="469" ht="24" customHeight="1">
      <x:c r="A469" s="48" t="n">
        <x:f>COUNTIF($R$2:$R$751,"&gt;"&amp;R469)+COUNTIF($R$2:R469,R469)</x:f>
        <x:v>468</x:v>
      </x:c>
      <x:c r="B469" s="48" t="n">
        <x:v>1524</x:v>
      </x:c>
      <x:c r="C469" s="46" t="str">
        <x:v>Sorumluluk ve kurban kimliği</x:v>
      </x:c>
      <x:c r="D469" s="34" t="str">
        <x:v>Psikoloji</x:v>
      </x:c>
      <x:c r="E469" s="34" t="str">
        <x:v>Psikoloji</x:v>
      </x:c>
      <x:c r="F469" s="34" t="str">
        <x:v>Az Gitme Yolu</x:v>
      </x:c>
      <x:c r="G469" s="34" t="str">
        <x:v>M. Scott Peck</x:v>
      </x:c>
      <x:c r="H469" s="50" t="str">
        <x:v>1</x:v>
      </x:c>
      <x:c r="I469" s="50" t="str">
        <x:v>Temel</x:v>
      </x:c>
      <x:c r="J469" s="51" t="n">
        <x:v>11</x:v>
      </x:c>
      <x:c r="K469" s="51" t="n">
        <x:v>6</x:v>
      </x:c>
      <x:c r="L469" s="51" t="n">
        <x:v>11</x:v>
      </x:c>
      <x:c r="M469" s="51" t="n">
        <x:v>14</x:v>
      </x:c>
      <x:c r="N469" s="51" t="n">
        <x:v>8</x:v>
      </x:c>
      <x:c r="O469" s="51" t="n">
        <x:v>6</x:v>
      </x:c>
      <x:c r="P469" s="51" t="n">
        <x:v>14</x:v>
      </x:c>
      <x:c r="Q469" s="51" t="n">
        <x:v>4</x:v>
      </x:c>
      <x:c r="R469" s="52" t="n">
        <x:f>SUM(J469:Q469)</x:f>
        <x:v>74</x:v>
      </x:c>
      <x:c r="S469" s="50" t="str">
        <x:f>IF(R469&gt;='Rubrik'!$B$17,"Öncelikli video",IF(R469&gt;='Rubrik'!$B$18,"Video kuyruğu",IF(R469&gt;='Rubrik'!$B$19,"Revize et",IF(R469&gt;='Rubrik'!$B$20,"Kartla test","Düşük öncelik"))))</x:f>
        <x:v>Kartla test</x:v>
      </x:c>
      <x:c r="T469" s="50" t="str">
        <x:f>IF(AND(R469&gt;=85,P469&gt;=16,M469&gt;=12,L469&gt;=12),"Reel + Carousel",IF(AND(R469&gt;=85,P469&gt;=16,N469&gt;=8),"Soru odaklı Reel",IF(AND(R469&gt;=85,P469&gt;=16),"Reel / Short",IF(M469&gt;=11,"Carousel","Kart testi"))))</x:f>
        <x:v>Carousel</x:v>
      </x:c>
      <x:c r="U469" s="46" t="str">
        <x:v>Sorumluluğu kurbanlıktan çıkış olarak anlatmak harekete geçiriyor; suçlayıcı olmayan dil kritik.</x:v>
      </x:c>
      <x:c r="V469" s="46" t="str">
        <x:f>IF(Q469&lt;=3,"Kaynak kontrolü şart",IF(Q469=4,"Kaynak kontrolü önerilir","Standart doğrulama"))</x:f>
        <x:v>Kaynak kontrolü önerilir</x:v>
      </x:c>
    </x:row>
    <x:row r="470" ht="24" customHeight="1">
      <x:c r="A470" s="48" t="n">
        <x:f>COUNTIF($R$2:$R$751,"&gt;"&amp;R470)+COUNTIF($R$2:R470,R470)</x:f>
        <x:v>469</x:v>
      </x:c>
      <x:c r="B470" s="48" t="n">
        <x:v>1552</x:v>
      </x:c>
      <x:c r="C470" s="46" t="str">
        <x:v>Güven eksikliği — kırılganlık temelli güven neden her şeyin temelidir</x:v>
      </x:c>
      <x:c r="D470" s="34" t="str">
        <x:v>Liderlik</x:v>
      </x:c>
      <x:c r="E470" s="34" t="str">
        <x:v>Liderlik</x:v>
      </x:c>
      <x:c r="F470" s="34" t="str">
        <x:v>The Five Dysfunctions of a Team</x:v>
      </x:c>
      <x:c r="G470" s="34" t="str">
        <x:v>Patrick Lencioni</x:v>
      </x:c>
      <x:c r="H470" s="50" t="str">
        <x:v>1</x:v>
      </x:c>
      <x:c r="I470" s="50" t="str">
        <x:v>Temel</x:v>
      </x:c>
      <x:c r="J470" s="51" t="n">
        <x:v>11</x:v>
      </x:c>
      <x:c r="K470" s="51" t="n">
        <x:v>7</x:v>
      </x:c>
      <x:c r="L470" s="51" t="n">
        <x:v>11</x:v>
      </x:c>
      <x:c r="M470" s="51" t="n">
        <x:v>13</x:v>
      </x:c>
      <x:c r="N470" s="51" t="n">
        <x:v>8</x:v>
      </x:c>
      <x:c r="O470" s="51" t="n">
        <x:v>6</x:v>
      </x:c>
      <x:c r="P470" s="51" t="n">
        <x:v>14</x:v>
      </x:c>
      <x:c r="Q470" s="51" t="n">
        <x:v>4</x:v>
      </x:c>
      <x:c r="R470" s="52" t="n">
        <x:f>SUM(J470:Q470)</x:f>
        <x:v>74</x:v>
      </x:c>
      <x:c r="S470" s="50" t="str">
        <x:f>IF(R470&gt;='Rubrik'!$B$17,"Öncelikli video",IF(R470&gt;='Rubrik'!$B$18,"Video kuyruğu",IF(R470&gt;='Rubrik'!$B$19,"Revize et",IF(R470&gt;='Rubrik'!$B$20,"Kartla test","Düşük öncelik"))))</x:f>
        <x:v>Kartla test</x:v>
      </x:c>
      <x:c r="T470" s="50" t="str">
        <x:f>IF(AND(R470&gt;=85,P470&gt;=16,M470&gt;=12,L470&gt;=12),"Reel + Carousel",IF(AND(R470&gt;=85,P470&gt;=16,N470&gt;=8),"Soru odaklı Reel",IF(AND(R470&gt;=85,P470&gt;=16),"Reel / Short",IF(M470&gt;=11,"Carousel","Kart testi"))))</x:f>
        <x:v>Carousel</x:v>
      </x:c>
      <x:c r="U470" s="46" t="str">
        <x:v>Savunmasızlığın güveni başlatması duygusal karşılık bulur; somut ekip sahnesiyle daha çok akılda kalır.</x:v>
      </x:c>
      <x:c r="V470" s="46" t="str">
        <x:f>IF(Q470&lt;=3,"Kaynak kontrolü şart",IF(Q470=4,"Kaynak kontrolü önerilir","Standart doğrulama"))</x:f>
        <x:v>Kaynak kontrolü önerilir</x:v>
      </x:c>
    </x:row>
    <x:row r="471" ht="24" customHeight="1">
      <x:c r="A471" s="48" t="n">
        <x:f>COUNTIF($R$2:$R$751,"&gt;"&amp;R471)+COUNTIF($R$2:R471,R471)</x:f>
        <x:v>470</x:v>
      </x:c>
      <x:c r="B471" s="48" t="n">
        <x:v>1565</x:v>
      </x:c>
      <x:c r="C471" s="46" t="str">
        <x:v>Yüzde yüz sorumluluk — suçu dışarıda aramayı bırakmak</x:v>
      </x:c>
      <x:c r="D471" s="34" t="str">
        <x:v>Liderlik</x:v>
      </x:c>
      <x:c r="E471" s="34" t="str">
        <x:v>Liderlik</x:v>
      </x:c>
      <x:c r="F471" s="34" t="str">
        <x:v>Bilinçli Liderlik</x:v>
      </x:c>
      <x:c r="G471" s="34" t="str">
        <x:v>Jim Dethmer</x:v>
      </x:c>
      <x:c r="H471" s="50" t="str">
        <x:v>1</x:v>
      </x:c>
      <x:c r="I471" s="50" t="str">
        <x:v>Temel</x:v>
      </x:c>
      <x:c r="J471" s="51" t="n">
        <x:v>11</x:v>
      </x:c>
      <x:c r="K471" s="51" t="n">
        <x:v>6</x:v>
      </x:c>
      <x:c r="L471" s="51" t="n">
        <x:v>11</x:v>
      </x:c>
      <x:c r="M471" s="51" t="n">
        <x:v>14</x:v>
      </x:c>
      <x:c r="N471" s="51" t="n">
        <x:v>8</x:v>
      </x:c>
      <x:c r="O471" s="51" t="n">
        <x:v>6</x:v>
      </x:c>
      <x:c r="P471" s="51" t="n">
        <x:v>14</x:v>
      </x:c>
      <x:c r="Q471" s="51" t="n">
        <x:v>4</x:v>
      </x:c>
      <x:c r="R471" s="52" t="n">
        <x:f>SUM(J471:Q471)</x:f>
        <x:v>74</x:v>
      </x:c>
      <x:c r="S471" s="50" t="str">
        <x:f>IF(R471&gt;='Rubrik'!$B$17,"Öncelikli video",IF(R471&gt;='Rubrik'!$B$18,"Video kuyruğu",IF(R471&gt;='Rubrik'!$B$19,"Revize et",IF(R471&gt;='Rubrik'!$B$20,"Kartla test","Düşük öncelik"))))</x:f>
        <x:v>Kartla test</x:v>
      </x:c>
      <x:c r="T471" s="50" t="str">
        <x:f>IF(AND(R471&gt;=85,P471&gt;=16,M471&gt;=12,L471&gt;=12),"Reel + Carousel",IF(AND(R471&gt;=85,P471&gt;=16,N471&gt;=8),"Soru odaklı Reel",IF(AND(R471&gt;=85,P471&gt;=16),"Reel / Short",IF(M471&gt;=11,"Carousel","Kart testi"))))</x:f>
        <x:v>Carousel</x:v>
      </x:c>
      <x:c r="U471" s="46" t="str">
        <x:v>Yüzde yüz sorumluluk güçlü bir eylem çağrısıdır; sınırlar anlatılmazsa suçlayıcı algılanma riski taşır.</x:v>
      </x:c>
      <x:c r="V471" s="46" t="str">
        <x:f>IF(Q471&lt;=3,"Kaynak kontrolü şart",IF(Q471=4,"Kaynak kontrolü önerilir","Standart doğrulama"))</x:f>
        <x:v>Kaynak kontrolü önerilir</x:v>
      </x:c>
    </x:row>
    <x:row r="472" ht="24" customHeight="1">
      <x:c r="A472" s="48" t="n">
        <x:f>COUNTIF($R$2:$R$751,"&gt;"&amp;R472)+COUNTIF($R$2:R472,R472)</x:f>
        <x:v>471</x:v>
      </x:c>
      <x:c r="B472" s="48" t="n">
        <x:v>1566</x:v>
      </x:c>
      <x:c r="C472" s="46" t="str">
        <x:v>Duyguları veri olarak kullanmak — bastırmak değil okumak</x:v>
      </x:c>
      <x:c r="D472" s="34" t="str">
        <x:v>Liderlik</x:v>
      </x:c>
      <x:c r="E472" s="34" t="str">
        <x:v>Liderlik</x:v>
      </x:c>
      <x:c r="F472" s="34" t="str">
        <x:v>Bilinçli Liderlik</x:v>
      </x:c>
      <x:c r="G472" s="34" t="str">
        <x:v>Jim Dethmer</x:v>
      </x:c>
      <x:c r="H472" s="50" t="str">
        <x:v>1</x:v>
      </x:c>
      <x:c r="I472" s="50" t="str">
        <x:v>Temel</x:v>
      </x:c>
      <x:c r="J472" s="51" t="n">
        <x:v>11</x:v>
      </x:c>
      <x:c r="K472" s="51" t="n">
        <x:v>6</x:v>
      </x:c>
      <x:c r="L472" s="51" t="n">
        <x:v>11</x:v>
      </x:c>
      <x:c r="M472" s="51" t="n">
        <x:v>14</x:v>
      </x:c>
      <x:c r="N472" s="51" t="n">
        <x:v>8</x:v>
      </x:c>
      <x:c r="O472" s="51" t="n">
        <x:v>6</x:v>
      </x:c>
      <x:c r="P472" s="51" t="n">
        <x:v>14</x:v>
      </x:c>
      <x:c r="Q472" s="51" t="n">
        <x:v>4</x:v>
      </x:c>
      <x:c r="R472" s="52" t="n">
        <x:f>SUM(J472:Q472)</x:f>
        <x:v>74</x:v>
      </x:c>
      <x:c r="S472" s="50" t="str">
        <x:f>IF(R472&gt;='Rubrik'!$B$17,"Öncelikli video",IF(R472&gt;='Rubrik'!$B$18,"Video kuyruğu",IF(R472&gt;='Rubrik'!$B$19,"Revize et",IF(R472&gt;='Rubrik'!$B$20,"Kartla test","Düşük öncelik"))))</x:f>
        <x:v>Kartla test</x:v>
      </x:c>
      <x:c r="T472" s="50" t="str">
        <x:f>IF(AND(R472&gt;=85,P472&gt;=16,M472&gt;=12,L472&gt;=12),"Reel + Carousel",IF(AND(R472&gt;=85,P472&gt;=16,N472&gt;=8),"Soru odaklı Reel",IF(AND(R472&gt;=85,P472&gt;=16),"Reel / Short",IF(M472&gt;=11,"Carousel","Kart testi"))))</x:f>
        <x:v>Carousel</x:v>
      </x:c>
      <x:c r="U472" s="46" t="str">
        <x:v>Duyguları veri olarak görmek pratik ve dengeleyici; izleyiciyi kendi sinyalini kaydetmeye davet ediyor.</x:v>
      </x:c>
      <x:c r="V472" s="46" t="str">
        <x:f>IF(Q472&lt;=3,"Kaynak kontrolü şart",IF(Q472=4,"Kaynak kontrolü önerilir","Standart doğrulama"))</x:f>
        <x:v>Kaynak kontrolü önerilir</x:v>
      </x:c>
    </x:row>
    <x:row r="473" ht="24" customHeight="1">
      <x:c r="A473" s="48" t="n">
        <x:f>COUNTIF($R$2:$R$751,"&gt;"&amp;R473)+COUNTIF($R$2:R473,R473)</x:f>
        <x:v>472</x:v>
      </x:c>
      <x:c r="B473" s="48" t="n">
        <x:v>1108</x:v>
      </x:c>
      <x:c r="C473" s="46" t="str">
        <x:v>Dört yaşında marshmallow testi</x:v>
      </x:c>
      <x:c r="D473" s="34" t="str">
        <x:v>Psikoloji</x:v>
      </x:c>
      <x:c r="E473" s="34" t="str">
        <x:v>Psikoloji</x:v>
      </x:c>
      <x:c r="F473" s="34" t="str">
        <x:v>Emotional Intelligence</x:v>
      </x:c>
      <x:c r="G473" s="34" t="str">
        <x:v>Daniel Goleman</x:v>
      </x:c>
      <x:c r="H473" s="50" t="str">
        <x:v>1</x:v>
      </x:c>
      <x:c r="I473" s="50" t="str">
        <x:v>Temel</x:v>
      </x:c>
      <x:c r="J473" s="51" t="n">
        <x:v>14</x:v>
      </x:c>
      <x:c r="K473" s="51" t="n">
        <x:v>8</x:v>
      </x:c>
      <x:c r="L473" s="51" t="n">
        <x:v>10</x:v>
      </x:c>
      <x:c r="M473" s="51" t="n">
        <x:v>11</x:v>
      </x:c>
      <x:c r="N473" s="51" t="n">
        <x:v>9</x:v>
      </x:c>
      <x:c r="O473" s="51" t="n">
        <x:v>7</x:v>
      </x:c>
      <x:c r="P473" s="51" t="n">
        <x:v>14</x:v>
      </x:c>
      <x:c r="Q473" s="51" t="n">
        <x:v>1</x:v>
      </x:c>
      <x:c r="R473" s="52" t="n">
        <x:f>SUM(J473:Q473)</x:f>
        <x:v>74</x:v>
      </x:c>
      <x:c r="S473" s="50" t="str">
        <x:f>IF(R473&gt;='Rubrik'!$B$17,"Öncelikli video",IF(R473&gt;='Rubrik'!$B$18,"Video kuyruğu",IF(R473&gt;='Rubrik'!$B$19,"Revize et",IF(R473&gt;='Rubrik'!$B$20,"Kartla test","Düşük öncelik"))))</x:f>
        <x:v>Kartla test</x:v>
      </x:c>
      <x:c r="T473" s="50" t="str">
        <x:f>IF(AND(R473&gt;=85,P473&gt;=16,M473&gt;=12,L473&gt;=12),"Reel + Carousel",IF(AND(R473&gt;=85,P473&gt;=16,N473&gt;=8),"Soru odaklı Reel",IF(AND(R473&gt;=85,P473&gt;=16),"Reel / Short",IF(M473&gt;=11,"Carousel","Kart testi"))))</x:f>
        <x:v>Carousel</x:v>
      </x:c>
      <x:c r="U473" s="46" t="str">
        <x:v>Tek marshmallow seçimi çok görsel; 30 yıllık başarı nedenselliği sonraki çalışmalarla ciddi biçimde nüanslandı.</x:v>
      </x:c>
      <x:c r="V473" s="46" t="str">
        <x:f>IF(Q473&lt;=3,"Kaynak kontrolü şart",IF(Q473=4,"Kaynak kontrolü önerilir","Standart doğrulama"))</x:f>
        <x:v>Kaynak kontrolü şart</x:v>
      </x:c>
    </x:row>
    <x:row r="474" ht="24" customHeight="1">
      <x:c r="A474" s="48" t="n">
        <x:f>COUNTIF($R$2:$R$751,"&gt;"&amp;R474)+COUNTIF($R$2:R474,R474)</x:f>
        <x:v>473</x:v>
      </x:c>
      <x:c r="B474" s="48" t="n">
        <x:v>1290</x:v>
      </x:c>
      <x:c r="C474" s="46" t="str">
        <x:v>Hesap defteri ve zihinsel güç</x:v>
      </x:c>
      <x:c r="D474" s="34" t="str">
        <x:v>Büyüme</x:v>
      </x:c>
      <x:c r="E474" s="34" t="str">
        <x:v>Motivasyon</x:v>
      </x:c>
      <x:c r="F474" s="34" t="str">
        <x:v>Can't Hurt Me</x:v>
      </x:c>
      <x:c r="G474" s="34" t="str">
        <x:v>David Goggins</x:v>
      </x:c>
      <x:c r="H474" s="50" t="str">
        <x:v>1</x:v>
      </x:c>
      <x:c r="I474" s="50" t="str">
        <x:v>Temel</x:v>
      </x:c>
      <x:c r="J474" s="51" t="n">
        <x:v>11</x:v>
      </x:c>
      <x:c r="K474" s="51" t="n">
        <x:v>7</x:v>
      </x:c>
      <x:c r="L474" s="51" t="n">
        <x:v>10</x:v>
      </x:c>
      <x:c r="M474" s="51" t="n">
        <x:v>13</x:v>
      </x:c>
      <x:c r="N474" s="51" t="n">
        <x:v>9</x:v>
      </x:c>
      <x:c r="O474" s="51" t="n">
        <x:v>7</x:v>
      </x:c>
      <x:c r="P474" s="51" t="n">
        <x:v>14</x:v>
      </x:c>
      <x:c r="Q474" s="51" t="n">
        <x:v>3</x:v>
      </x:c>
      <x:c r="R474" s="52" t="n">
        <x:f>SUM(J474:Q474)</x:f>
        <x:v>74</x:v>
      </x:c>
      <x:c r="S474" s="50" t="str">
        <x:f>IF(R474&gt;='Rubrik'!$B$17,"Öncelikli video",IF(R474&gt;='Rubrik'!$B$18,"Video kuyruğu",IF(R474&gt;='Rubrik'!$B$19,"Revize et",IF(R474&gt;='Rubrik'!$B$20,"Kartla test","Düşük öncelik"))))</x:f>
        <x:v>Kartla test</x:v>
      </x:c>
      <x:c r="T474" s="50" t="str">
        <x:f>IF(AND(R474&gt;=85,P474&gt;=16,M474&gt;=12,L474&gt;=12),"Reel + Carousel",IF(AND(R474&gt;=85,P474&gt;=16,N474&gt;=8),"Soru odaklı Reel",IF(AND(R474&gt;=85,P474&gt;=16),"Reel / Short",IF(M474&gt;=11,"Carousel","Kart testi"))))</x:f>
        <x:v>Carousel</x:v>
      </x:c>
      <x:c r="U474" s="46" t="str">
        <x:v>Geçmiş başarıları kanıt olarak toplamak kaydedilebilir bir pratik; adlandırma ve biyografik sahne netleşmeli.</x:v>
      </x:c>
      <x:c r="V474" s="46" t="str">
        <x:f>IF(Q474&lt;=3,"Kaynak kontrolü şart",IF(Q474=4,"Kaynak kontrolü önerilir","Standart doğrulama"))</x:f>
        <x:v>Kaynak kontrolü şart</x:v>
      </x:c>
    </x:row>
    <x:row r="475" ht="24" customHeight="1">
      <x:c r="A475" s="48" t="n">
        <x:f>COUNTIF($R$2:$R$751,"&gt;"&amp;R475)+COUNTIF($R$2:R475,R475)</x:f>
        <x:v>474</x:v>
      </x:c>
      <x:c r="B475" s="48" t="n">
        <x:v>1322</x:v>
      </x:c>
      <x:c r="C475" s="46" t="str">
        <x:v>Soru hiyerarşisi — neden, nasıl, ne</x:v>
      </x:c>
      <x:c r="D475" s="34" t="str">
        <x:v>Verimlilik</x:v>
      </x:c>
      <x:c r="E475" s="34" t="str">
        <x:v>Yaratıcılık</x:v>
      </x:c>
      <x:c r="F475" s="34" t="str">
        <x:v>Güçlü Sorular</x:v>
      </x:c>
      <x:c r="G475" s="34" t="str">
        <x:v>Warren Berger</x:v>
      </x:c>
      <x:c r="H475" s="50" t="str">
        <x:v>1</x:v>
      </x:c>
      <x:c r="I475" s="50" t="str">
        <x:v>Temel</x:v>
      </x:c>
      <x:c r="J475" s="51" t="n">
        <x:v>11</x:v>
      </x:c>
      <x:c r="K475" s="51" t="n">
        <x:v>5</x:v>
      </x:c>
      <x:c r="L475" s="51" t="n">
        <x:v>10</x:v>
      </x:c>
      <x:c r="M475" s="51" t="n">
        <x:v>15</x:v>
      </x:c>
      <x:c r="N475" s="51" t="n">
        <x:v>9</x:v>
      </x:c>
      <x:c r="O475" s="51" t="n">
        <x:v>6</x:v>
      </x:c>
      <x:c r="P475" s="51" t="n">
        <x:v>14</x:v>
      </x:c>
      <x:c r="Q475" s="51" t="n">
        <x:v>4</x:v>
      </x:c>
      <x:c r="R475" s="52" t="n">
        <x:f>SUM(J475:Q475)</x:f>
        <x:v>74</x:v>
      </x:c>
      <x:c r="S475" s="50" t="str">
        <x:f>IF(R475&gt;='Rubrik'!$B$17,"Öncelikli video",IF(R475&gt;='Rubrik'!$B$18,"Video kuyruğu",IF(R475&gt;='Rubrik'!$B$19,"Revize et",IF(R475&gt;='Rubrik'!$B$20,"Kartla test","Düşük öncelik"))))</x:f>
        <x:v>Kartla test</x:v>
      </x:c>
      <x:c r="T475" s="50" t="str">
        <x:f>IF(AND(R475&gt;=85,P475&gt;=16,M475&gt;=12,L475&gt;=12),"Reel + Carousel",IF(AND(R475&gt;=85,P475&gt;=16,N475&gt;=8),"Soru odaklı Reel",IF(AND(R475&gt;=85,P475&gt;=16),"Reel / Short",IF(M475&gt;=11,"Carousel","Kart testi"))))</x:f>
        <x:v>Carousel</x:v>
      </x:c>
      <x:c r="U475" s="46" t="str">
        <x:v>Neden-nasıl-ne hiyerarşisi ve beş neden örneği çok kullanışlı; insan hikâyesi ve duygusal gerilim az.</x:v>
      </x:c>
      <x:c r="V475" s="46" t="str">
        <x:f>IF(Q475&lt;=3,"Kaynak kontrolü şart",IF(Q475=4,"Kaynak kontrolü önerilir","Standart doğrulama"))</x:f>
        <x:v>Kaynak kontrolü önerilir</x:v>
      </x:c>
    </x:row>
    <x:row r="476" ht="24" customHeight="1">
      <x:c r="A476" s="48" t="n">
        <x:f>COUNTIF($R$2:$R$751,"&gt;"&amp;R476)+COUNTIF($R$2:R476,R476)</x:f>
        <x:v>475</x:v>
      </x:c>
      <x:c r="B476" s="48" t="n">
        <x:v>1207</x:v>
      </x:c>
      <x:c r="C476" s="46" t="str">
        <x:v>Bahçıvan ve zihin</x:v>
      </x:c>
      <x:c r="D476" s="34" t="str">
        <x:v>Felsefe</x:v>
      </x:c>
      <x:c r="E476" s="34" t="str">
        <x:v>Felsefe</x:v>
      </x:c>
      <x:c r="F476" s="34" t="str">
        <x:v>İnsan Nasıl Düşünür</x:v>
      </x:c>
      <x:c r="G476" s="34" t="str">
        <x:v>James Allen</x:v>
      </x:c>
      <x:c r="H476" s="50" t="str">
        <x:v>1</x:v>
      </x:c>
      <x:c r="I476" s="50" t="str">
        <x:v>Temel</x:v>
      </x:c>
      <x:c r="J476" s="51" t="n">
        <x:v>12</x:v>
      </x:c>
      <x:c r="K476" s="51" t="n">
        <x:v>7</x:v>
      </x:c>
      <x:c r="L476" s="51" t="n">
        <x:v>9</x:v>
      </x:c>
      <x:c r="M476" s="51" t="n">
        <x:v>13</x:v>
      </x:c>
      <x:c r="N476" s="51" t="n">
        <x:v>9</x:v>
      </x:c>
      <x:c r="O476" s="51" t="n">
        <x:v>6</x:v>
      </x:c>
      <x:c r="P476" s="51" t="n">
        <x:v>14</x:v>
      </x:c>
      <x:c r="Q476" s="51" t="n">
        <x:v>4</x:v>
      </x:c>
      <x:c r="R476" s="52" t="n">
        <x:f>SUM(J476:Q476)</x:f>
        <x:v>74</x:v>
      </x:c>
      <x:c r="S476" s="50" t="str">
        <x:f>IF(R476&gt;='Rubrik'!$B$17,"Öncelikli video",IF(R476&gt;='Rubrik'!$B$18,"Video kuyruğu",IF(R476&gt;='Rubrik'!$B$19,"Revize et",IF(R476&gt;='Rubrik'!$B$20,"Kartla test","Düşük öncelik"))))</x:f>
        <x:v>Kartla test</x:v>
      </x:c>
      <x:c r="T476" s="50" t="str">
        <x:f>IF(AND(R476&gt;=85,P476&gt;=16,M476&gt;=12,L476&gt;=12),"Reel + Carousel",IF(AND(R476&gt;=85,P476&gt;=16,N476&gt;=8),"Soru odaklı Reel",IF(AND(R476&gt;=85,P476&gt;=16),"Reel / Short",IF(M476&gt;=11,"Carousel","Kart testi"))))</x:f>
        <x:v>Carousel</x:v>
      </x:c>
      <x:c r="U476" s="46" t="str">
        <x:v>Zihin bahçesi kolay görselleşir ve kişisel düşünce kalıplarını kaydetmeye çağırır; fikir tanıdıktır.</x:v>
      </x:c>
      <x:c r="V476" s="46" t="str">
        <x:f>IF(Q476&lt;=3,"Kaynak kontrolü şart",IF(Q476=4,"Kaynak kontrolü önerilir","Standart doğrulama"))</x:f>
        <x:v>Kaynak kontrolü önerilir</x:v>
      </x:c>
    </x:row>
    <x:row r="477" ht="24" customHeight="1">
      <x:c r="A477" s="48" t="n">
        <x:f>COUNTIF($R$2:$R$751,"&gt;"&amp;R477)+COUNTIF($R$2:R477,R477)</x:f>
        <x:v>476</x:v>
      </x:c>
      <x:c r="B477" s="48" t="n">
        <x:v>1217</x:v>
      </x:c>
      <x:c r="C477" s="46" t="str">
        <x:v>Bir aylık e-posta yasağı</x:v>
      </x:c>
      <x:c r="D477" s="34" t="str">
        <x:v>Bilim</x:v>
      </x:c>
      <x:c r="E477" s="34" t="str">
        <x:v>Teknoloji</x:v>
      </x:c>
      <x:c r="F477" s="34" t="str">
        <x:v>Hiçbir Şeye Bakmamak</x:v>
      </x:c>
      <x:c r="G477" s="34" t="str">
        <x:v>Cal Newport</x:v>
      </x:c>
      <x:c r="H477" s="50" t="str">
        <x:v>1</x:v>
      </x:c>
      <x:c r="I477" s="50" t="str">
        <x:v>Temel</x:v>
      </x:c>
      <x:c r="J477" s="51" t="n">
        <x:v>14</x:v>
      </x:c>
      <x:c r="K477" s="51" t="n">
        <x:v>8</x:v>
      </x:c>
      <x:c r="L477" s="51" t="n">
        <x:v>9</x:v>
      </x:c>
      <x:c r="M477" s="51" t="n">
        <x:v>11</x:v>
      </x:c>
      <x:c r="N477" s="51" t="n">
        <x:v>9</x:v>
      </x:c>
      <x:c r="O477" s="51" t="n">
        <x:v>7</x:v>
      </x:c>
      <x:c r="P477" s="51" t="n">
        <x:v>14</x:v>
      </x:c>
      <x:c r="Q477" s="51" t="n">
        <x:v>2</x:v>
      </x:c>
      <x:c r="R477" s="52" t="n">
        <x:f>SUM(J477:Q477)</x:f>
        <x:v>74</x:v>
      </x:c>
      <x:c r="S477" s="50" t="str">
        <x:f>IF(R477&gt;='Rubrik'!$B$17,"Öncelikli video",IF(R477&gt;='Rubrik'!$B$18,"Video kuyruğu",IF(R477&gt;='Rubrik'!$B$19,"Revize et",IF(R477&gt;='Rubrik'!$B$20,"Kartla test","Düşük öncelik"))))</x:f>
        <x:v>Kartla test</x:v>
      </x:c>
      <x:c r="T477" s="50" t="str">
        <x:f>IF(AND(R477&gt;=85,P477&gt;=16,M477&gt;=12,L477&gt;=12),"Reel + Carousel",IF(AND(R477&gt;=85,P477&gt;=16,N477&gt;=8),"Soru odaklı Reel",IF(AND(R477&gt;=85,P477&gt;=16),"Reel / Short",IF(M477&gt;=11,"Carousel","Kart testi"))))</x:f>
        <x:v>Carousel</x:v>
      </x:c>
      <x:c r="U477" s="46" t="str">
        <x:v>Bir ay e-postasız kalıp kimsenin fark etmemesi iyi ters köşe; deney ayrıntıları doğrulanmalı.</x:v>
      </x:c>
      <x:c r="V477" s="46" t="str">
        <x:f>IF(Q477&lt;=3,"Kaynak kontrolü şart",IF(Q477=4,"Kaynak kontrolü önerilir","Standart doğrulama"))</x:f>
        <x:v>Kaynak kontrolü şart</x:v>
      </x:c>
    </x:row>
    <x:row r="478" ht="24" customHeight="1">
      <x:c r="A478" s="48" t="n">
        <x:f>COUNTIF($R$2:$R$751,"&gt;"&amp;R478)+COUNTIF($R$2:R478,R478)</x:f>
        <x:v>477</x:v>
      </x:c>
      <x:c r="B478" s="48" t="n">
        <x:v>1592</x:v>
      </x:c>
      <x:c r="C478" s="46" t="str">
        <x:v>Dört süvari — kronik hastalıkların ortak kökeni</x:v>
      </x:c>
      <x:c r="D478" s="34" t="str">
        <x:v>Sağlık</x:v>
      </x:c>
      <x:c r="E478" s="34" t="str">
        <x:v>Sağlık</x:v>
      </x:c>
      <x:c r="F478" s="34" t="str">
        <x:v>Uzun Ömür</x:v>
      </x:c>
      <x:c r="G478" s="34" t="str">
        <x:v>Peter Attia</x:v>
      </x:c>
      <x:c r="H478" s="50" t="str">
        <x:v>1</x:v>
      </x:c>
      <x:c r="I478" s="50" t="str">
        <x:v>Temel</x:v>
      </x:c>
      <x:c r="J478" s="51" t="n">
        <x:v>12</x:v>
      </x:c>
      <x:c r="K478" s="51" t="n">
        <x:v>7</x:v>
      </x:c>
      <x:c r="L478" s="51" t="n">
        <x:v>12</x:v>
      </x:c>
      <x:c r="M478" s="51" t="n">
        <x:v>14</x:v>
      </x:c>
      <x:c r="N478" s="51" t="n">
        <x:v>8</x:v>
      </x:c>
      <x:c r="O478" s="51" t="n">
        <x:v>6</x:v>
      </x:c>
      <x:c r="P478" s="51" t="n">
        <x:v>13</x:v>
      </x:c>
      <x:c r="Q478" s="51" t="n">
        <x:v>2</x:v>
      </x:c>
      <x:c r="R478" s="52" t="n">
        <x:f>SUM(J478:Q478)</x:f>
        <x:v>74</x:v>
      </x:c>
      <x:c r="S478" s="50" t="str">
        <x:f>IF(R478&gt;='Rubrik'!$B$17,"Öncelikli video",IF(R478&gt;='Rubrik'!$B$18,"Video kuyruğu",IF(R478&gt;='Rubrik'!$B$19,"Revize et",IF(R478&gt;='Rubrik'!$B$20,"Kartla test","Düşük öncelik"))))</x:f>
        <x:v>Kartla test</x:v>
      </x:c>
      <x:c r="T478" s="50" t="str">
        <x:f>IF(AND(R478&gt;=85,P478&gt;=16,M478&gt;=12,L478&gt;=12),"Reel + Carousel",IF(AND(R478&gt;=85,P478&gt;=16,N478&gt;=8),"Soru odaklı Reel",IF(AND(R478&gt;=85,P478&gt;=16),"Reel / Short",IF(M478&gt;=11,"Carousel","Kart testi"))))</x:f>
        <x:v>Carousel</x:v>
      </x:c>
      <x:c r="U478" s="46" t="str">
        <x:v>Dört atlı metaforu kronik hastalıkları akılda tutturuyor; ortak kök açıklaması tıbben fazla genelleyici.</x:v>
      </x:c>
      <x:c r="V478" s="46" t="str">
        <x:f>IF(Q478&lt;=3,"Kaynak kontrolü şart",IF(Q478=4,"Kaynak kontrolü önerilir","Standart doğrulama"))</x:f>
        <x:v>Kaynak kontrolü şart</x:v>
      </x:c>
    </x:row>
    <x:row r="479" ht="24" customHeight="1">
      <x:c r="A479" s="48" t="n">
        <x:f>COUNTIF($R$2:$R$751,"&gt;"&amp;R479)+COUNTIF($R$2:R479,R479)</x:f>
        <x:v>478</x:v>
      </x:c>
      <x:c r="B479" s="48" t="n">
        <x:v>1169</x:v>
      </x:c>
      <x:c r="C479" s="46" t="str">
        <x:v>Otomatik pilot ve bilinçli seçim</x:v>
      </x:c>
      <x:c r="D479" s="34" t="str">
        <x:v>Psikoloji</x:v>
      </x:c>
      <x:c r="E479" s="34" t="str">
        <x:v>Psikoloji</x:v>
      </x:c>
      <x:c r="F479" s="34" t="str">
        <x:v>Flow</x:v>
      </x:c>
      <x:c r="G479" s="34" t="str">
        <x:v>Mihaly Csikszentmihalyi</x:v>
      </x:c>
      <x:c r="H479" s="50" t="str">
        <x:v>1</x:v>
      </x:c>
      <x:c r="I479" s="50" t="str">
        <x:v>Temel</x:v>
      </x:c>
      <x:c r="J479" s="51" t="n">
        <x:v>12</x:v>
      </x:c>
      <x:c r="K479" s="51" t="n">
        <x:v>7</x:v>
      </x:c>
      <x:c r="L479" s="51" t="n">
        <x:v>10</x:v>
      </x:c>
      <x:c r="M479" s="51" t="n">
        <x:v>13</x:v>
      </x:c>
      <x:c r="N479" s="51" t="n">
        <x:v>9</x:v>
      </x:c>
      <x:c r="O479" s="51" t="n">
        <x:v>6</x:v>
      </x:c>
      <x:c r="P479" s="51" t="n">
        <x:v>13</x:v>
      </x:c>
      <x:c r="Q479" s="51" t="n">
        <x:v>4</x:v>
      </x:c>
      <x:c r="R479" s="52" t="n">
        <x:f>SUM(J479:Q479)</x:f>
        <x:v>74</x:v>
      </x:c>
      <x:c r="S479" s="50" t="str">
        <x:f>IF(R479&gt;='Rubrik'!$B$17,"Öncelikli video",IF(R479&gt;='Rubrik'!$B$18,"Video kuyruğu",IF(R479&gt;='Rubrik'!$B$19,"Revize et",IF(R479&gt;='Rubrik'!$B$20,"Kartla test","Düşük öncelik"))))</x:f>
        <x:v>Kartla test</x:v>
      </x:c>
      <x:c r="T479" s="50" t="str">
        <x:f>IF(AND(R479&gt;=85,P479&gt;=16,M479&gt;=12,L479&gt;=12),"Reel + Carousel",IF(AND(R479&gt;=85,P479&gt;=16,N479&gt;=8),"Soru odaklı Reel",IF(AND(R479&gt;=85,P479&gt;=16),"Reel / Short",IF(M479&gt;=11,"Carousel","Kart testi"))))</x:f>
        <x:v>Carousel</x:v>
      </x:c>
      <x:c r="U479" s="46" t="str">
        <x:v>Televizyondaki sözde keyif ile gerçek boşluk karşıtlığı yararlı; yöntem ve eylem önerisi kaydedilir.</x:v>
      </x:c>
      <x:c r="V479" s="46" t="str">
        <x:f>IF(Q479&lt;=3,"Kaynak kontrolü şart",IF(Q479=4,"Kaynak kontrolü önerilir","Standart doğrulama"))</x:f>
        <x:v>Kaynak kontrolü önerilir</x:v>
      </x:c>
    </x:row>
    <x:row r="480" ht="24" customHeight="1">
      <x:c r="A480" s="48" t="n">
        <x:f>COUNTIF($R$2:$R$751,"&gt;"&amp;R480)+COUNTIF($R$2:R480,R480)</x:f>
        <x:v>479</x:v>
      </x:c>
      <x:c r="B480" s="48" t="n">
        <x:v>1174</x:v>
      </x:c>
      <x:c r="C480" s="46" t="str">
        <x:v>Roosevelt'in isim hafızası</x:v>
      </x:c>
      <x:c r="D480" s="34" t="str">
        <x:v>İletişim</x:v>
      </x:c>
      <x:c r="E480" s="34" t="str">
        <x:v>İletişim</x:v>
      </x:c>
      <x:c r="F480" s="34" t="str">
        <x:v>İkna Sanatı</x:v>
      </x:c>
      <x:c r="G480" s="34" t="str">
        <x:v>Dale Carnegie</x:v>
      </x:c>
      <x:c r="H480" s="50" t="str">
        <x:v>1</x:v>
      </x:c>
      <x:c r="I480" s="50" t="str">
        <x:v>Temel</x:v>
      </x:c>
      <x:c r="J480" s="51" t="n">
        <x:v>12</x:v>
      </x:c>
      <x:c r="K480" s="51" t="n">
        <x:v>8</x:v>
      </x:c>
      <x:c r="L480" s="51" t="n">
        <x:v>10</x:v>
      </x:c>
      <x:c r="M480" s="51" t="n">
        <x:v>12</x:v>
      </x:c>
      <x:c r="N480" s="51" t="n">
        <x:v>10</x:v>
      </x:c>
      <x:c r="O480" s="51" t="n">
        <x:v>6</x:v>
      </x:c>
      <x:c r="P480" s="51" t="n">
        <x:v>13</x:v>
      </x:c>
      <x:c r="Q480" s="51" t="n">
        <x:v>3</x:v>
      </x:c>
      <x:c r="R480" s="52" t="n">
        <x:f>SUM(J480:Q480)</x:f>
        <x:v>74</x:v>
      </x:c>
      <x:c r="S480" s="50" t="str">
        <x:f>IF(R480&gt;='Rubrik'!$B$17,"Öncelikli video",IF(R480&gt;='Rubrik'!$B$18,"Video kuyruğu",IF(R480&gt;='Rubrik'!$B$19,"Revize et",IF(R480&gt;='Rubrik'!$B$20,"Kartla test","Düşük öncelik"))))</x:f>
        <x:v>Kartla test</x:v>
      </x:c>
      <x:c r="T480" s="50" t="str">
        <x:f>IF(AND(R480&gt;=85,P480&gt;=16,M480&gt;=12,L480&gt;=12),"Reel + Carousel",IF(AND(R480&gt;=85,P480&gt;=16,N480&gt;=8),"Soru odaklı Reel",IF(AND(R480&gt;=85,P480&gt;=16),"Reel / Short",IF(M480&gt;=11,"Carousel","Kart testi"))))</x:f>
        <x:v>Carousel</x:v>
      </x:c>
      <x:c r="U480" s="46" t="str">
        <x:v>Başkanın hizmetçilerin adını bilmesi sıcak ve anlatılabilir; anekdot ayrıntıları kaynaklandırılmalı.</x:v>
      </x:c>
      <x:c r="V480" s="46" t="str">
        <x:f>IF(Q480&lt;=3,"Kaynak kontrolü şart",IF(Q480=4,"Kaynak kontrolü önerilir","Standart doğrulama"))</x:f>
        <x:v>Kaynak kontrolü şart</x:v>
      </x:c>
    </x:row>
    <x:row r="481" ht="24" customHeight="1">
      <x:c r="A481" s="48" t="n">
        <x:f>COUNTIF($R$2:$R$751,"&gt;"&amp;R481)+COUNTIF($R$2:R481,R481)</x:f>
        <x:v>480</x:v>
      </x:c>
      <x:c r="B481" s="48" t="n">
        <x:v>1178</x:v>
      </x:c>
      <x:c r="C481" s="46" t="str">
        <x:v>Az ama öz ilişkiler</x:v>
      </x:c>
      <x:c r="D481" s="34" t="str">
        <x:v>Verimlilik</x:v>
      </x:c>
      <x:c r="E481" s="34" t="str">
        <x:v>Verimlilik</x:v>
      </x:c>
      <x:c r="F481" s="34" t="str">
        <x:v>Pareto İlkesi</x:v>
      </x:c>
      <x:c r="G481" s="34" t="str">
        <x:v>Richard Koch</x:v>
      </x:c>
      <x:c r="H481" s="50" t="str">
        <x:v>1</x:v>
      </x:c>
      <x:c r="I481" s="50" t="str">
        <x:v>Temel</x:v>
      </x:c>
      <x:c r="J481" s="51" t="n">
        <x:v>12</x:v>
      </x:c>
      <x:c r="K481" s="51" t="n">
        <x:v>8</x:v>
      </x:c>
      <x:c r="L481" s="51" t="n">
        <x:v>10</x:v>
      </x:c>
      <x:c r="M481" s="51" t="n">
        <x:v>13</x:v>
      </x:c>
      <x:c r="N481" s="51" t="n">
        <x:v>10</x:v>
      </x:c>
      <x:c r="O481" s="51" t="n">
        <x:v>6</x:v>
      </x:c>
      <x:c r="P481" s="51" t="n">
        <x:v>13</x:v>
      </x:c>
      <x:c r="Q481" s="51" t="n">
        <x:v>2</x:v>
      </x:c>
      <x:c r="R481" s="52" t="n">
        <x:f>SUM(J481:Q481)</x:f>
        <x:v>74</x:v>
      </x:c>
      <x:c r="S481" s="50" t="str">
        <x:f>IF(R481&gt;='Rubrik'!$B$17,"Öncelikli video",IF(R481&gt;='Rubrik'!$B$18,"Video kuyruğu",IF(R481&gt;='Rubrik'!$B$19,"Revize et",IF(R481&gt;='Rubrik'!$B$20,"Kartla test","Düşük öncelik"))))</x:f>
        <x:v>Kartla test</x:v>
      </x:c>
      <x:c r="T481" s="50" t="str">
        <x:f>IF(AND(R481&gt;=85,P481&gt;=16,M481&gt;=12,L481&gt;=12),"Reel + Carousel",IF(AND(R481&gt;=85,P481&gt;=16,N481&gt;=8),"Soru odaklı Reel",IF(AND(R481&gt;=85,P481&gt;=16),"Reel / Short",IF(M481&gt;=11,"Carousel","Kart testi"))))</x:f>
        <x:v>Carousel</x:v>
      </x:c>
      <x:c r="U481" s="46" t="str">
        <x:v>Beş kişilik mutluluk çekirdeği duygusal ve kişisel; yüzde seksen oranı kaynaksız genelleme.</x:v>
      </x:c>
      <x:c r="V481" s="46" t="str">
        <x:f>IF(Q481&lt;=3,"Kaynak kontrolü şart",IF(Q481=4,"Kaynak kontrolü önerilir","Standart doğrulama"))</x:f>
        <x:v>Kaynak kontrolü şart</x:v>
      </x:c>
    </x:row>
    <x:row r="482" ht="24" customHeight="1">
      <x:c r="A482" s="48" t="n">
        <x:f>COUNTIF($R$2:$R$751,"&gt;"&amp;R482)+COUNTIF($R$2:R482,R482)</x:f>
        <x:v>481</x:v>
      </x:c>
      <x:c r="B482" s="48" t="n">
        <x:v>1241</x:v>
      </x:c>
      <x:c r="C482" s="46" t="str">
        <x:v>Roosevelt'in isim ezberleyen dehası</x:v>
      </x:c>
      <x:c r="D482" s="34" t="str">
        <x:v>İletişim</x:v>
      </x:c>
      <x:c r="E482" s="34" t="str">
        <x:v>İletişim</x:v>
      </x:c>
      <x:c r="F482" s="34" t="str">
        <x:v>İkna Sanatı</x:v>
      </x:c>
      <x:c r="G482" s="34" t="str">
        <x:v>Dale Carnegie</x:v>
      </x:c>
      <x:c r="H482" s="50" t="str">
        <x:v>1</x:v>
      </x:c>
      <x:c r="I482" s="50" t="str">
        <x:v>Temel</x:v>
      </x:c>
      <x:c r="J482" s="51" t="n">
        <x:v>12</x:v>
      </x:c>
      <x:c r="K482" s="51" t="n">
        <x:v>8</x:v>
      </x:c>
      <x:c r="L482" s="51" t="n">
        <x:v>10</x:v>
      </x:c>
      <x:c r="M482" s="51" t="n">
        <x:v>12</x:v>
      </x:c>
      <x:c r="N482" s="51" t="n">
        <x:v>10</x:v>
      </x:c>
      <x:c r="O482" s="51" t="n">
        <x:v>6</x:v>
      </x:c>
      <x:c r="P482" s="51" t="n">
        <x:v>13</x:v>
      </x:c>
      <x:c r="Q482" s="51" t="n">
        <x:v>3</x:v>
      </x:c>
      <x:c r="R482" s="52" t="n">
        <x:f>SUM(J482:Q482)</x:f>
        <x:v>74</x:v>
      </x:c>
      <x:c r="S482" s="50" t="str">
        <x:f>IF(R482&gt;='Rubrik'!$B$17,"Öncelikli video",IF(R482&gt;='Rubrik'!$B$18,"Video kuyruğu",IF(R482&gt;='Rubrik'!$B$19,"Revize et",IF(R482&gt;='Rubrik'!$B$20,"Kartla test","Düşük öncelik"))))</x:f>
        <x:v>Kartla test</x:v>
      </x:c>
      <x:c r="T482" s="50" t="str">
        <x:f>IF(AND(R482&gt;=85,P482&gt;=16,M482&gt;=12,L482&gt;=12),"Reel + Carousel",IF(AND(R482&gt;=85,P482&gt;=16,N482&gt;=8),"Soru odaklı Reel",IF(AND(R482&gt;=85,P482&gt;=16),"Reel / Short",IF(M482&gt;=11,"Carousel","Kart testi"))))</x:f>
        <x:v>Carousel</x:v>
      </x:c>
      <x:c r="U482" s="46" t="str">
        <x:v>İsim hatırlayan başkan sıcak ve uygulanabilir; 1174 ile neredeyse aynı öykü olduğu için özgünlük düşük.</x:v>
      </x:c>
      <x:c r="V482" s="46" t="str">
        <x:f>IF(Q482&lt;=3,"Kaynak kontrolü şart",IF(Q482=4,"Kaynak kontrolü önerilir","Standart doğrulama"))</x:f>
        <x:v>Kaynak kontrolü şart</x:v>
      </x:c>
    </x:row>
    <x:row r="483" ht="24" customHeight="1">
      <x:c r="A483" s="48" t="n">
        <x:f>COUNTIF($R$2:$R$751,"&gt;"&amp;R483)+COUNTIF($R$2:R483,R483)</x:f>
        <x:v>482</x:v>
      </x:c>
      <x:c r="B483" s="48" t="n">
        <x:v>1060</x:v>
      </x:c>
      <x:c r="C483" s="46" t="str">
        <x:v>Kimlik temelli alışkanlık</x:v>
      </x:c>
      <x:c r="D483" s="34" t="str">
        <x:v>Sağlık</x:v>
      </x:c>
      <x:c r="E483" s="34" t="str">
        <x:v>Alışkanlıklar</x:v>
      </x:c>
      <x:c r="F483" s="34" t="str">
        <x:v>Atomic Habits</x:v>
      </x:c>
      <x:c r="G483" s="34" t="str">
        <x:v>James Clear</x:v>
      </x:c>
      <x:c r="H483" s="50" t="str">
        <x:v>1</x:v>
      </x:c>
      <x:c r="I483" s="50" t="str">
        <x:v>Temel</x:v>
      </x:c>
      <x:c r="J483" s="51" t="n">
        <x:v>12</x:v>
      </x:c>
      <x:c r="K483" s="51" t="n">
        <x:v>7</x:v>
      </x:c>
      <x:c r="L483" s="51" t="n">
        <x:v>9</x:v>
      </x:c>
      <x:c r="M483" s="51" t="n">
        <x:v>14</x:v>
      </x:c>
      <x:c r="N483" s="51" t="n">
        <x:v>9</x:v>
      </x:c>
      <x:c r="O483" s="51" t="n">
        <x:v>6</x:v>
      </x:c>
      <x:c r="P483" s="51" t="n">
        <x:v>13</x:v>
      </x:c>
      <x:c r="Q483" s="51" t="n">
        <x:v>4</x:v>
      </x:c>
      <x:c r="R483" s="52" t="n">
        <x:f>SUM(J483:Q483)</x:f>
        <x:v>74</x:v>
      </x:c>
      <x:c r="S483" s="50" t="str">
        <x:f>IF(R483&gt;='Rubrik'!$B$17,"Öncelikli video",IF(R483&gt;='Rubrik'!$B$18,"Video kuyruğu",IF(R483&gt;='Rubrik'!$B$19,"Revize et",IF(R483&gt;='Rubrik'!$B$20,"Kartla test","Düşük öncelik"))))</x:f>
        <x:v>Kartla test</x:v>
      </x:c>
      <x:c r="T483" s="50" t="str">
        <x:f>IF(AND(R483&gt;=85,P483&gt;=16,M483&gt;=12,L483&gt;=12),"Reel + Carousel",IF(AND(R483&gt;=85,P483&gt;=16,N483&gt;=8),"Soru odaklı Reel",IF(AND(R483&gt;=85,P483&gt;=16),"Reel / Short",IF(M483&gt;=11,"Carousel","Kart testi"))))</x:f>
        <x:v>Carousel</x:v>
      </x:c>
      <x:c r="U483" s="46" t="str">
        <x:v>İki sigara cevabı kimlik farkını tek sahnede anlatıyor; uygulanabilir ve kişisel düşünmeye çok uygun.</x:v>
      </x:c>
      <x:c r="V483" s="46" t="str">
        <x:f>IF(Q483&lt;=3,"Kaynak kontrolü şart",IF(Q483=4,"Kaynak kontrolü önerilir","Standart doğrulama"))</x:f>
        <x:v>Kaynak kontrolü önerilir</x:v>
      </x:c>
    </x:row>
    <x:row r="484" ht="24" customHeight="1">
      <x:c r="A484" s="48" t="n">
        <x:f>COUNTIF($R$2:$R$751,"&gt;"&amp;R484)+COUNTIF($R$2:R484,R484)</x:f>
        <x:v>483</x:v>
      </x:c>
      <x:c r="B484" s="48" t="n">
        <x:v>1063</x:v>
      </x:c>
      <x:c r="C484" s="46" t="str">
        <x:v>İki dakika kuralı</x:v>
      </x:c>
      <x:c r="D484" s="34" t="str">
        <x:v>Sağlık</x:v>
      </x:c>
      <x:c r="E484" s="34" t="str">
        <x:v>Alışkanlıklar</x:v>
      </x:c>
      <x:c r="F484" s="34" t="str">
        <x:v>Atomic Habits</x:v>
      </x:c>
      <x:c r="G484" s="34" t="str">
        <x:v>James Clear</x:v>
      </x:c>
      <x:c r="H484" s="50" t="str">
        <x:v>1</x:v>
      </x:c>
      <x:c r="I484" s="50" t="str">
        <x:v>Temel</x:v>
      </x:c>
      <x:c r="J484" s="51" t="n">
        <x:v>12</x:v>
      </x:c>
      <x:c r="K484" s="51" t="n">
        <x:v>6</x:v>
      </x:c>
      <x:c r="L484" s="51" t="n">
        <x:v>9</x:v>
      </x:c>
      <x:c r="M484" s="51" t="n">
        <x:v>15</x:v>
      </x:c>
      <x:c r="N484" s="51" t="n">
        <x:v>9</x:v>
      </x:c>
      <x:c r="O484" s="51" t="n">
        <x:v>6</x:v>
      </x:c>
      <x:c r="P484" s="51" t="n">
        <x:v>13</x:v>
      </x:c>
      <x:c r="Q484" s="51" t="n">
        <x:v>4</x:v>
      </x:c>
      <x:c r="R484" s="52" t="n">
        <x:f>SUM(J484:Q484)</x:f>
        <x:v>74</x:v>
      </x:c>
      <x:c r="S484" s="50" t="str">
        <x:f>IF(R484&gt;='Rubrik'!$B$17,"Öncelikli video",IF(R484&gt;='Rubrik'!$B$18,"Video kuyruğu",IF(R484&gt;='Rubrik'!$B$19,"Revize et",IF(R484&gt;='Rubrik'!$B$20,"Kartla test","Düşük öncelik"))))</x:f>
        <x:v>Kartla test</x:v>
      </x:c>
      <x:c r="T484" s="50" t="str">
        <x:f>IF(AND(R484&gt;=85,P484&gt;=16,M484&gt;=12,L484&gt;=12),"Reel + Carousel",IF(AND(R484&gt;=85,P484&gt;=16,N484&gt;=8),"Soru odaklı Reel",IF(AND(R484&gt;=85,P484&gt;=16),"Reel / Short",IF(M484&gt;=11,"Carousel","Kart testi"))))</x:f>
        <x:v>Carousel</x:v>
      </x:c>
      <x:c r="U484" s="46" t="str">
        <x:v>İki dakikalık başlangıç kolayca kaydedilip uygulanır; tanıdık fikir nedeniyle sürpriz ve duygu orta düzeyde.</x:v>
      </x:c>
      <x:c r="V484" s="46" t="str">
        <x:f>IF(Q484&lt;=3,"Kaynak kontrolü şart",IF(Q484=4,"Kaynak kontrolü önerilir","Standart doğrulama"))</x:f>
        <x:v>Kaynak kontrolü önerilir</x:v>
      </x:c>
    </x:row>
    <x:row r="485" ht="24" customHeight="1">
      <x:c r="A485" s="48" t="n">
        <x:f>COUNTIF($R$2:$R$751,"&gt;"&amp;R485)+COUNTIF($R$2:R485,R485)</x:f>
        <x:v>484</x:v>
      </x:c>
      <x:c r="B485" s="48" t="n">
        <x:v>1215</x:v>
      </x:c>
      <x:c r="C485" s="46" t="str">
        <x:v>Daha az, daha odaklı</x:v>
      </x:c>
      <x:c r="D485" s="34" t="str">
        <x:v>Verimlilik</x:v>
      </x:c>
      <x:c r="E485" s="34" t="str">
        <x:v>Verimlilik</x:v>
      </x:c>
      <x:c r="F485" s="34" t="str">
        <x:v>Minimalizm</x:v>
      </x:c>
      <x:c r="G485" s="34" t="str">
        <x:v>Greg McKeown</x:v>
      </x:c>
      <x:c r="H485" s="50" t="str">
        <x:v>1</x:v>
      </x:c>
      <x:c r="I485" s="50" t="str">
        <x:v>Temel</x:v>
      </x:c>
      <x:c r="J485" s="51" t="n">
        <x:v>12</x:v>
      </x:c>
      <x:c r="K485" s="51" t="n">
        <x:v>7</x:v>
      </x:c>
      <x:c r="L485" s="51" t="n">
        <x:v>9</x:v>
      </x:c>
      <x:c r="M485" s="51" t="n">
        <x:v>14</x:v>
      </x:c>
      <x:c r="N485" s="51" t="n">
        <x:v>9</x:v>
      </x:c>
      <x:c r="O485" s="51" t="n">
        <x:v>6</x:v>
      </x:c>
      <x:c r="P485" s="51" t="n">
        <x:v>13</x:v>
      </x:c>
      <x:c r="Q485" s="51" t="n">
        <x:v>4</x:v>
      </x:c>
      <x:c r="R485" s="52" t="n">
        <x:f>SUM(J485:Q485)</x:f>
        <x:v>74</x:v>
      </x:c>
      <x:c r="S485" s="50" t="str">
        <x:f>IF(R485&gt;='Rubrik'!$B$17,"Öncelikli video",IF(R485&gt;='Rubrik'!$B$18,"Video kuyruğu",IF(R485&gt;='Rubrik'!$B$19,"Revize et",IF(R485&gt;='Rubrik'!$B$20,"Kartla test","Düşük öncelik"))))</x:f>
        <x:v>Kartla test</x:v>
      </x:c>
      <x:c r="T485" s="50" t="str">
        <x:f>IF(AND(R485&gt;=85,P485&gt;=16,M485&gt;=12,L485&gt;=12),"Reel + Carousel",IF(AND(R485&gt;=85,P485&gt;=16,N485&gt;=8),"Soru odaklı Reel",IF(AND(R485&gt;=85,P485&gt;=16),"Reel / Short",IF(M485&gt;=11,"Carousel","Kart testi"))))</x:f>
        <x:v>Carousel</x:v>
      </x:c>
      <x:c r="U485" s="46" t="str">
        <x:v>Değerler ile takvim arasındaki çelişki kişisel ve kullanışlı; olaydan çok fikir anlatısı olduğu için video orta.</x:v>
      </x:c>
      <x:c r="V485" s="46" t="str">
        <x:f>IF(Q485&lt;=3,"Kaynak kontrolü şart",IF(Q485=4,"Kaynak kontrolü önerilir","Standart doğrulama"))</x:f>
        <x:v>Kaynak kontrolü önerilir</x:v>
      </x:c>
    </x:row>
    <x:row r="486" ht="24" customHeight="1">
      <x:c r="A486" s="48" t="n">
        <x:f>COUNTIF($R$2:$R$751,"&gt;"&amp;R486)+COUNTIF($R$2:R486,R486)</x:f>
        <x:v>485</x:v>
      </x:c>
      <x:c r="B486" s="48" t="n">
        <x:v>1132</x:v>
      </x:c>
      <x:c r="C486" s="46" t="str">
        <x:v>Ağrı ile acının farkı</x:v>
      </x:c>
      <x:c r="D486" s="34" t="str">
        <x:v>Psikoloji</x:v>
      </x:c>
      <x:c r="E486" s="34" t="str">
        <x:v>Farkındalık</x:v>
      </x:c>
      <x:c r="F486" s="34" t="str">
        <x:v>Şimdi ve Burada</x:v>
      </x:c>
      <x:c r="G486" s="34" t="str">
        <x:v>Eckhart Tolle</x:v>
      </x:c>
      <x:c r="H486" s="50" t="str">
        <x:v>1</x:v>
      </x:c>
      <x:c r="I486" s="50" t="str">
        <x:v>Temel</x:v>
      </x:c>
      <x:c r="J486" s="51" t="n">
        <x:v>13</x:v>
      </x:c>
      <x:c r="K486" s="51" t="n">
        <x:v>9</x:v>
      </x:c>
      <x:c r="L486" s="51" t="n">
        <x:v>8</x:v>
      </x:c>
      <x:c r="M486" s="51" t="n">
        <x:v>12</x:v>
      </x:c>
      <x:c r="N486" s="51" t="n">
        <x:v>10</x:v>
      </x:c>
      <x:c r="O486" s="51" t="n">
        <x:v>7</x:v>
      </x:c>
      <x:c r="P486" s="51" t="n">
        <x:v>13</x:v>
      </x:c>
      <x:c r="Q486" s="51" t="n">
        <x:v>2</x:v>
      </x:c>
      <x:c r="R486" s="52" t="n">
        <x:f>SUM(J486:Q486)</x:f>
        <x:v>74</x:v>
      </x:c>
      <x:c r="S486" s="50" t="str">
        <x:f>IF(R486&gt;='Rubrik'!$B$17,"Öncelikli video",IF(R486&gt;='Rubrik'!$B$18,"Video kuyruğu",IF(R486&gt;='Rubrik'!$B$19,"Revize et",IF(R486&gt;='Rubrik'!$B$20,"Kartla test","Düşük öncelik"))))</x:f>
        <x:v>Kartla test</x:v>
      </x:c>
      <x:c r="T486" s="50" t="str">
        <x:f>IF(AND(R486&gt;=85,P486&gt;=16,M486&gt;=12,L486&gt;=12),"Reel + Carousel",IF(AND(R486&gt;=85,P486&gt;=16,N486&gt;=8),"Soru odaklı Reel",IF(AND(R486&gt;=85,P486&gt;=16),"Reel / Short",IF(M486&gt;=11,"Carousel","Kart testi"))))</x:f>
        <x:v>Carousel</x:v>
      </x:c>
      <x:c r="U486" s="46" t="str">
        <x:v>Ağrı ile hikâyesini ayırmak güçlü; kronik hastalıkta acıyı seçim gibi sunmamak için hassas dil gerekir.</x:v>
      </x:c>
      <x:c r="V486" s="46" t="str">
        <x:f>IF(Q486&lt;=3,"Kaynak kontrolü şart",IF(Q486=4,"Kaynak kontrolü önerilir","Standart doğrulama"))</x:f>
        <x:v>Kaynak kontrolü şart</x:v>
      </x:c>
    </x:row>
    <x:row r="487" ht="24" customHeight="1">
      <x:c r="A487" s="48" t="n">
        <x:f>COUNTIF($R$2:$R$751,"&gt;"&amp;R487)+COUNTIF($R$2:R487,R487)</x:f>
        <x:v>486</x:v>
      </x:c>
      <x:c r="B487" s="48" t="n">
        <x:v>1773</x:v>
      </x:c>
      <x:c r="C487" s="46" t="str">
        <x:v>Fil ve Binicisi</x:v>
      </x:c>
      <x:c r="D487" s="34" t="str">
        <x:v>Finans</x:v>
      </x:c>
      <x:c r="E487" s="34" t="str">
        <x:v>İş &amp; Girişim</x:v>
      </x:c>
      <x:c r="F487" s="34" t="str">
        <x:v>The Happiness Hypothesis</x:v>
      </x:c>
      <x:c r="G487" s="34" t="str">
        <x:v>Jonathan Haidt</x:v>
      </x:c>
      <x:c r="H487" s="50" t="str">
        <x:v>2</x:v>
      </x:c>
      <x:c r="I487" s="50" t="str">
        <x:v>Zengin</x:v>
      </x:c>
      <x:c r="J487" s="51" t="n">
        <x:v>11</x:v>
      </x:c>
      <x:c r="K487" s="51" t="n">
        <x:v>5</x:v>
      </x:c>
      <x:c r="L487" s="51" t="n">
        <x:v>13</x:v>
      </x:c>
      <x:c r="M487" s="51" t="n">
        <x:v>9</x:v>
      </x:c>
      <x:c r="N487" s="51" t="n">
        <x:v>7</x:v>
      </x:c>
      <x:c r="O487" s="51" t="n">
        <x:v>7</x:v>
      </x:c>
      <x:c r="P487" s="51" t="n">
        <x:v>17</x:v>
      </x:c>
      <x:c r="Q487" s="51" t="n">
        <x:v>4</x:v>
      </x:c>
      <x:c r="R487" s="52" t="n">
        <x:f>SUM(J487:Q487)</x:f>
        <x:v>73</x:v>
      </x:c>
      <x:c r="S487" s="50" t="str">
        <x:f>IF(R487&gt;='Rubrik'!$B$17,"Öncelikli video",IF(R487&gt;='Rubrik'!$B$18,"Video kuyruğu",IF(R487&gt;='Rubrik'!$B$19,"Revize et",IF(R487&gt;='Rubrik'!$B$20,"Kartla test","Düşük öncelik"))))</x:f>
        <x:v>Kartla test</x:v>
      </x:c>
      <x:c r="T487" s="50" t="str">
        <x:f>IF(AND(R487&gt;=85,P487&gt;=16,M487&gt;=12,L487&gt;=12),"Reel + Carousel",IF(AND(R487&gt;=85,P487&gt;=16,N487&gt;=8),"Soru odaklı Reel",IF(AND(R487&gt;=85,P487&gt;=16),"Reel / Short",IF(M487&gt;=11,"Carousel","Kart testi"))))</x:f>
        <x:v>Kart testi</x:v>
      </x:c>
      <x:c r="U487" s="46" t="str">
        <x:v>Merak sorusu ve karşıtlık ilk saniye etkisini güçlendiriyor; olay örgüsü geliştirilmeli.</x:v>
      </x:c>
      <x:c r="V487" s="46" t="str">
        <x:f>IF(Q487&lt;=3,"Kaynak kontrolü şart",IF(Q487=4,"Kaynak kontrolü önerilir","Standart doğrulama"))</x:f>
        <x:v>Kaynak kontrolü önerilir</x:v>
      </x:c>
    </x:row>
    <x:row r="488" ht="24" customHeight="1">
      <x:c r="A488" s="48" t="n">
        <x:f>COUNTIF($R$2:$R$751,"&gt;"&amp;R488)+COUNTIF($R$2:R488,R488)</x:f>
        <x:v>487</x:v>
      </x:c>
      <x:c r="B488" s="48" t="n">
        <x:v>1774</x:v>
      </x:c>
      <x:c r="C488" s="46" t="str">
        <x:v>Dolandırıcının Gerçek Silahı</x:v>
      </x:c>
      <x:c r="D488" s="34" t="str">
        <x:v>Finans</x:v>
      </x:c>
      <x:c r="E488" s="34" t="str">
        <x:v>İş &amp; Girişim</x:v>
      </x:c>
      <x:c r="F488" s="34" t="str">
        <x:v>The Confidence Game</x:v>
      </x:c>
      <x:c r="G488" s="34" t="str">
        <x:v>Maria Konnikova</x:v>
      </x:c>
      <x:c r="H488" s="50" t="str">
        <x:v>2</x:v>
      </x:c>
      <x:c r="I488" s="50" t="str">
        <x:v>Zengin</x:v>
      </x:c>
      <x:c r="J488" s="51" t="n">
        <x:v>12</x:v>
      </x:c>
      <x:c r="K488" s="51" t="n">
        <x:v>6</x:v>
      </x:c>
      <x:c r="L488" s="51" t="n">
        <x:v>13</x:v>
      </x:c>
      <x:c r="M488" s="51" t="n">
        <x:v>7</x:v>
      </x:c>
      <x:c r="N488" s="51" t="n">
        <x:v>8</x:v>
      </x:c>
      <x:c r="O488" s="51" t="n">
        <x:v>6</x:v>
      </x:c>
      <x:c r="P488" s="51" t="n">
        <x:v>17</x:v>
      </x:c>
      <x:c r="Q488" s="51" t="n">
        <x:v>4</x:v>
      </x:c>
      <x:c r="R488" s="52" t="n">
        <x:f>SUM(J488:Q488)</x:f>
        <x:v>73</x:v>
      </x:c>
      <x:c r="S488" s="50" t="str">
        <x:f>IF(R488&gt;='Rubrik'!$B$17,"Öncelikli video",IF(R488&gt;='Rubrik'!$B$18,"Video kuyruğu",IF(R488&gt;='Rubrik'!$B$19,"Revize et",IF(R488&gt;='Rubrik'!$B$20,"Kartla test","Düşük öncelik"))))</x:f>
        <x:v>Kartla test</x:v>
      </x:c>
      <x:c r="T488" s="50" t="str">
        <x:f>IF(AND(R488&gt;=85,P488&gt;=16,M488&gt;=12,L488&gt;=12),"Reel + Carousel",IF(AND(R488&gt;=85,P488&gt;=16,N488&gt;=8),"Soru odaklı Reel",IF(AND(R488&gt;=85,P488&gt;=16),"Reel / Short",IF(M488&gt;=11,"Carousel","Kart testi"))))</x:f>
        <x:v>Kart testi</x:v>
      </x:c>
      <x:c r="U488" s="46" t="str">
        <x:v>Duygusal karşıtlık paylaşma ve kişisel anlatma isteğini yükseltiyor; olay örgüsü geliştirilmeli.</x:v>
      </x:c>
      <x:c r="V488" s="46" t="str">
        <x:f>IF(Q488&lt;=3,"Kaynak kontrolü şart",IF(Q488=4,"Kaynak kontrolü önerilir","Standart doğrulama"))</x:f>
        <x:v>Kaynak kontrolü önerilir</x:v>
      </x:c>
    </x:row>
    <x:row r="489" ht="24" customHeight="1">
      <x:c r="A489" s="48" t="n">
        <x:f>COUNTIF($R$2:$R$751,"&gt;"&amp;R489)+COUNTIF($R$2:R489,R489)</x:f>
        <x:v>488</x:v>
      </x:c>
      <x:c r="B489" s="48" t="n">
        <x:v>1351</x:v>
      </x:c>
      <x:c r="C489" s="46" t="str">
        <x:v>Sabah 5 kulübü ve beynin altın saatleri</x:v>
      </x:c>
      <x:c r="D489" s="34" t="str">
        <x:v>Sağlık</x:v>
      </x:c>
      <x:c r="E489" s="34" t="str">
        <x:v>Alışkanlıklar</x:v>
      </x:c>
      <x:c r="F489" s="34" t="str">
        <x:v>Bir Sonraki Seviye</x:v>
      </x:c>
      <x:c r="G489" s="34" t="str">
        <x:v>Robin Sharma</x:v>
      </x:c>
      <x:c r="H489" s="50" t="str">
        <x:v>1</x:v>
      </x:c>
      <x:c r="I489" s="50" t="str">
        <x:v>Temel</x:v>
      </x:c>
      <x:c r="J489" s="51" t="n">
        <x:v>13</x:v>
      </x:c>
      <x:c r="K489" s="51" t="n">
        <x:v>6</x:v>
      </x:c>
      <x:c r="L489" s="51" t="n">
        <x:v>11</x:v>
      </x:c>
      <x:c r="M489" s="51" t="n">
        <x:v>13</x:v>
      </x:c>
      <x:c r="N489" s="51" t="n">
        <x:v>8</x:v>
      </x:c>
      <x:c r="O489" s="51" t="n">
        <x:v>7</x:v>
      </x:c>
      <x:c r="P489" s="51" t="n">
        <x:v>15</x:v>
      </x:c>
      <x:c r="Q489" s="51" t="n">
        <x:v>0</x:v>
      </x:c>
      <x:c r="R489" s="52" t="n">
        <x:f>SUM(J489:Q489)</x:f>
        <x:v>73</x:v>
      </x:c>
      <x:c r="S489" s="50" t="str">
        <x:f>IF(R489&gt;='Rubrik'!$B$17,"Öncelikli video",IF(R489&gt;='Rubrik'!$B$18,"Video kuyruğu",IF(R489&gt;='Rubrik'!$B$19,"Revize et",IF(R489&gt;='Rubrik'!$B$20,"Kartla test","Düşük öncelik"))))</x:f>
        <x:v>Kartla test</x:v>
      </x:c>
      <x:c r="T489" s="50" t="str">
        <x:f>IF(AND(R489&gt;=85,P489&gt;=16,M489&gt;=12,L489&gt;=12),"Reel + Carousel",IF(AND(R489&gt;=85,P489&gt;=16,N489&gt;=8),"Soru odaklı Reel",IF(AND(R489&gt;=85,P489&gt;=16),"Reel / Short",IF(M489&gt;=11,"Carousel","Kart testi"))))</x:f>
        <x:v>Carousel</x:v>
      </x:c>
      <x:c r="U489" s="46" t="str">
        <x:v>5.00 rutini net ve paylaşılır; gece kuşlarının doğuştan olmadığı ve beynin tek ideal saati iddiaları yanlış.</x:v>
      </x:c>
      <x:c r="V489" s="46" t="str">
        <x:f>IF(Q489&lt;=3,"Kaynak kontrolü şart",IF(Q489=4,"Kaynak kontrolü önerilir","Standart doğrulama"))</x:f>
        <x:v>Kaynak kontrolü şart</x:v>
      </x:c>
    </x:row>
    <x:row r="490" ht="24" customHeight="1">
      <x:c r="A490" s="48" t="n">
        <x:f>COUNTIF($R$2:$R$751,"&gt;"&amp;R490)+COUNTIF($R$2:R490,R490)</x:f>
        <x:v>489</x:v>
      </x:c>
      <x:c r="B490" s="48" t="n">
        <x:v>1389</x:v>
      </x:c>
      <x:c r="C490" s="46" t="str">
        <x:v>Kaynak durumu ve performans zirvesi</x:v>
      </x:c>
      <x:c r="D490" s="34" t="str">
        <x:v>Büyüme</x:v>
      </x:c>
      <x:c r="E490" s="34" t="str">
        <x:v>Motivasyon</x:v>
      </x:c>
      <x:c r="F490" s="34" t="str">
        <x:v>İçsel Güç</x:v>
      </x:c>
      <x:c r="G490" s="34" t="str">
        <x:v>Tony Robbins</x:v>
      </x:c>
      <x:c r="H490" s="50" t="str">
        <x:v>1</x:v>
      </x:c>
      <x:c r="I490" s="50" t="str">
        <x:v>Temel</x:v>
      </x:c>
      <x:c r="J490" s="51" t="n">
        <x:v>12</x:v>
      </x:c>
      <x:c r="K490" s="51" t="n">
        <x:v>6</x:v>
      </x:c>
      <x:c r="L490" s="51" t="n">
        <x:v>11</x:v>
      </x:c>
      <x:c r="M490" s="51" t="n">
        <x:v>11</x:v>
      </x:c>
      <x:c r="N490" s="51" t="n">
        <x:v>9</x:v>
      </x:c>
      <x:c r="O490" s="51" t="n">
        <x:v>7</x:v>
      </x:c>
      <x:c r="P490" s="51" t="n">
        <x:v>15</x:v>
      </x:c>
      <x:c r="Q490" s="51" t="n">
        <x:v>2</x:v>
      </x:c>
      <x:c r="R490" s="52" t="n">
        <x:f>SUM(J490:Q490)</x:f>
        <x:v>73</x:v>
      </x:c>
      <x:c r="S490" s="50" t="str">
        <x:f>IF(R490&gt;='Rubrik'!$B$17,"Öncelikli video",IF(R490&gt;='Rubrik'!$B$18,"Video kuyruğu",IF(R490&gt;='Rubrik'!$B$19,"Revize et",IF(R490&gt;='Rubrik'!$B$20,"Kartla test","Düşük öncelik"))))</x:f>
        <x:v>Kartla test</x:v>
      </x:c>
      <x:c r="T490" s="50" t="str">
        <x:f>IF(AND(R490&gt;=85,P490&gt;=16,M490&gt;=12,L490&gt;=12),"Reel + Carousel",IF(AND(R490&gt;=85,P490&gt;=16,N490&gt;=8),"Soru odaklı Reel",IF(AND(R490&gt;=85,P490&gt;=16),"Reel / Short",IF(M490&gt;=11,"Carousel","Kart testi"))))</x:f>
        <x:v>Carousel</x:v>
      </x:c>
      <x:c r="U490" s="46" t="str">
        <x:v>Önce bedeni değiştir fikri uygulanabilir; duruşun beyin ve performansı doğrudan belirlediği anlatım abartılı.</x:v>
      </x:c>
      <x:c r="V490" s="46" t="str">
        <x:f>IF(Q490&lt;=3,"Kaynak kontrolü şart",IF(Q490=4,"Kaynak kontrolü önerilir","Standart doğrulama"))</x:f>
        <x:v>Kaynak kontrolü şart</x:v>
      </x:c>
    </x:row>
    <x:row r="491" ht="24" customHeight="1">
      <x:c r="A491" s="48" t="n">
        <x:f>COUNTIF($R$2:$R$751,"&gt;"&amp;R491)+COUNTIF($R$2:R491,R491)</x:f>
        <x:v>490</x:v>
      </x:c>
      <x:c r="B491" s="48" t="n">
        <x:v>1583</x:v>
      </x:c>
      <x:c r="C491" s="46" t="str">
        <x:v>Tasarım — işlevselliğin ötesinde anlam yaratmak</x:v>
      </x:c>
      <x:c r="D491" s="34" t="str">
        <x:v>Verimlilik</x:v>
      </x:c>
      <x:c r="E491" s="34" t="str">
        <x:v>Yaratıcılık</x:v>
      </x:c>
      <x:c r="F491" s="34" t="str">
        <x:v>Bütün Beyin</x:v>
      </x:c>
      <x:c r="G491" s="34" t="str">
        <x:v>Daniel Pink</x:v>
      </x:c>
      <x:c r="H491" s="50" t="str">
        <x:v>1</x:v>
      </x:c>
      <x:c r="I491" s="50" t="str">
        <x:v>Temel</x:v>
      </x:c>
      <x:c r="J491" s="51" t="n">
        <x:v>11</x:v>
      </x:c>
      <x:c r="K491" s="51" t="n">
        <x:v>5</x:v>
      </x:c>
      <x:c r="L491" s="51" t="n">
        <x:v>11</x:v>
      </x:c>
      <x:c r="M491" s="51" t="n">
        <x:v>13</x:v>
      </x:c>
      <x:c r="N491" s="51" t="n">
        <x:v>8</x:v>
      </x:c>
      <x:c r="O491" s="51" t="n">
        <x:v>6</x:v>
      </x:c>
      <x:c r="P491" s="51" t="n">
        <x:v>15</x:v>
      </x:c>
      <x:c r="Q491" s="51" t="n">
        <x:v>4</x:v>
      </x:c>
      <x:c r="R491" s="52" t="n">
        <x:f>SUM(J491:Q491)</x:f>
        <x:v>73</x:v>
      </x:c>
      <x:c r="S491" s="50" t="str">
        <x:f>IF(R491&gt;='Rubrik'!$B$17,"Öncelikli video",IF(R491&gt;='Rubrik'!$B$18,"Video kuyruğu",IF(R491&gt;='Rubrik'!$B$19,"Revize et",IF(R491&gt;='Rubrik'!$B$20,"Kartla test","Düşük öncelik"))))</x:f>
        <x:v>Kartla test</x:v>
      </x:c>
      <x:c r="T491" s="50" t="str">
        <x:f>IF(AND(R491&gt;=85,P491&gt;=16,M491&gt;=12,L491&gt;=12),"Reel + Carousel",IF(AND(R491&gt;=85,P491&gt;=16,N491&gt;=8),"Soru odaklı Reel",IF(AND(R491&gt;=85,P491&gt;=16),"Reel / Short",IF(M491&gt;=11,"Carousel","Kart testi"))))</x:f>
        <x:v>Carousel</x:v>
      </x:c>
      <x:c r="U491" s="46" t="str">
        <x:v>Tasarımın işlevden anlama geçmesi ürün örnekleriyle görselleşir; duygusu orta, eğitim değeri yüksek.</x:v>
      </x:c>
      <x:c r="V491" s="46" t="str">
        <x:f>IF(Q491&lt;=3,"Kaynak kontrolü şart",IF(Q491=4,"Kaynak kontrolü önerilir","Standart doğrulama"))</x:f>
        <x:v>Kaynak kontrolü önerilir</x:v>
      </x:c>
    </x:row>
    <x:row r="492" ht="24" customHeight="1">
      <x:c r="A492" s="48" t="n">
        <x:f>COUNTIF($R$2:$R$751,"&gt;"&amp;R492)+COUNTIF($R$2:R492,R492)</x:f>
        <x:v>491</x:v>
      </x:c>
      <x:c r="B492" s="48" t="n">
        <x:v>1074</x:v>
      </x:c>
      <x:c r="C492" s="46" t="str">
        <x:v>Andrew Carnegie'nin çelik imparatorluğu</x:v>
      </x:c>
      <x:c r="D492" s="34" t="str">
        <x:v>Büyüme</x:v>
      </x:c>
      <x:c r="E492" s="34" t="str">
        <x:v>Motivasyon</x:v>
      </x:c>
      <x:c r="F492" s="34" t="str">
        <x:v>Düşün ve Zengin Ol</x:v>
      </x:c>
      <x:c r="G492" s="34" t="str">
        <x:v>Napoleon Hill</x:v>
      </x:c>
      <x:c r="H492" s="50" t="str">
        <x:v>1</x:v>
      </x:c>
      <x:c r="I492" s="50" t="str">
        <x:v>Temel</x:v>
      </x:c>
      <x:c r="J492" s="51" t="n">
        <x:v>13</x:v>
      </x:c>
      <x:c r="K492" s="51" t="n">
        <x:v>8</x:v>
      </x:c>
      <x:c r="L492" s="51" t="n">
        <x:v>10</x:v>
      </x:c>
      <x:c r="M492" s="51" t="n">
        <x:v>10</x:v>
      </x:c>
      <x:c r="N492" s="51" t="n">
        <x:v>8</x:v>
      </x:c>
      <x:c r="O492" s="51" t="n">
        <x:v>7</x:v>
      </x:c>
      <x:c r="P492" s="51" t="n">
        <x:v>15</x:v>
      </x:c>
      <x:c r="Q492" s="51" t="n">
        <x:v>2</x:v>
      </x:c>
      <x:c r="R492" s="52" t="n">
        <x:f>SUM(J492:Q492)</x:f>
        <x:v>73</x:v>
      </x:c>
      <x:c r="S492" s="50" t="str">
        <x:f>IF(R492&gt;='Rubrik'!$B$17,"Öncelikli video",IF(R492&gt;='Rubrik'!$B$18,"Video kuyruğu",IF(R492&gt;='Rubrik'!$B$19,"Revize et",IF(R492&gt;='Rubrik'!$B$20,"Kartla test","Düşük öncelik"))))</x:f>
        <x:v>Kartla test</x:v>
      </x:c>
      <x:c r="T492" s="50" t="str">
        <x:f>IF(AND(R492&gt;=85,P492&gt;=16,M492&gt;=12,L492&gt;=12),"Reel + Carousel",IF(AND(R492&gt;=85,P492&gt;=16,N492&gt;=8),"Soru odaklı Reel",IF(AND(R492&gt;=85,P492&gt;=16),"Reel / Short",IF(M492&gt;=11,"Carousel","Kart testi"))))</x:f>
        <x:v>Kart testi</x:v>
      </x:c>
      <x:c r="U492" s="46" t="str">
        <x:v>Yoksul göçmenden çelik imparatoruna yükseliş güçlü; başarıyı tek hedefe bağlamak tarihi fazla sadeleştiriyor.</x:v>
      </x:c>
      <x:c r="V492" s="46" t="str">
        <x:f>IF(Q492&lt;=3,"Kaynak kontrolü şart",IF(Q492=4,"Kaynak kontrolü önerilir","Standart doğrulama"))</x:f>
        <x:v>Kaynak kontrolü şart</x:v>
      </x:c>
    </x:row>
    <x:row r="493" ht="24" customHeight="1">
      <x:c r="A493" s="48" t="n">
        <x:f>COUNTIF($R$2:$R$751,"&gt;"&amp;R493)+COUNTIF($R$2:R493,R493)</x:f>
        <x:v>492</x:v>
      </x:c>
      <x:c r="B493" s="48" t="n">
        <x:v>1283</x:v>
      </x:c>
      <x:c r="C493" s="46" t="str">
        <x:v>Evrenin dili ve işaretler</x:v>
      </x:c>
      <x:c r="D493" s="34" t="str">
        <x:v>Büyüme</x:v>
      </x:c>
      <x:c r="E493" s="34" t="str">
        <x:v>İlham</x:v>
      </x:c>
      <x:c r="F493" s="34" t="str">
        <x:v>Kaybedilen Cennet</x:v>
      </x:c>
      <x:c r="G493" s="34" t="str">
        <x:v>Paulo Coelho</x:v>
      </x:c>
      <x:c r="H493" s="50" t="str">
        <x:v>1</x:v>
      </x:c>
      <x:c r="I493" s="50" t="str">
        <x:v>Temel</x:v>
      </x:c>
      <x:c r="J493" s="51" t="n">
        <x:v>12</x:v>
      </x:c>
      <x:c r="K493" s="51" t="n">
        <x:v>7</x:v>
      </x:c>
      <x:c r="L493" s="51" t="n">
        <x:v>10</x:v>
      </x:c>
      <x:c r="M493" s="51" t="n">
        <x:v>9</x:v>
      </x:c>
      <x:c r="N493" s="51" t="n">
        <x:v>9</x:v>
      </x:c>
      <x:c r="O493" s="51" t="n">
        <x:v>7</x:v>
      </x:c>
      <x:c r="P493" s="51" t="n">
        <x:v>15</x:v>
      </x:c>
      <x:c r="Q493" s="51" t="n">
        <x:v>4</x:v>
      </x:c>
      <x:c r="R493" s="52" t="n">
        <x:f>SUM(J493:Q493)</x:f>
        <x:v>73</x:v>
      </x:c>
      <x:c r="S493" s="50" t="str">
        <x:f>IF(R493&gt;='Rubrik'!$B$17,"Öncelikli video",IF(R493&gt;='Rubrik'!$B$18,"Video kuyruğu",IF(R493&gt;='Rubrik'!$B$19,"Revize et",IF(R493&gt;='Rubrik'!$B$20,"Kartla test","Düşük öncelik"))))</x:f>
        <x:v>Kartla test</x:v>
      </x:c>
      <x:c r="T493" s="50" t="str">
        <x:f>IF(AND(R493&gt;=85,P493&gt;=16,M493&gt;=12,L493&gt;=12),"Reel + Carousel",IF(AND(R493&gt;=85,P493&gt;=16,N493&gt;=8),"Soru odaklı Reel",IF(AND(R493&gt;=85,P493&gt;=16),"Reel / Short",IF(M493&gt;=11,"Carousel","Kart testi"))))</x:f>
        <x:v>Kart testi</x:v>
      </x:c>
      <x:c r="U493" s="46" t="str">
        <x:v>Şahin sahnesi ve seçici dikkat bağı merak uyandırıyor; metafizik mesaj pratik açıklamayla dengelenmiş.</x:v>
      </x:c>
      <x:c r="V493" s="46" t="str">
        <x:f>IF(Q493&lt;=3,"Kaynak kontrolü şart",IF(Q493=4,"Kaynak kontrolü önerilir","Standart doğrulama"))</x:f>
        <x:v>Kaynak kontrolü önerilir</x:v>
      </x:c>
    </x:row>
    <x:row r="494" ht="24" customHeight="1">
      <x:c r="A494" s="48" t="n">
        <x:f>COUNTIF($R$2:$R$751,"&gt;"&amp;R494)+COUNTIF($R$2:R494,R494)</x:f>
        <x:v>493</x:v>
      </x:c>
      <x:c r="B494" s="48" t="n">
        <x:v>1481</x:v>
      </x:c>
      <x:c r="C494" s="46" t="str">
        <x:v>Dezenformasyon çağı ve gerçeği bulmak</x:v>
      </x:c>
      <x:c r="D494" s="34" t="str">
        <x:v>Tarih</x:v>
      </x:c>
      <x:c r="E494" s="34" t="str">
        <x:v>Güncel</x:v>
      </x:c>
      <x:c r="F494" s="34" t="str">
        <x:v>21. Yüzyıl İçin 21 Ders</x:v>
      </x:c>
      <x:c r="G494" s="34" t="str">
        <x:v>Yuval Noah Harari</x:v>
      </x:c>
      <x:c r="H494" s="50" t="str">
        <x:v>1</x:v>
      </x:c>
      <x:c r="I494" s="50" t="str">
        <x:v>Temel</x:v>
      </x:c>
      <x:c r="J494" s="51" t="n">
        <x:v>11</x:v>
      </x:c>
      <x:c r="K494" s="51" t="n">
        <x:v>5</x:v>
      </x:c>
      <x:c r="L494" s="51" t="n">
        <x:v>12</x:v>
      </x:c>
      <x:c r="M494" s="51" t="n">
        <x:v>13</x:v>
      </x:c>
      <x:c r="N494" s="51" t="n">
        <x:v>8</x:v>
      </x:c>
      <x:c r="O494" s="51" t="n">
        <x:v>6</x:v>
      </x:c>
      <x:c r="P494" s="51" t="n">
        <x:v>14</x:v>
      </x:c>
      <x:c r="Q494" s="51" t="n">
        <x:v>4</x:v>
      </x:c>
      <x:c r="R494" s="52" t="n">
        <x:f>SUM(J494:Q494)</x:f>
        <x:v>73</x:v>
      </x:c>
      <x:c r="S494" s="50" t="str">
        <x:f>IF(R494&gt;='Rubrik'!$B$17,"Öncelikli video",IF(R494&gt;='Rubrik'!$B$18,"Video kuyruğu",IF(R494&gt;='Rubrik'!$B$19,"Revize et",IF(R494&gt;='Rubrik'!$B$20,"Kartla test","Düşük öncelik"))))</x:f>
        <x:v>Kartla test</x:v>
      </x:c>
      <x:c r="T494" s="50" t="str">
        <x:f>IF(AND(R494&gt;=85,P494&gt;=16,M494&gt;=12,L494&gt;=12),"Reel + Carousel",IF(AND(R494&gt;=85,P494&gt;=16,N494&gt;=8),"Soru odaklı Reel",IF(AND(R494&gt;=85,P494&gt;=16),"Reel / Short",IF(M494&gt;=11,"Carousel","Kart testi"))))</x:f>
        <x:v>Carousel</x:v>
      </x:c>
      <x:c r="U494" s="46" t="str">
        <x:v>Yanlış bilginin tanıdıktan gelince güçlenmesi herkesin yaşadığı bir sorun; doğrulama adımları kaydedilir.</x:v>
      </x:c>
      <x:c r="V494" s="46" t="str">
        <x:f>IF(Q494&lt;=3,"Kaynak kontrolü şart",IF(Q494=4,"Kaynak kontrolü önerilir","Standart doğrulama"))</x:f>
        <x:v>Kaynak kontrolü önerilir</x:v>
      </x:c>
    </x:row>
    <x:row r="495" ht="24" customHeight="1">
      <x:c r="A495" s="48" t="n">
        <x:f>COUNTIF($R$2:$R$751,"&gt;"&amp;R495)+COUNTIF($R$2:R495,R495)</x:f>
        <x:v>494</x:v>
      </x:c>
      <x:c r="B495" s="48" t="n">
        <x:v>1404</x:v>
      </x:c>
      <x:c r="C495" s="46" t="str">
        <x:v>Bağlayıcılar, Bilgeler ve Satıcılar</x:v>
      </x:c>
      <x:c r="D495" s="34" t="str">
        <x:v>Felsefe</x:v>
      </x:c>
      <x:c r="E495" s="34" t="str">
        <x:v>Sosyoloji</x:v>
      </x:c>
      <x:c r="F495" s="34" t="str">
        <x:v>Devrilme Noktası</x:v>
      </x:c>
      <x:c r="G495" s="34" t="str">
        <x:v>Malcolm Gladwell</x:v>
      </x:c>
      <x:c r="H495" s="50" t="str">
        <x:v>1</x:v>
      </x:c>
      <x:c r="I495" s="50" t="str">
        <x:v>Temel</x:v>
      </x:c>
      <x:c r="J495" s="51" t="n">
        <x:v>11</x:v>
      </x:c>
      <x:c r="K495" s="51" t="n">
        <x:v>6</x:v>
      </x:c>
      <x:c r="L495" s="51" t="n">
        <x:v>11</x:v>
      </x:c>
      <x:c r="M495" s="51" t="n">
        <x:v>13</x:v>
      </x:c>
      <x:c r="N495" s="51" t="n">
        <x:v>9</x:v>
      </x:c>
      <x:c r="O495" s="51" t="n">
        <x:v>6</x:v>
      </x:c>
      <x:c r="P495" s="51" t="n">
        <x:v>14</x:v>
      </x:c>
      <x:c r="Q495" s="51" t="n">
        <x:v>3</x:v>
      </x:c>
      <x:c r="R495" s="52" t="n">
        <x:f>SUM(J495:Q495)</x:f>
        <x:v>73</x:v>
      </x:c>
      <x:c r="S495" s="50" t="str">
        <x:f>IF(R495&gt;='Rubrik'!$B$17,"Öncelikli video",IF(R495&gt;='Rubrik'!$B$18,"Video kuyruğu",IF(R495&gt;='Rubrik'!$B$19,"Revize et",IF(R495&gt;='Rubrik'!$B$20,"Kartla test","Düşük öncelik"))))</x:f>
        <x:v>Kartla test</x:v>
      </x:c>
      <x:c r="T495" s="50" t="str">
        <x:f>IF(AND(R495&gt;=85,P495&gt;=16,M495&gt;=12,L495&gt;=12),"Reel + Carousel",IF(AND(R495&gt;=85,P495&gt;=16,N495&gt;=8),"Soru odaklı Reel",IF(AND(R495&gt;=85,P495&gt;=16),"Reel / Short",IF(M495&gt;=11,"Carousel","Kart testi"))))</x:f>
        <x:v>Carousel</x:v>
      </x:c>
      <x:c r="U495" s="46" t="str">
        <x:v>Bağlayıcı-Bilge-Satıcı üçlüsü kolay hatırlanır ve öz değerlendirme yaratır; yayılmayı fazla mekanikleştiriyor.</x:v>
      </x:c>
      <x:c r="V495" s="46" t="str">
        <x:f>IF(Q495&lt;=3,"Kaynak kontrolü şart",IF(Q495=4,"Kaynak kontrolü önerilir","Standart doğrulama"))</x:f>
        <x:v>Kaynak kontrolü şart</x:v>
      </x:c>
    </x:row>
    <x:row r="496" ht="24" customHeight="1">
      <x:c r="A496" s="48" t="n">
        <x:f>COUNTIF($R$2:$R$751,"&gt;"&amp;R496)+COUNTIF($R$2:R496,R496)</x:f>
        <x:v>495</x:v>
      </x:c>
      <x:c r="B496" s="48" t="n">
        <x:v>1459</x:v>
      </x:c>
      <x:c r="C496" s="46" t="str">
        <x:v>Liderlik ve duygusal bulaşıcılık</x:v>
      </x:c>
      <x:c r="D496" s="34" t="str">
        <x:v>Liderlik</x:v>
      </x:c>
      <x:c r="E496" s="34" t="str">
        <x:v>Liderlik</x:v>
      </x:c>
      <x:c r="F496" s="34" t="str">
        <x:v>İş Hayatında Duygusal Zeka</x:v>
      </x:c>
      <x:c r="G496" s="34" t="str">
        <x:v>Daniel Goleman</x:v>
      </x:c>
      <x:c r="H496" s="50" t="str">
        <x:v>1</x:v>
      </x:c>
      <x:c r="I496" s="50" t="str">
        <x:v>Temel</x:v>
      </x:c>
      <x:c r="J496" s="51" t="n">
        <x:v>11</x:v>
      </x:c>
      <x:c r="K496" s="51" t="n">
        <x:v>6</x:v>
      </x:c>
      <x:c r="L496" s="51" t="n">
        <x:v>11</x:v>
      </x:c>
      <x:c r="M496" s="51" t="n">
        <x:v>13</x:v>
      </x:c>
      <x:c r="N496" s="51" t="n">
        <x:v>8</x:v>
      </x:c>
      <x:c r="O496" s="51" t="n">
        <x:v>6</x:v>
      </x:c>
      <x:c r="P496" s="51" t="n">
        <x:v>14</x:v>
      </x:c>
      <x:c r="Q496" s="51" t="n">
        <x:v>4</x:v>
      </x:c>
      <x:c r="R496" s="52" t="n">
        <x:f>SUM(J496:Q496)</x:f>
        <x:v>73</x:v>
      </x:c>
      <x:c r="S496" s="50" t="str">
        <x:f>IF(R496&gt;='Rubrik'!$B$17,"Öncelikli video",IF(R496&gt;='Rubrik'!$B$18,"Video kuyruğu",IF(R496&gt;='Rubrik'!$B$19,"Revize et",IF(R496&gt;='Rubrik'!$B$20,"Kartla test","Düşük öncelik"))))</x:f>
        <x:v>Kartla test</x:v>
      </x:c>
      <x:c r="T496" s="50" t="str">
        <x:f>IF(AND(R496&gt;=85,P496&gt;=16,M496&gt;=12,L496&gt;=12),"Reel + Carousel",IF(AND(R496&gt;=85,P496&gt;=16,N496&gt;=8),"Soru odaklı Reel",IF(AND(R496&gt;=85,P496&gt;=16),"Reel / Short",IF(M496&gt;=11,"Carousel","Kart testi"))))</x:f>
        <x:v>Carousel</x:v>
      </x:c>
      <x:c r="U496" s="46" t="str">
        <x:v>Liderin duygusunun odaya yayılması iş yaşamında tanıdık; uygulanabilir kapanış kaydetmeyi artırır.</x:v>
      </x:c>
      <x:c r="V496" s="46" t="str">
        <x:f>IF(Q496&lt;=3,"Kaynak kontrolü şart",IF(Q496=4,"Kaynak kontrolü önerilir","Standart doğrulama"))</x:f>
        <x:v>Kaynak kontrolü önerilir</x:v>
      </x:c>
    </x:row>
    <x:row r="497" ht="24" customHeight="1">
      <x:c r="A497" s="48" t="n">
        <x:f>COUNTIF($R$2:$R$751,"&gt;"&amp;R497)+COUNTIF($R$2:R497,R497)</x:f>
        <x:v>496</x:v>
      </x:c>
      <x:c r="B497" s="48" t="n">
        <x:v>1464</x:v>
      </x:c>
      <x:c r="C497" s="46" t="str">
        <x:v>Unutma ve hatırlamanın paradoksu</x:v>
      </x:c>
      <x:c r="D497" s="34" t="str">
        <x:v>Felsefe</x:v>
      </x:c>
      <x:c r="E497" s="34" t="str">
        <x:v>Öğrenme</x:v>
      </x:c>
      <x:c r="F497" s="34" t="str">
        <x:v>Kalıcı Hafıza</x:v>
      </x:c>
      <x:c r="G497" s="34" t="str">
        <x:v>Joshua Foer</x:v>
      </x:c>
      <x:c r="H497" s="50" t="str">
        <x:v>1</x:v>
      </x:c>
      <x:c r="I497" s="50" t="str">
        <x:v>Temel</x:v>
      </x:c>
      <x:c r="J497" s="51" t="n">
        <x:v>11</x:v>
      </x:c>
      <x:c r="K497" s="51" t="n">
        <x:v>6</x:v>
      </x:c>
      <x:c r="L497" s="51" t="n">
        <x:v>11</x:v>
      </x:c>
      <x:c r="M497" s="51" t="n">
        <x:v>13</x:v>
      </x:c>
      <x:c r="N497" s="51" t="n">
        <x:v>8</x:v>
      </x:c>
      <x:c r="O497" s="51" t="n">
        <x:v>6</x:v>
      </x:c>
      <x:c r="P497" s="51" t="n">
        <x:v>14</x:v>
      </x:c>
      <x:c r="Q497" s="51" t="n">
        <x:v>4</x:v>
      </x:c>
      <x:c r="R497" s="52" t="n">
        <x:f>SUM(J497:Q497)</x:f>
        <x:v>73</x:v>
      </x:c>
      <x:c r="S497" s="50" t="str">
        <x:f>IF(R497&gt;='Rubrik'!$B$17,"Öncelikli video",IF(R497&gt;='Rubrik'!$B$18,"Video kuyruğu",IF(R497&gt;='Rubrik'!$B$19,"Revize et",IF(R497&gt;='Rubrik'!$B$20,"Kartla test","Düşük öncelik"))))</x:f>
        <x:v>Kartla test</x:v>
      </x:c>
      <x:c r="T497" s="50" t="str">
        <x:f>IF(AND(R497&gt;=85,P497&gt;=16,M497&gt;=12,L497&gt;=12),"Reel + Carousel",IF(AND(R497&gt;=85,P497&gt;=16,N497&gt;=8),"Soru odaklı Reel",IF(AND(R497&gt;=85,P497&gt;=16),"Reel / Short",IF(M497&gt;=11,"Carousel","Kart testi"))))</x:f>
        <x:v>Carousel</x:v>
      </x:c>
      <x:c r="U497" s="46" t="str">
        <x:v>Bilinçli unutma fikri alışılmadık ve rahatlatıcı; zihinsel yük yaşayanların kaydetmek isteyeceği bir araç.</x:v>
      </x:c>
      <x:c r="V497" s="46" t="str">
        <x:f>IF(Q497&lt;=3,"Kaynak kontrolü şart",IF(Q497=4,"Kaynak kontrolü önerilir","Standart doğrulama"))</x:f>
        <x:v>Kaynak kontrolü önerilir</x:v>
      </x:c>
    </x:row>
    <x:row r="498" ht="24" customHeight="1">
      <x:c r="A498" s="48" t="n">
        <x:f>COUNTIF($R$2:$R$751,"&gt;"&amp;R498)+COUNTIF($R$2:R498,R498)</x:f>
        <x:v>497</x:v>
      </x:c>
      <x:c r="B498" s="48" t="n">
        <x:v>1469</x:v>
      </x:c>
      <x:c r="C498" s="46" t="str">
        <x:v>Yavaş sezgi ve uzun kuluçka</x:v>
      </x:c>
      <x:c r="D498" s="34" t="str">
        <x:v>Verimlilik</x:v>
      </x:c>
      <x:c r="E498" s="34" t="str">
        <x:v>Yaratıcılık</x:v>
      </x:c>
      <x:c r="F498" s="34" t="str">
        <x:v>Büyük Fikirler</x:v>
      </x:c>
      <x:c r="G498" s="34" t="str">
        <x:v>Steven Johnson</x:v>
      </x:c>
      <x:c r="H498" s="50" t="str">
        <x:v>1</x:v>
      </x:c>
      <x:c r="I498" s="50" t="str">
        <x:v>Temel</x:v>
      </x:c>
      <x:c r="J498" s="51" t="n">
        <x:v>11</x:v>
      </x:c>
      <x:c r="K498" s="51" t="n">
        <x:v>6</x:v>
      </x:c>
      <x:c r="L498" s="51" t="n">
        <x:v>11</x:v>
      </x:c>
      <x:c r="M498" s="51" t="n">
        <x:v>13</x:v>
      </x:c>
      <x:c r="N498" s="51" t="n">
        <x:v>8</x:v>
      </x:c>
      <x:c r="O498" s="51" t="n">
        <x:v>6</x:v>
      </x:c>
      <x:c r="P498" s="51" t="n">
        <x:v>14</x:v>
      </x:c>
      <x:c r="Q498" s="51" t="n">
        <x:v>4</x:v>
      </x:c>
      <x:c r="R498" s="52" t="n">
        <x:f>SUM(J498:Q498)</x:f>
        <x:v>73</x:v>
      </x:c>
      <x:c r="S498" s="50" t="str">
        <x:f>IF(R498&gt;='Rubrik'!$B$17,"Öncelikli video",IF(R498&gt;='Rubrik'!$B$18,"Video kuyruğu",IF(R498&gt;='Rubrik'!$B$19,"Revize et",IF(R498&gt;='Rubrik'!$B$20,"Kartla test","Düşük öncelik"))))</x:f>
        <x:v>Kartla test</x:v>
      </x:c>
      <x:c r="T498" s="50" t="str">
        <x:f>IF(AND(R498&gt;=85,P498&gt;=16,M498&gt;=12,L498&gt;=12),"Reel + Carousel",IF(AND(R498&gt;=85,P498&gt;=16,N498&gt;=8),"Soru odaklı Reel",IF(AND(R498&gt;=85,P498&gt;=16),"Reel / Short",IF(M498&gt;=11,"Carousel","Kart testi"))))</x:f>
        <x:v>Carousel</x:v>
      </x:c>
      <x:c r="U498" s="46" t="str">
        <x:v>Yavaş sezgi fikri acele kültürüne iyi karşı çıkıyor; kişisel örnek eklenirse paylaşım gücü daha da artar.</x:v>
      </x:c>
      <x:c r="V498" s="46" t="str">
        <x:f>IF(Q498&lt;=3,"Kaynak kontrolü şart",IF(Q498=4,"Kaynak kontrolü önerilir","Standart doğrulama"))</x:f>
        <x:v>Kaynak kontrolü önerilir</x:v>
      </x:c>
    </x:row>
    <x:row r="499" ht="24" customHeight="1">
      <x:c r="A499" s="48" t="n">
        <x:f>COUNTIF($R$2:$R$751,"&gt;"&amp;R499)+COUNTIF($R$2:R499,R499)</x:f>
        <x:v>498</x:v>
      </x:c>
      <x:c r="B499" s="48" t="n">
        <x:v>1484</x:v>
      </x:c>
      <x:c r="C499" s="46" t="str">
        <x:v>Psikolojik güvenlik nedir, ne değildir</x:v>
      </x:c>
      <x:c r="D499" s="34" t="str">
        <x:v>Liderlik</x:v>
      </x:c>
      <x:c r="E499" s="34" t="str">
        <x:v>Yönetim</x:v>
      </x:c>
      <x:c r="F499" s="34" t="str">
        <x:v>The Fearless Organization</x:v>
      </x:c>
      <x:c r="G499" s="34" t="str">
        <x:v>Amy Edmondson</x:v>
      </x:c>
      <x:c r="H499" s="50" t="str">
        <x:v>1</x:v>
      </x:c>
      <x:c r="I499" s="50" t="str">
        <x:v>Temel</x:v>
      </x:c>
      <x:c r="J499" s="51" t="n">
        <x:v>11</x:v>
      </x:c>
      <x:c r="K499" s="51" t="n">
        <x:v>5</x:v>
      </x:c>
      <x:c r="L499" s="51" t="n">
        <x:v>11</x:v>
      </x:c>
      <x:c r="M499" s="51" t="n">
        <x:v>13</x:v>
      </x:c>
      <x:c r="N499" s="51" t="n">
        <x:v>8</x:v>
      </x:c>
      <x:c r="O499" s="51" t="n">
        <x:v>6</x:v>
      </x:c>
      <x:c r="P499" s="51" t="n">
        <x:v>14</x:v>
      </x:c>
      <x:c r="Q499" s="51" t="n">
        <x:v>5</x:v>
      </x:c>
      <x:c r="R499" s="52" t="n">
        <x:f>SUM(J499:Q499)</x:f>
        <x:v>73</x:v>
      </x:c>
      <x:c r="S499" s="50" t="str">
        <x:f>IF(R499&gt;='Rubrik'!$B$17,"Öncelikli video",IF(R499&gt;='Rubrik'!$B$18,"Video kuyruğu",IF(R499&gt;='Rubrik'!$B$19,"Revize et",IF(R499&gt;='Rubrik'!$B$20,"Kartla test","Düşük öncelik"))))</x:f>
        <x:v>Kartla test</x:v>
      </x:c>
      <x:c r="T499" s="50" t="str">
        <x:f>IF(AND(R499&gt;=85,P499&gt;=16,M499&gt;=12,L499&gt;=12),"Reel + Carousel",IF(AND(R499&gt;=85,P499&gt;=16,N499&gt;=8),"Soru odaklı Reel",IF(AND(R499&gt;=85,P499&gt;=16),"Reel / Short",IF(M499&gt;=11,"Carousel","Kart testi"))))</x:f>
        <x:v>Carousel</x:v>
      </x:c>
      <x:c r="U499" s="46" t="str">
        <x:v>Psikolojik güvenliğin rahatlık olmadığı ayrımı iş dünyasında değerli; yanlış anlaşılmayı net biçimde düzeltiyor.</x:v>
      </x:c>
      <x:c r="V499" s="46" t="str">
        <x:f>IF(Q499&lt;=3,"Kaynak kontrolü şart",IF(Q499=4,"Kaynak kontrolü önerilir","Standart doğrulama"))</x:f>
        <x:v>Standart doğrulama</x:v>
      </x:c>
    </x:row>
    <x:row r="500" ht="24" customHeight="1">
      <x:c r="A500" s="48" t="n">
        <x:f>COUNTIF($R$2:$R$751,"&gt;"&amp;R500)+COUNTIF($R$2:R500,R500)</x:f>
        <x:v>499</x:v>
      </x:c>
      <x:c r="B500" s="48" t="n">
        <x:v>1518</x:v>
      </x:c>
      <x:c r="C500" s="46" t="str">
        <x:v>İlerleme belirtisi olarak para</x:v>
      </x:c>
      <x:c r="D500" s="34" t="str">
        <x:v>Verimlilik</x:v>
      </x:c>
      <x:c r="E500" s="34" t="str">
        <x:v>Girişimcilik</x:v>
      </x:c>
      <x:c r="F500" s="34" t="str">
        <x:v>Müşteri Geliştirme</x:v>
      </x:c>
      <x:c r="G500" s="34" t="str">
        <x:v>Rob Fitzpatrick</x:v>
      </x:c>
      <x:c r="H500" s="50" t="str">
        <x:v>1</x:v>
      </x:c>
      <x:c r="I500" s="50" t="str">
        <x:v>Temel</x:v>
      </x:c>
      <x:c r="J500" s="51" t="n">
        <x:v>11</x:v>
      </x:c>
      <x:c r="K500" s="51" t="n">
        <x:v>5</x:v>
      </x:c>
      <x:c r="L500" s="51" t="n">
        <x:v>11</x:v>
      </x:c>
      <x:c r="M500" s="51" t="n">
        <x:v>14</x:v>
      </x:c>
      <x:c r="N500" s="51" t="n">
        <x:v>8</x:v>
      </x:c>
      <x:c r="O500" s="51" t="n">
        <x:v>6</x:v>
      </x:c>
      <x:c r="P500" s="51" t="n">
        <x:v>14</x:v>
      </x:c>
      <x:c r="Q500" s="51" t="n">
        <x:v>4</x:v>
      </x:c>
      <x:c r="R500" s="52" t="n">
        <x:f>SUM(J500:Q500)</x:f>
        <x:v>73</x:v>
      </x:c>
      <x:c r="S500" s="50" t="str">
        <x:f>IF(R500&gt;='Rubrik'!$B$17,"Öncelikli video",IF(R500&gt;='Rubrik'!$B$18,"Video kuyruğu",IF(R500&gt;='Rubrik'!$B$19,"Revize et",IF(R500&gt;='Rubrik'!$B$20,"Kartla test","Düşük öncelik"))))</x:f>
        <x:v>Kartla test</x:v>
      </x:c>
      <x:c r="T500" s="50" t="str">
        <x:f>IF(AND(R500&gt;=85,P500&gt;=16,M500&gt;=12,L500&gt;=12),"Reel + Carousel",IF(AND(R500&gt;=85,P500&gt;=16,N500&gt;=8),"Soru odaklı Reel",IF(AND(R500&gt;=85,P500&gt;=16),"Reel / Short",IF(M500&gt;=11,"Carousel","Kart testi"))))</x:f>
        <x:v>Carousel</x:v>
      </x:c>
      <x:c r="U500" s="46" t="str">
        <x:v>Para veya taahhüdü gerçek ilgi kanıtı saymak sert ama faydalı; satış örnekleriyle kolayca videolaşır.</x:v>
      </x:c>
      <x:c r="V500" s="46" t="str">
        <x:f>IF(Q500&lt;=3,"Kaynak kontrolü şart",IF(Q500=4,"Kaynak kontrolü önerilir","Standart doğrulama"))</x:f>
        <x:v>Kaynak kontrolü önerilir</x:v>
      </x:c>
    </x:row>
    <x:row r="501" ht="24" customHeight="1">
      <x:c r="A501" s="48" t="n">
        <x:f>COUNTIF($R$2:$R$751,"&gt;"&amp;R501)+COUNTIF($R$2:R501,R501)</x:f>
        <x:v>500</x:v>
      </x:c>
      <x:c r="B501" s="48" t="n">
        <x:v>1519</x:v>
      </x:c>
      <x:c r="C501" s="46" t="str">
        <x:v>Evin kiracısı değil sahibi olmak</x:v>
      </x:c>
      <x:c r="D501" s="34" t="str">
        <x:v>Psikoloji</x:v>
      </x:c>
      <x:c r="E501" s="34" t="str">
        <x:v>Farkındalık</x:v>
      </x:c>
      <x:c r="F501" s="34" t="str">
        <x:v>İç Yolculuk</x:v>
      </x:c>
      <x:c r="G501" s="34" t="str">
        <x:v>Michael A. Singer</x:v>
      </x:c>
      <x:c r="H501" s="50" t="str">
        <x:v>1</x:v>
      </x:c>
      <x:c r="I501" s="50" t="str">
        <x:v>Temel</x:v>
      </x:c>
      <x:c r="J501" s="51" t="n">
        <x:v>11</x:v>
      </x:c>
      <x:c r="K501" s="51" t="n">
        <x:v>7</x:v>
      </x:c>
      <x:c r="L501" s="51" t="n">
        <x:v>11</x:v>
      </x:c>
      <x:c r="M501" s="51" t="n">
        <x:v>13</x:v>
      </x:c>
      <x:c r="N501" s="51" t="n">
        <x:v>8</x:v>
      </x:c>
      <x:c r="O501" s="51" t="n">
        <x:v>6</x:v>
      </x:c>
      <x:c r="P501" s="51" t="n">
        <x:v>14</x:v>
      </x:c>
      <x:c r="Q501" s="51" t="n">
        <x:v>3</x:v>
      </x:c>
      <x:c r="R501" s="52" t="n">
        <x:f>SUM(J501:Q501)</x:f>
        <x:v>73</x:v>
      </x:c>
      <x:c r="S501" s="50" t="str">
        <x:f>IF(R501&gt;='Rubrik'!$B$17,"Öncelikli video",IF(R501&gt;='Rubrik'!$B$18,"Video kuyruğu",IF(R501&gt;='Rubrik'!$B$19,"Revize et",IF(R501&gt;='Rubrik'!$B$20,"Kartla test","Düşük öncelik"))))</x:f>
        <x:v>Kartla test</x:v>
      </x:c>
      <x:c r="T501" s="50" t="str">
        <x:f>IF(AND(R501&gt;=85,P501&gt;=16,M501&gt;=12,L501&gt;=12),"Reel + Carousel",IF(AND(R501&gt;=85,P501&gt;=16,N501&gt;=8),"Soru odaklı Reel",IF(AND(R501&gt;=85,P501&gt;=16),"Reel / Short",IF(M501&gt;=11,"Carousel","Kart testi"))))</x:f>
        <x:v>Carousel</x:v>
      </x:c>
      <x:c r="U501" s="46" t="str">
        <x:v>İç ses olmadığın fikri güçlü bir öz farkındalık anı yaratır; metafizik ton bilimsel iddia gibi sunulmamalı.</x:v>
      </x:c>
      <x:c r="V501" s="46" t="str">
        <x:f>IF(Q501&lt;=3,"Kaynak kontrolü şart",IF(Q501=4,"Kaynak kontrolü önerilir","Standart doğrulama"))</x:f>
        <x:v>Kaynak kontrolü şart</x:v>
      </x:c>
    </x:row>
    <x:row r="502" ht="24" customHeight="1">
      <x:c r="A502" s="48" t="n">
        <x:f>COUNTIF($R$2:$R$751,"&gt;"&amp;R502)+COUNTIF($R$2:R502,R502)</x:f>
        <x:v>501</x:v>
      </x:c>
      <x:c r="B502" s="48" t="n">
        <x:v>1550</x:v>
      </x:c>
      <x:c r="C502" s="46" t="str">
        <x:v>Doğru kişi, doğru yer — GWC testi</x:v>
      </x:c>
      <x:c r="D502" s="34" t="str">
        <x:v>Liderlik</x:v>
      </x:c>
      <x:c r="E502" s="34" t="str">
        <x:v>Yönetim</x:v>
      </x:c>
      <x:c r="F502" s="34" t="str">
        <x:v>Ölçülebilir Büyüme</x:v>
      </x:c>
      <x:c r="G502" s="34" t="str">
        <x:v>Gino Wickman</x:v>
      </x:c>
      <x:c r="H502" s="50" t="str">
        <x:v>1</x:v>
      </x:c>
      <x:c r="I502" s="50" t="str">
        <x:v>Temel</x:v>
      </x:c>
      <x:c r="J502" s="51" t="n">
        <x:v>11</x:v>
      </x:c>
      <x:c r="K502" s="51" t="n">
        <x:v>5</x:v>
      </x:c>
      <x:c r="L502" s="51" t="n">
        <x:v>11</x:v>
      </x:c>
      <x:c r="M502" s="51" t="n">
        <x:v>14</x:v>
      </x:c>
      <x:c r="N502" s="51" t="n">
        <x:v>8</x:v>
      </x:c>
      <x:c r="O502" s="51" t="n">
        <x:v>6</x:v>
      </x:c>
      <x:c r="P502" s="51" t="n">
        <x:v>14</x:v>
      </x:c>
      <x:c r="Q502" s="51" t="n">
        <x:v>4</x:v>
      </x:c>
      <x:c r="R502" s="52" t="n">
        <x:f>SUM(J502:Q502)</x:f>
        <x:v>73</x:v>
      </x:c>
      <x:c r="S502" s="50" t="str">
        <x:f>IF(R502&gt;='Rubrik'!$B$17,"Öncelikli video",IF(R502&gt;='Rubrik'!$B$18,"Video kuyruğu",IF(R502&gt;='Rubrik'!$B$19,"Revize et",IF(R502&gt;='Rubrik'!$B$20,"Kartla test","Düşük öncelik"))))</x:f>
        <x:v>Kartla test</x:v>
      </x:c>
      <x:c r="T502" s="50" t="str">
        <x:f>IF(AND(R502&gt;=85,P502&gt;=16,M502&gt;=12,L502&gt;=12),"Reel + Carousel",IF(AND(R502&gt;=85,P502&gt;=16,N502&gt;=8),"Soru odaklı Reel",IF(AND(R502&gt;=85,P502&gt;=16),"Reel / Short",IF(M502&gt;=11,"Carousel","Kart testi"))))</x:f>
        <x:v>Carousel</x:v>
      </x:c>
      <x:c r="U502" s="46" t="str">
        <x:v>İyi satışçının kötü müdüre dönüşmesi tanıdık bir iş trajedisi; GWC soruları uygulanabilir kapanış sunuyor.</x:v>
      </x:c>
      <x:c r="V502" s="46" t="str">
        <x:f>IF(Q502&lt;=3,"Kaynak kontrolü şart",IF(Q502=4,"Kaynak kontrolü önerilir","Standart doğrulama"))</x:f>
        <x:v>Kaynak kontrolü önerilir</x:v>
      </x:c>
    </x:row>
    <x:row r="503" ht="24" customHeight="1">
      <x:c r="A503" s="48" t="n">
        <x:f>COUNTIF($R$2:$R$751,"&gt;"&amp;R503)+COUNTIF($R$2:R503,R503)</x:f>
        <x:v>502</x:v>
      </x:c>
      <x:c r="B503" s="48" t="n">
        <x:v>1171</x:v>
      </x:c>
      <x:c r="C503" s="46" t="str">
        <x:v>Çapalama etkisi ve müzayede</x:v>
      </x:c>
      <x:c r="D503" s="34" t="str">
        <x:v>Psikoloji</x:v>
      </x:c>
      <x:c r="E503" s="34" t="str">
        <x:v>Psikoloji</x:v>
      </x:c>
      <x:c r="F503" s="34" t="str">
        <x:v>Karar Verme Sanatı</x:v>
      </x:c>
      <x:c r="G503" s="34" t="str">
        <x:v>Daniel Kahneman</x:v>
      </x:c>
      <x:c r="H503" s="50" t="str">
        <x:v>1</x:v>
      </x:c>
      <x:c r="I503" s="50" t="str">
        <x:v>Temel</x:v>
      </x:c>
      <x:c r="J503" s="51" t="n">
        <x:v>15</x:v>
      </x:c>
      <x:c r="K503" s="51" t="n">
        <x:v>7</x:v>
      </x:c>
      <x:c r="L503" s="51" t="n">
        <x:v>10</x:v>
      </x:c>
      <x:c r="M503" s="51" t="n">
        <x:v>12</x:v>
      </x:c>
      <x:c r="N503" s="51" t="n">
        <x:v>9</x:v>
      </x:c>
      <x:c r="O503" s="51" t="n">
        <x:v>6</x:v>
      </x:c>
      <x:c r="P503" s="51" t="n">
        <x:v>14</x:v>
      </x:c>
      <x:c r="Q503" s="51" t="n">
        <x:v>0</x:v>
      </x:c>
      <x:c r="R503" s="52" t="n">
        <x:f>SUM(J503:Q503)</x:f>
        <x:v>73</x:v>
      </x:c>
      <x:c r="S503" s="50" t="str">
        <x:f>IF(R503&gt;='Rubrik'!$B$17,"Öncelikli video",IF(R503&gt;='Rubrik'!$B$18,"Video kuyruğu",IF(R503&gt;='Rubrik'!$B$19,"Revize et",IF(R503&gt;='Rubrik'!$B$20,"Kartla test","Düşük öncelik"))))</x:f>
        <x:v>Kartla test</x:v>
      </x:c>
      <x:c r="T503" s="50" t="str">
        <x:f>IF(AND(R503&gt;=85,P503&gt;=16,M503&gt;=12,L503&gt;=12),"Reel + Carousel",IF(AND(R503&gt;=85,P503&gt;=16,N503&gt;=8),"Soru odaklı Reel",IF(AND(R503&gt;=85,P503&gt;=16),"Reel / Short",IF(M503&gt;=11,"Carousel","Kart testi"))))</x:f>
        <x:v>Carousel</x:v>
      </x:c>
      <x:c r="U503" s="46" t="str">
        <x:v>Dönen çark çok güçlü görsel; klasik deney ülke sayısı değil yüzde sorar, mevcut metin sonucu bozuyor.</x:v>
      </x:c>
      <x:c r="V503" s="46" t="str">
        <x:f>IF(Q503&lt;=3,"Kaynak kontrolü şart",IF(Q503=4,"Kaynak kontrolü önerilir","Standart doğrulama"))</x:f>
        <x:v>Kaynak kontrolü şart</x:v>
      </x:c>
    </x:row>
    <x:row r="504" ht="24" customHeight="1">
      <x:c r="A504" s="48" t="n">
        <x:f>COUNTIF($R$2:$R$751,"&gt;"&amp;R504)+COUNTIF($R$2:R504,R504)</x:f>
        <x:v>503</x:v>
      </x:c>
      <x:c r="B504" s="48" t="n">
        <x:v>1202</x:v>
      </x:c>
      <x:c r="C504" s="46" t="str">
        <x:v>Gizli sırlar ve kontrarian düşünce</x:v>
      </x:c>
      <x:c r="D504" s="34" t="str">
        <x:v>Verimlilik</x:v>
      </x:c>
      <x:c r="E504" s="34" t="str">
        <x:v>Girişimcilik</x:v>
      </x:c>
      <x:c r="F504" s="34" t="str">
        <x:v>Sıfır'dan Bir'e</x:v>
      </x:c>
      <x:c r="G504" s="34" t="str">
        <x:v>Peter Thiel</x:v>
      </x:c>
      <x:c r="H504" s="50" t="str">
        <x:v>1</x:v>
      </x:c>
      <x:c r="I504" s="50" t="str">
        <x:v>Temel</x:v>
      </x:c>
      <x:c r="J504" s="51" t="n">
        <x:v>12</x:v>
      </x:c>
      <x:c r="K504" s="51" t="n">
        <x:v>7</x:v>
      </x:c>
      <x:c r="L504" s="51" t="n">
        <x:v>10</x:v>
      </x:c>
      <x:c r="M504" s="51" t="n">
        <x:v>12</x:v>
      </x:c>
      <x:c r="N504" s="51" t="n">
        <x:v>9</x:v>
      </x:c>
      <x:c r="O504" s="51" t="n">
        <x:v>6</x:v>
      </x:c>
      <x:c r="P504" s="51" t="n">
        <x:v>14</x:v>
      </x:c>
      <x:c r="Q504" s="51" t="n">
        <x:v>3</x:v>
      </x:c>
      <x:c r="R504" s="52" t="n">
        <x:f>SUM(J504:Q504)</x:f>
        <x:v>73</x:v>
      </x:c>
      <x:c r="S504" s="50" t="str">
        <x:f>IF(R504&gt;='Rubrik'!$B$17,"Öncelikli video",IF(R504&gt;='Rubrik'!$B$18,"Video kuyruğu",IF(R504&gt;='Rubrik'!$B$19,"Revize et",IF(R504&gt;='Rubrik'!$B$20,"Kartla test","Düşük öncelik"))))</x:f>
        <x:v>Kartla test</x:v>
      </x:c>
      <x:c r="T504" s="50" t="str">
        <x:f>IF(AND(R504&gt;=85,P504&gt;=16,M504&gt;=12,L504&gt;=12),"Reel + Carousel",IF(AND(R504&gt;=85,P504&gt;=16,N504&gt;=8),"Soru odaklı Reel",IF(AND(R504&gt;=85,P504&gt;=16),"Reel / Short",IF(M504&gt;=11,"Carousel","Kart testi"))))</x:f>
        <x:v>Carousel</x:v>
      </x:c>
      <x:c r="U504" s="46" t="str">
        <x:v>Çoğunluğun yanıldığı gizli sır güçlü girişimci sorusu; PayPal örneği sonucu tek inanca bağlıyor.</x:v>
      </x:c>
      <x:c r="V504" s="46" t="str">
        <x:f>IF(Q504&lt;=3,"Kaynak kontrolü şart",IF(Q504=4,"Kaynak kontrolü önerilir","Standart doğrulama"))</x:f>
        <x:v>Kaynak kontrolü şart</x:v>
      </x:c>
    </x:row>
    <x:row r="505" ht="24" customHeight="1">
      <x:c r="A505" s="48" t="n">
        <x:f>COUNTIF($R$2:$R$751,"&gt;"&amp;R505)+COUNTIF($R$2:R505,R505)</x:f>
        <x:v>504</x:v>
      </x:c>
      <x:c r="B505" s="48" t="n">
        <x:v>1392</x:v>
      </x:c>
      <x:c r="C505" s="46" t="str">
        <x:v>En büyük hedef ve günlük adım</x:v>
      </x:c>
      <x:c r="D505" s="34" t="str">
        <x:v>Liderlik</x:v>
      </x:c>
      <x:c r="E505" s="34" t="str">
        <x:v>Hedefler</x:v>
      </x:c>
      <x:c r="F505" s="34" t="str">
        <x:v>Hedeflere Ulaşmak</x:v>
      </x:c>
      <x:c r="G505" s="34" t="str">
        <x:v>Brian Tracy</x:v>
      </x:c>
      <x:c r="H505" s="50" t="str">
        <x:v>1</x:v>
      </x:c>
      <x:c r="I505" s="50" t="str">
        <x:v>Temel</x:v>
      </x:c>
      <x:c r="J505" s="51" t="n">
        <x:v>11</x:v>
      </x:c>
      <x:c r="K505" s="51" t="n">
        <x:v>6</x:v>
      </x:c>
      <x:c r="L505" s="51" t="n">
        <x:v>10</x:v>
      </x:c>
      <x:c r="M505" s="51" t="n">
        <x:v>14</x:v>
      </x:c>
      <x:c r="N505" s="51" t="n">
        <x:v>9</x:v>
      </x:c>
      <x:c r="O505" s="51" t="n">
        <x:v>6</x:v>
      </x:c>
      <x:c r="P505" s="51" t="n">
        <x:v>14</x:v>
      </x:c>
      <x:c r="Q505" s="51" t="n">
        <x:v>3</x:v>
      </x:c>
      <x:c r="R505" s="52" t="n">
        <x:f>SUM(J505:Q505)</x:f>
        <x:v>73</x:v>
      </x:c>
      <x:c r="S505" s="50" t="str">
        <x:f>IF(R505&gt;='Rubrik'!$B$17,"Öncelikli video",IF(R505&gt;='Rubrik'!$B$18,"Video kuyruğu",IF(R505&gt;='Rubrik'!$B$19,"Revize et",IF(R505&gt;='Rubrik'!$B$20,"Kartla test","Düşük öncelik"))))</x:f>
        <x:v>Kartla test</x:v>
      </x:c>
      <x:c r="T505" s="50" t="str">
        <x:f>IF(AND(R505&gt;=85,P505&gt;=16,M505&gt;=12,L505&gt;=12),"Reel + Carousel",IF(AND(R505&gt;=85,P505&gt;=16,N505&gt;=8),"Soru odaklı Reel",IF(AND(R505&gt;=85,P505&gt;=16),"Reel / Short",IF(M505&gt;=11,"Carousel","Kart testi"))))</x:f>
        <x:v>Carousel</x:v>
      </x:c>
      <x:c r="U505" s="46" t="str">
        <x:v>Büyük hedefi bugünkü adıma indirmek kullanışlı; fil metaforu ve mesaj çok tanıdık, kanıt dili genel.</x:v>
      </x:c>
      <x:c r="V505" s="46" t="str">
        <x:f>IF(Q505&lt;=3,"Kaynak kontrolü şart",IF(Q505=4,"Kaynak kontrolü önerilir","Standart doğrulama"))</x:f>
        <x:v>Kaynak kontrolü şart</x:v>
      </x:c>
    </x:row>
    <x:row r="506" ht="24" customHeight="1">
      <x:c r="A506" s="48" t="n">
        <x:f>COUNTIF($R$2:$R$751,"&gt;"&amp;R506)+COUNTIF($R$2:R506,R506)</x:f>
        <x:v>505</x:v>
      </x:c>
      <x:c r="B506" s="48" t="n">
        <x:v>1407</x:v>
      </x:c>
      <x:c r="C506" s="46" t="str">
        <x:v>Haftalık gözden geçirme ritüeli</x:v>
      </x:c>
      <x:c r="D506" s="34" t="str">
        <x:v>Verimlilik</x:v>
      </x:c>
      <x:c r="E506" s="34" t="str">
        <x:v>Verimlilik</x:v>
      </x:c>
      <x:c r="F506" s="34" t="str">
        <x:v>Nasıl Başarılı Olunur</x:v>
      </x:c>
      <x:c r="G506" s="34" t="str">
        <x:v>David Allen</x:v>
      </x:c>
      <x:c r="H506" s="50" t="str">
        <x:v>1</x:v>
      </x:c>
      <x:c r="I506" s="50" t="str">
        <x:v>Temel</x:v>
      </x:c>
      <x:c r="J506" s="51" t="n">
        <x:v>11</x:v>
      </x:c>
      <x:c r="K506" s="51" t="n">
        <x:v>6</x:v>
      </x:c>
      <x:c r="L506" s="51" t="n">
        <x:v>9</x:v>
      </x:c>
      <x:c r="M506" s="51" t="n">
        <x:v>15</x:v>
      </x:c>
      <x:c r="N506" s="51" t="n">
        <x:v>8</x:v>
      </x:c>
      <x:c r="O506" s="51" t="n">
        <x:v>6</x:v>
      </x:c>
      <x:c r="P506" s="51" t="n">
        <x:v>14</x:v>
      </x:c>
      <x:c r="Q506" s="51" t="n">
        <x:v>4</x:v>
      </x:c>
      <x:c r="R506" s="52" t="n">
        <x:f>SUM(J506:Q506)</x:f>
        <x:v>73</x:v>
      </x:c>
      <x:c r="S506" s="50" t="str">
        <x:f>IF(R506&gt;='Rubrik'!$B$17,"Öncelikli video",IF(R506&gt;='Rubrik'!$B$18,"Video kuyruğu",IF(R506&gt;='Rubrik'!$B$19,"Revize et",IF(R506&gt;='Rubrik'!$B$20,"Kartla test","Düşük öncelik"))))</x:f>
        <x:v>Kartla test</x:v>
      </x:c>
      <x:c r="T506" s="50" t="str">
        <x:f>IF(AND(R506&gt;=85,P506&gt;=16,M506&gt;=12,L506&gt;=12),"Reel + Carousel",IF(AND(R506&gt;=85,P506&gt;=16,N506&gt;=8),"Soru odaklı Reel",IF(AND(R506&gt;=85,P506&gt;=16),"Reel / Short",IF(M506&gt;=11,"Carousel","Kart testi"))))</x:f>
        <x:v>Carousel</x:v>
      </x:c>
      <x:c r="U506" s="46" t="str">
        <x:v>Haftalık bakım kontrol listesi son derece kullanışlı; güçlü bir insan sahnesi veya şaşırtıcı dönüş yok.</x:v>
      </x:c>
      <x:c r="V506" s="46" t="str">
        <x:f>IF(Q506&lt;=3,"Kaynak kontrolü şart",IF(Q506=4,"Kaynak kontrolü önerilir","Standart doğrulama"))</x:f>
        <x:v>Kaynak kontrolü önerilir</x:v>
      </x:c>
    </x:row>
    <x:row r="507" ht="24" customHeight="1">
      <x:c r="A507" s="48" t="n">
        <x:f>COUNTIF($R$2:$R$751,"&gt;"&amp;R507)+COUNTIF($R$2:R507,R507)</x:f>
        <x:v>506</x:v>
      </x:c>
      <x:c r="B507" s="48" t="n">
        <x:v>1588</x:v>
      </x:c>
      <x:c r="C507" s="46" t="str">
        <x:v>Yaşlanma bir hastalıktır — ve tedavi edilebilir</x:v>
      </x:c>
      <x:c r="D507" s="34" t="str">
        <x:v>Sağlık</x:v>
      </x:c>
      <x:c r="E507" s="34" t="str">
        <x:v>Sağlık</x:v>
      </x:c>
      <x:c r="F507" s="34" t="str">
        <x:v>Uzun Yaşam Bilimi</x:v>
      </x:c>
      <x:c r="G507" s="34" t="str">
        <x:v>David Sinclair</x:v>
      </x:c>
      <x:c r="H507" s="50" t="str">
        <x:v>1</x:v>
      </x:c>
      <x:c r="I507" s="50" t="str">
        <x:v>Temel</x:v>
      </x:c>
      <x:c r="J507" s="51" t="n">
        <x:v>12</x:v>
      </x:c>
      <x:c r="K507" s="51" t="n">
        <x:v>7</x:v>
      </x:c>
      <x:c r="L507" s="51" t="n">
        <x:v>12</x:v>
      </x:c>
      <x:c r="M507" s="51" t="n">
        <x:v>13</x:v>
      </x:c>
      <x:c r="N507" s="51" t="n">
        <x:v>8</x:v>
      </x:c>
      <x:c r="O507" s="51" t="n">
        <x:v>6</x:v>
      </x:c>
      <x:c r="P507" s="51" t="n">
        <x:v>13</x:v>
      </x:c>
      <x:c r="Q507" s="51" t="n">
        <x:v>2</x:v>
      </x:c>
      <x:c r="R507" s="52" t="n">
        <x:f>SUM(J507:Q507)</x:f>
        <x:v>73</x:v>
      </x:c>
      <x:c r="S507" s="50" t="str">
        <x:f>IF(R507&gt;='Rubrik'!$B$17,"Öncelikli video",IF(R507&gt;='Rubrik'!$B$18,"Video kuyruğu",IF(R507&gt;='Rubrik'!$B$19,"Revize et",IF(R507&gt;='Rubrik'!$B$20,"Kartla test","Düşük öncelik"))))</x:f>
        <x:v>Kartla test</x:v>
      </x:c>
      <x:c r="T507" s="50" t="str">
        <x:f>IF(AND(R507&gt;=85,P507&gt;=16,M507&gt;=12,L507&gt;=12),"Reel + Carousel",IF(AND(R507&gt;=85,P507&gt;=16,N507&gt;=8),"Soru odaklı Reel",IF(AND(R507&gt;=85,P507&gt;=16),"Reel / Short",IF(M507&gt;=11,"Carousel","Kart testi"))))</x:f>
        <x:v>Carousel</x:v>
      </x:c>
      <x:c r="U507" s="46" t="str">
        <x:v>Yaşlanmayı tedavi edilebilir süreç saymak büyük umut ve merak yaratır; kanıt düzeyi spekülasyondan ayrılmalı.</x:v>
      </x:c>
      <x:c r="V507" s="46" t="str">
        <x:f>IF(Q507&lt;=3,"Kaynak kontrolü şart",IF(Q507=4,"Kaynak kontrolü önerilir","Standart doğrulama"))</x:f>
        <x:v>Kaynak kontrolü şart</x:v>
      </x:c>
    </x:row>
    <x:row r="508" ht="24" customHeight="1">
      <x:c r="A508" s="48" t="n">
        <x:f>COUNTIF($R$2:$R$751,"&gt;"&amp;R508)+COUNTIF($R$2:R508,R508)</x:f>
        <x:v>507</x:v>
      </x:c>
      <x:c r="B508" s="48" t="n">
        <x:v>1237</x:v>
      </x:c>
      <x:c r="C508" s="46" t="str">
        <x:v>BrandScript ve basit mesaj</x:v>
      </x:c>
      <x:c r="D508" s="34" t="str">
        <x:v>Finans</x:v>
      </x:c>
      <x:c r="E508" s="34" t="str">
        <x:v>Pazarlama</x:v>
      </x:c>
      <x:c r="F508" s="34" t="str">
        <x:v>Hikaye Anlatıcısı</x:v>
      </x:c>
      <x:c r="G508" s="34" t="str">
        <x:v>Donald Miller</x:v>
      </x:c>
      <x:c r="H508" s="50" t="str">
        <x:v>1</x:v>
      </x:c>
      <x:c r="I508" s="50" t="str">
        <x:v>Temel</x:v>
      </x:c>
      <x:c r="J508" s="51" t="n">
        <x:v>12</x:v>
      </x:c>
      <x:c r="K508" s="51" t="n">
        <x:v>6</x:v>
      </x:c>
      <x:c r="L508" s="51" t="n">
        <x:v>10</x:v>
      </x:c>
      <x:c r="M508" s="51" t="n">
        <x:v>15</x:v>
      </x:c>
      <x:c r="N508" s="51" t="n">
        <x:v>8</x:v>
      </x:c>
      <x:c r="O508" s="51" t="n">
        <x:v>5</x:v>
      </x:c>
      <x:c r="P508" s="51" t="n">
        <x:v>13</x:v>
      </x:c>
      <x:c r="Q508" s="51" t="n">
        <x:v>4</x:v>
      </x:c>
      <x:c r="R508" s="52" t="n">
        <x:f>SUM(J508:Q508)</x:f>
        <x:v>73</x:v>
      </x:c>
      <x:c r="S508" s="50" t="str">
        <x:f>IF(R508&gt;='Rubrik'!$B$17,"Öncelikli video",IF(R508&gt;='Rubrik'!$B$18,"Video kuyruğu",IF(R508&gt;='Rubrik'!$B$19,"Revize et",IF(R508&gt;='Rubrik'!$B$20,"Kartla test","Düşük öncelik"))))</x:f>
        <x:v>Kartla test</x:v>
      </x:c>
      <x:c r="T508" s="50" t="str">
        <x:f>IF(AND(R508&gt;=85,P508&gt;=16,M508&gt;=12,L508&gt;=12),"Reel + Carousel",IF(AND(R508&gt;=85,P508&gt;=16,N508&gt;=8),"Soru odaklı Reel",IF(AND(R508&gt;=85,P508&gt;=16),"Reel / Short",IF(M508&gt;=11,"Carousel","Kart testi"))))</x:f>
        <x:v>Carousel</x:v>
      </x:c>
      <x:c r="U508" s="46" t="str">
        <x:v>Bir cümlede anlatılamayan markanın tavsiye edilememesi çok kullanışlı; hikâye ve duygu sınırlı.</x:v>
      </x:c>
      <x:c r="V508" s="46" t="str">
        <x:f>IF(Q508&lt;=3,"Kaynak kontrolü şart",IF(Q508=4,"Kaynak kontrolü önerilir","Standart doğrulama"))</x:f>
        <x:v>Kaynak kontrolü önerilir</x:v>
      </x:c>
    </x:row>
    <x:row r="509" ht="24" customHeight="1">
      <x:c r="A509" s="48" t="n">
        <x:f>COUNTIF($R$2:$R$751,"&gt;"&amp;R509)+COUNTIF($R$2:R509,R509)</x:f>
        <x:v>508</x:v>
      </x:c>
      <x:c r="B509" s="48" t="n">
        <x:v>1512</x:v>
      </x:c>
      <x:c r="C509" s="46" t="str">
        <x:v>Stoacı akşam muhasebesi</x:v>
      </x:c>
      <x:c r="D509" s="34" t="str">
        <x:v>Felsefe</x:v>
      </x:c>
      <x:c r="E509" s="34" t="str">
        <x:v>Felsefe</x:v>
      </x:c>
      <x:c r="F509" s="34" t="str">
        <x:v>Pratik Stoacılık</x:v>
      </x:c>
      <x:c r="G509" s="34" t="str">
        <x:v>William Irvine</x:v>
      </x:c>
      <x:c r="H509" s="50" t="str">
        <x:v>1</x:v>
      </x:c>
      <x:c r="I509" s="50" t="str">
        <x:v>Temel</x:v>
      </x:c>
      <x:c r="J509" s="51" t="n">
        <x:v>10</x:v>
      </x:c>
      <x:c r="K509" s="51" t="n">
        <x:v>6</x:v>
      </x:c>
      <x:c r="L509" s="51" t="n">
        <x:v>10</x:v>
      </x:c>
      <x:c r="M509" s="51" t="n">
        <x:v>15</x:v>
      </x:c>
      <x:c r="N509" s="51" t="n">
        <x:v>8</x:v>
      </x:c>
      <x:c r="O509" s="51" t="n">
        <x:v>6</x:v>
      </x:c>
      <x:c r="P509" s="51" t="n">
        <x:v>13</x:v>
      </x:c>
      <x:c r="Q509" s="51" t="n">
        <x:v>5</x:v>
      </x:c>
      <x:c r="R509" s="52" t="n">
        <x:f>SUM(J509:Q509)</x:f>
        <x:v>73</x:v>
      </x:c>
      <x:c r="S509" s="50" t="str">
        <x:f>IF(R509&gt;='Rubrik'!$B$17,"Öncelikli video",IF(R509&gt;='Rubrik'!$B$18,"Video kuyruğu",IF(R509&gt;='Rubrik'!$B$19,"Revize et",IF(R509&gt;='Rubrik'!$B$20,"Kartla test","Düşük öncelik"))))</x:f>
        <x:v>Kartla test</x:v>
      </x:c>
      <x:c r="T509" s="50" t="str">
        <x:f>IF(AND(R509&gt;=85,P509&gt;=16,M509&gt;=12,L509&gt;=12),"Reel + Carousel",IF(AND(R509&gt;=85,P509&gt;=16,N509&gt;=8),"Soru odaklı Reel",IF(AND(R509&gt;=85,P509&gt;=16),"Reel / Short",IF(M509&gt;=11,"Carousel","Kart testi"))))</x:f>
        <x:v>Carousel</x:v>
      </x:c>
      <x:c r="U509" s="46" t="str">
        <x:v>Stoacı akşam muhasebesi üç soruyla günlük davranışa dönüşüyor; viral olmaktan çok güçlü bir kayıt içeriği.</x:v>
      </x:c>
      <x:c r="V509" s="46" t="str">
        <x:f>IF(Q509&lt;=3,"Kaynak kontrolü şart",IF(Q509=4,"Kaynak kontrolü önerilir","Standart doğrulama"))</x:f>
        <x:v>Standart doğrulama</x:v>
      </x:c>
    </x:row>
    <x:row r="510" ht="24" customHeight="1">
      <x:c r="A510" s="48" t="n">
        <x:f>COUNTIF($R$2:$R$751,"&gt;"&amp;R510)+COUNTIF($R$2:R510,R510)</x:f>
        <x:v>509</x:v>
      </x:c>
      <x:c r="B510" s="48" t="n">
        <x:v>1181</x:v>
      </x:c>
      <x:c r="C510" s="46" t="str">
        <x:v>Yaratıcılık bir sorumluluk</x:v>
      </x:c>
      <x:c r="D510" s="34" t="str">
        <x:v>Verimlilik</x:v>
      </x:c>
      <x:c r="E510" s="34" t="str">
        <x:v>Yaratıcılık</x:v>
      </x:c>
      <x:c r="F510" s="34" t="str">
        <x:v>Yaratıcı Olmak</x:v>
      </x:c>
      <x:c r="G510" s="34" t="str">
        <x:v>Elizabeth Gilbert</x:v>
      </x:c>
      <x:c r="H510" s="50" t="str">
        <x:v>1</x:v>
      </x:c>
      <x:c r="I510" s="50" t="str">
        <x:v>Temel</x:v>
      </x:c>
      <x:c r="J510" s="51" t="n">
        <x:v>12</x:v>
      </x:c>
      <x:c r="K510" s="51" t="n">
        <x:v>8</x:v>
      </x:c>
      <x:c r="L510" s="51" t="n">
        <x:v>9</x:v>
      </x:c>
      <x:c r="M510" s="51" t="n">
        <x:v>11</x:v>
      </x:c>
      <x:c r="N510" s="51" t="n">
        <x:v>10</x:v>
      </x:c>
      <x:c r="O510" s="51" t="n">
        <x:v>6</x:v>
      </x:c>
      <x:c r="P510" s="51" t="n">
        <x:v>13</x:v>
      </x:c>
      <x:c r="Q510" s="51" t="n">
        <x:v>4</x:v>
      </x:c>
      <x:c r="R510" s="52" t="n">
        <x:f>SUM(J510:Q510)</x:f>
        <x:v>73</x:v>
      </x:c>
      <x:c r="S510" s="50" t="str">
        <x:f>IF(R510&gt;='Rubrik'!$B$17,"Öncelikli video",IF(R510&gt;='Rubrik'!$B$18,"Video kuyruğu",IF(R510&gt;='Rubrik'!$B$19,"Revize et",IF(R510&gt;='Rubrik'!$B$20,"Kartla test","Düşük öncelik"))))</x:f>
        <x:v>Kartla test</x:v>
      </x:c>
      <x:c r="T510" s="50" t="str">
        <x:f>IF(AND(R510&gt;=85,P510&gt;=16,M510&gt;=12,L510&gt;=12),"Reel + Carousel",IF(AND(R510&gt;=85,P510&gt;=16,N510&gt;=8),"Soru odaklı Reel",IF(AND(R510&gt;=85,P510&gt;=16),"Reel / Short",IF(M510&gt;=11,"Carousel","Kart testi"))))</x:f>
        <x:v>Carousel</x:v>
      </x:c>
      <x:c r="U510" s="46" t="str">
        <x:v>Fikrin başka birine gitmesi yaratıcı sorumluluk hissi uyandırır; mistik çerçeve herkese hitap etmeyebilir.</x:v>
      </x:c>
      <x:c r="V510" s="46" t="str">
        <x:f>IF(Q510&lt;=3,"Kaynak kontrolü şart",IF(Q510=4,"Kaynak kontrolü önerilir","Standart doğrulama"))</x:f>
        <x:v>Kaynak kontrolü önerilir</x:v>
      </x:c>
    </x:row>
    <x:row r="511" ht="24" customHeight="1">
      <x:c r="A511" s="48" t="n">
        <x:f>COUNTIF($R$2:$R$751,"&gt;"&amp;R511)+COUNTIF($R$2:R511,R511)</x:f>
        <x:v>510</x:v>
      </x:c>
      <x:c r="B511" s="48" t="n">
        <x:v>1154</x:v>
      </x:c>
      <x:c r="C511" s="46" t="str">
        <x:v>Sorumluluk özgürlüğün diğer yüzü</x:v>
      </x:c>
      <x:c r="D511" s="34" t="str">
        <x:v>Felsefe</x:v>
      </x:c>
      <x:c r="E511" s="34" t="str">
        <x:v>Felsefe</x:v>
      </x:c>
      <x:c r="F511" s="34" t="str">
        <x:v>Büyük Soru</x:v>
      </x:c>
      <x:c r="G511" s="34" t="str">
        <x:v>Viktor Frankl</x:v>
      </x:c>
      <x:c r="H511" s="50" t="str">
        <x:v>1</x:v>
      </x:c>
      <x:c r="I511" s="50" t="str">
        <x:v>Temel</x:v>
      </x:c>
      <x:c r="J511" s="51" t="n">
        <x:v>12</x:v>
      </x:c>
      <x:c r="K511" s="51" t="n">
        <x:v>7</x:v>
      </x:c>
      <x:c r="L511" s="51" t="n">
        <x:v>9</x:v>
      </x:c>
      <x:c r="M511" s="51" t="n">
        <x:v>13</x:v>
      </x:c>
      <x:c r="N511" s="51" t="n">
        <x:v>10</x:v>
      </x:c>
      <x:c r="O511" s="51" t="n">
        <x:v>6</x:v>
      </x:c>
      <x:c r="P511" s="51" t="n">
        <x:v>12</x:v>
      </x:c>
      <x:c r="Q511" s="51" t="n">
        <x:v>4</x:v>
      </x:c>
      <x:c r="R511" s="52" t="n">
        <x:f>SUM(J511:Q511)</x:f>
        <x:v>73</x:v>
      </x:c>
      <x:c r="S511" s="50" t="str">
        <x:f>IF(R511&gt;='Rubrik'!$B$17,"Öncelikli video",IF(R511&gt;='Rubrik'!$B$18,"Video kuyruğu",IF(R511&gt;='Rubrik'!$B$19,"Revize et",IF(R511&gt;='Rubrik'!$B$20,"Kartla test","Düşük öncelik"))))</x:f>
        <x:v>Kartla test</x:v>
      </x:c>
      <x:c r="T511" s="50" t="str">
        <x:f>IF(AND(R511&gt;=85,P511&gt;=16,M511&gt;=12,L511&gt;=12),"Reel + Carousel",IF(AND(R511&gt;=85,P511&gt;=16,N511&gt;=8),"Soru odaklı Reel",IF(AND(R511&gt;=85,P511&gt;=16),"Reel / Short",IF(M511&gt;=11,"Carousel","Kart testi"))))</x:f>
        <x:v>Carousel</x:v>
      </x:c>
      <x:c r="U511" s="46" t="str">
        <x:v>Özgürlük Anıtı karşısına sorumluluk koymak temiz ve tartışılır bir fikir; görsel olay akışı sınırlı.</x:v>
      </x:c>
      <x:c r="V511" s="46" t="str">
        <x:f>IF(Q511&lt;=3,"Kaynak kontrolü şart",IF(Q511=4,"Kaynak kontrolü önerilir","Standart doğrulama"))</x:f>
        <x:v>Kaynak kontrolü önerilir</x:v>
      </x:c>
    </x:row>
    <x:row r="512" ht="24" customHeight="1">
      <x:c r="A512" s="48" t="n">
        <x:f>COUNTIF($R$2:$R$751,"&gt;"&amp;R512)+COUNTIF($R$2:R512,R512)</x:f>
        <x:v>511</x:v>
      </x:c>
      <x:c r="B512" s="48" t="n">
        <x:v>1360</x:v>
      </x:c>
      <x:c r="C512" s="46" t="str">
        <x:v>Princeton mühendislik anomalileri</x:v>
      </x:c>
      <x:c r="D512" s="34" t="str">
        <x:v>Psikoloji</x:v>
      </x:c>
      <x:c r="E512" s="34" t="str">
        <x:v>Farkındalık</x:v>
      </x:c>
      <x:c r="F512" s="34" t="str">
        <x:v>Niyet</x:v>
      </x:c>
      <x:c r="G512" s="34" t="str">
        <x:v>Lynne McTaggart</x:v>
      </x:c>
      <x:c r="H512" s="50" t="str">
        <x:v>1</x:v>
      </x:c>
      <x:c r="I512" s="50" t="str">
        <x:v>Temel</x:v>
      </x:c>
      <x:c r="J512" s="51" t="n">
        <x:v>14</x:v>
      </x:c>
      <x:c r="K512" s="51" t="n">
        <x:v>7</x:v>
      </x:c>
      <x:c r="L512" s="51" t="n">
        <x:v>12</x:v>
      </x:c>
      <x:c r="M512" s="51" t="n">
        <x:v>5</x:v>
      </x:c>
      <x:c r="N512" s="51" t="n">
        <x:v>9</x:v>
      </x:c>
      <x:c r="O512" s="51" t="n">
        <x:v>8</x:v>
      </x:c>
      <x:c r="P512" s="51" t="n">
        <x:v>17</x:v>
      </x:c>
      <x:c r="Q512" s="51" t="n">
        <x:v>0</x:v>
      </x:c>
      <x:c r="R512" s="52" t="n">
        <x:f>SUM(J512:Q512)</x:f>
        <x:v>72</x:v>
      </x:c>
      <x:c r="S512" s="50" t="str">
        <x:f>IF(R512&gt;='Rubrik'!$B$17,"Öncelikli video",IF(R512&gt;='Rubrik'!$B$18,"Video kuyruğu",IF(R512&gt;='Rubrik'!$B$19,"Revize et",IF(R512&gt;='Rubrik'!$B$20,"Kartla test","Düşük öncelik"))))</x:f>
        <x:v>Kartla test</x:v>
      </x:c>
      <x:c r="T512" s="50" t="str">
        <x:f>IF(AND(R512&gt;=85,P512&gt;=16,M512&gt;=12,L512&gt;=12),"Reel + Carousel",IF(AND(R512&gt;=85,P512&gt;=16,N512&gt;=8),"Soru odaklı Reel",IF(AND(R512&gt;=85,P512&gt;=16),"Reel / Short",IF(M512&gt;=11,"Carousel","Kart testi"))))</x:f>
        <x:v>Kart testi</x:v>
      </x:c>
      <x:c r="U512" s="46" t="str">
        <x:v>Zihinle rastgele sayıyı değiştirme iddiası yüksek merak yaratır; tartışmalı PEAR sonuçlarını kanıt gibi sunuyor.</x:v>
      </x:c>
      <x:c r="V512" s="46" t="str">
        <x:f>IF(Q512&lt;=3,"Kaynak kontrolü şart",IF(Q512=4,"Kaynak kontrolü önerilir","Standart doğrulama"))</x:f>
        <x:v>Kaynak kontrolü şart</x:v>
      </x:c>
    </x:row>
    <x:row r="513" ht="24" customHeight="1">
      <x:c r="A513" s="48" t="n">
        <x:f>COUNTIF($R$2:$R$751,"&gt;"&amp;R513)+COUNTIF($R$2:R513,R513)</x:f>
        <x:v>512</x:v>
      </x:c>
      <x:c r="B513" s="48" t="n">
        <x:v>1409</x:v>
      </x:c>
      <x:c r="C513" s="46" t="str">
        <x:v>Kişisel almama sanatı — ikinci anlaşma</x:v>
      </x:c>
      <x:c r="D513" s="34" t="str">
        <x:v>Felsefe</x:v>
      </x:c>
      <x:c r="E513" s="34" t="str">
        <x:v>Felsefe</x:v>
      </x:c>
      <x:c r="F513" s="34" t="str">
        <x:v>Dört Anlaşma</x:v>
      </x:c>
      <x:c r="G513" s="34" t="str">
        <x:v>Don Miguel Ruiz</x:v>
      </x:c>
      <x:c r="H513" s="50" t="str">
        <x:v>1</x:v>
      </x:c>
      <x:c r="I513" s="50" t="str">
        <x:v>Temel</x:v>
      </x:c>
      <x:c r="J513" s="51" t="n">
        <x:v>12</x:v>
      </x:c>
      <x:c r="K513" s="51" t="n">
        <x:v>7</x:v>
      </x:c>
      <x:c r="L513" s="51" t="n">
        <x:v>11</x:v>
      </x:c>
      <x:c r="M513" s="51" t="n">
        <x:v>10</x:v>
      </x:c>
      <x:c r="N513" s="51" t="n">
        <x:v>9</x:v>
      </x:c>
      <x:c r="O513" s="51" t="n">
        <x:v>7</x:v>
      </x:c>
      <x:c r="P513" s="51" t="n">
        <x:v>15</x:v>
      </x:c>
      <x:c r="Q513" s="51" t="n">
        <x:v>1</x:v>
      </x:c>
      <x:c r="R513" s="52" t="n">
        <x:f>SUM(J513:Q513)</x:f>
        <x:v>72</x:v>
      </x:c>
      <x:c r="S513" s="50" t="str">
        <x:f>IF(R513&gt;='Rubrik'!$B$17,"Öncelikli video",IF(R513&gt;='Rubrik'!$B$18,"Video kuyruğu",IF(R513&gt;='Rubrik'!$B$19,"Revize et",IF(R513&gt;='Rubrik'!$B$20,"Kartla test","Düşük öncelik"))))</x:f>
        <x:v>Kartla test</x:v>
      </x:c>
      <x:c r="T513" s="50" t="str">
        <x:f>IF(AND(R513&gt;=85,P513&gt;=16,M513&gt;=12,L513&gt;=12),"Reel + Carousel",IF(AND(R513&gt;=85,P513&gt;=16,N513&gt;=8),"Soru odaklı Reel",IF(AND(R513&gt;=85,P513&gt;=16),"Reel / Short",IF(M513&gt;=11,"Carousel","Kart testi"))))</x:f>
        <x:v>Kart testi</x:v>
      </x:c>
      <x:c r="U513" s="46" t="str">
        <x:v>Tek yorumla bozulan gün tanıdık bir sahne; hiçbir şeyi kişisel almama kuralı eleştiri ve sınırları silebilir.</x:v>
      </x:c>
      <x:c r="V513" s="46" t="str">
        <x:f>IF(Q513&lt;=3,"Kaynak kontrolü şart",IF(Q513=4,"Kaynak kontrolü önerilir","Standart doğrulama"))</x:f>
        <x:v>Kaynak kontrolü şart</x:v>
      </x:c>
    </x:row>
    <x:row r="514" ht="24" customHeight="1">
      <x:c r="A514" s="48" t="n">
        <x:f>COUNTIF($R$2:$R$751,"&gt;"&amp;R514)+COUNTIF($R$2:R514,R514)</x:f>
        <x:v>513</x:v>
      </x:c>
      <x:c r="B514" s="48" t="n">
        <x:v>1548</x:v>
      </x:c>
      <x:c r="C514" s="46" t="str">
        <x:v>Beyin sermayesi çağı — idealar maddi kaynaklardan daha değerli</x:v>
      </x:c>
      <x:c r="D514" s="34" t="str">
        <x:v>Bilim</x:v>
      </x:c>
      <x:c r="E514" s="34" t="str">
        <x:v>Teknoloji</x:v>
      </x:c>
      <x:c r="F514" s="34" t="str">
        <x:v>İkinci Makine Çağı</x:v>
      </x:c>
      <x:c r="G514" s="34" t="str">
        <x:v>Erik Brynjolfsson</x:v>
      </x:c>
      <x:c r="H514" s="50" t="str">
        <x:v>1</x:v>
      </x:c>
      <x:c r="I514" s="50" t="str">
        <x:v>Temel</x:v>
      </x:c>
      <x:c r="J514" s="51" t="n">
        <x:v>11</x:v>
      </x:c>
      <x:c r="K514" s="51" t="n">
        <x:v>5</x:v>
      </x:c>
      <x:c r="L514" s="51" t="n">
        <x:v>11</x:v>
      </x:c>
      <x:c r="M514" s="51" t="n">
        <x:v>12</x:v>
      </x:c>
      <x:c r="N514" s="51" t="n">
        <x:v>8</x:v>
      </x:c>
      <x:c r="O514" s="51" t="n">
        <x:v>6</x:v>
      </x:c>
      <x:c r="P514" s="51" t="n">
        <x:v>15</x:v>
      </x:c>
      <x:c r="Q514" s="51" t="n">
        <x:v>4</x:v>
      </x:c>
      <x:c r="R514" s="52" t="n">
        <x:f>SUM(J514:Q514)</x:f>
        <x:v>72</x:v>
      </x:c>
      <x:c r="S514" s="50" t="str">
        <x:f>IF(R514&gt;='Rubrik'!$B$17,"Öncelikli video",IF(R514&gt;='Rubrik'!$B$18,"Video kuyruğu",IF(R514&gt;='Rubrik'!$B$19,"Revize et",IF(R514&gt;='Rubrik'!$B$20,"Kartla test","Düşük öncelik"))))</x:f>
        <x:v>Kartla test</x:v>
      </x:c>
      <x:c r="T514" s="50" t="str">
        <x:f>IF(AND(R514&gt;=85,P514&gt;=16,M514&gt;=12,L514&gt;=12),"Reel + Carousel",IF(AND(R514&gt;=85,P514&gt;=16,N514&gt;=8),"Soru odaklı Reel",IF(AND(R514&gt;=85,P514&gt;=16),"Reel / Short",IF(M514&gt;=11,"Carousel","Kart testi"))))</x:f>
        <x:v>Carousel</x:v>
      </x:c>
      <x:c r="U514" s="46" t="str">
        <x:v>Sıfır marjinal maliyet dijital ölçeği iyi açıklıyor; animasyonla güçlenir ama insani duygu sınırlı kalır.</x:v>
      </x:c>
      <x:c r="V514" s="46" t="str">
        <x:f>IF(Q514&lt;=3,"Kaynak kontrolü şart",IF(Q514=4,"Kaynak kontrolü önerilir","Standart doğrulama"))</x:f>
        <x:v>Kaynak kontrolü önerilir</x:v>
      </x:c>
    </x:row>
    <x:row r="515" ht="24" customHeight="1">
      <x:c r="A515" s="48" t="n">
        <x:f>COUNTIF($R$2:$R$751,"&gt;"&amp;R515)+COUNTIF($R$2:R515,R515)</x:f>
        <x:v>514</x:v>
      </x:c>
      <x:c r="B515" s="48" t="n">
        <x:v>1658</x:v>
      </x:c>
      <x:c r="C515" s="46" t="str">
        <x:v>Açlık ve tokluk — beden sinyallerine yeniden bağlanmak</x:v>
      </x:c>
      <x:c r="D515" s="34" t="str">
        <x:v>Sağlık</x:v>
      </x:c>
      <x:c r="E515" s="34" t="str">
        <x:v>Sağlık</x:v>
      </x:c>
      <x:c r="F515" s="34" t="str">
        <x:v>İçgüdüsel Yeme</x:v>
      </x:c>
      <x:c r="G515" s="34" t="str">
        <x:v>Evelyn Tribole</x:v>
      </x:c>
      <x:c r="H515" s="50" t="str">
        <x:v>1</x:v>
      </x:c>
      <x:c r="I515" s="50" t="str">
        <x:v>Temel</x:v>
      </x:c>
      <x:c r="J515" s="51" t="n">
        <x:v>10</x:v>
      </x:c>
      <x:c r="K515" s="51" t="n">
        <x:v>6</x:v>
      </x:c>
      <x:c r="L515" s="51" t="n">
        <x:v>11</x:v>
      </x:c>
      <x:c r="M515" s="51" t="n">
        <x:v>11</x:v>
      </x:c>
      <x:c r="N515" s="51" t="n">
        <x:v>7</x:v>
      </x:c>
      <x:c r="O515" s="51" t="n">
        <x:v>7</x:v>
      </x:c>
      <x:c r="P515" s="51" t="n">
        <x:v>15</x:v>
      </x:c>
      <x:c r="Q515" s="51" t="n">
        <x:v>5</x:v>
      </x:c>
      <x:c r="R515" s="52" t="n">
        <x:f>SUM(J515:Q515)</x:f>
        <x:v>72</x:v>
      </x:c>
      <x:c r="S515" s="50" t="str">
        <x:f>IF(R515&gt;='Rubrik'!$B$17,"Öncelikli video",IF(R515&gt;='Rubrik'!$B$18,"Video kuyruğu",IF(R515&gt;='Rubrik'!$B$19,"Revize et",IF(R515&gt;='Rubrik'!$B$20,"Kartla test","Düşük öncelik"))))</x:f>
        <x:v>Kartla test</x:v>
      </x:c>
      <x:c r="T515" s="50" t="str">
        <x:f>IF(AND(R515&gt;=85,P515&gt;=16,M515&gt;=12,L515&gt;=12),"Reel + Carousel",IF(AND(R515&gt;=85,P515&gt;=16,N515&gt;=8),"Soru odaklı Reel",IF(AND(R515&gt;=85,P515&gt;=16),"Reel / Short",IF(M515&gt;=11,"Carousel","Kart testi"))))</x:f>
        <x:v>Carousel</x:v>
      </x:c>
      <x:c r="U515" s="46" t="str">
        <x:v>Somut sahne ve sayısal ayrıntı güçlü bir video açılışı sağlıyor; ilk saniye etkisi geliştirilmeli.</x:v>
      </x:c>
      <x:c r="V515" s="46" t="str">
        <x:f>IF(Q515&lt;=3,"Kaynak kontrolü şart",IF(Q515=4,"Kaynak kontrolü önerilir","Standart doğrulama"))</x:f>
        <x:v>Standart doğrulama</x:v>
      </x:c>
    </x:row>
    <x:row r="516" ht="24" customHeight="1">
      <x:c r="A516" s="48" t="n">
        <x:f>COUNTIF($R$2:$R$751,"&gt;"&amp;R516)+COUNTIF($R$2:R516,R516)</x:f>
        <x:v>515</x:v>
      </x:c>
      <x:c r="B516" s="48" t="n">
        <x:v>1065</x:v>
      </x:c>
      <x:c r="C516" s="46" t="str">
        <x:v>Steve Jobs'ın yıkıcı eleştirisi</x:v>
      </x:c>
      <x:c r="D516" s="34" t="str">
        <x:v>Liderlik</x:v>
      </x:c>
      <x:c r="E516" s="34" t="str">
        <x:v>Liderlik</x:v>
      </x:c>
      <x:c r="F516" s="34" t="str">
        <x:v>Dürüst Olmak</x:v>
      </x:c>
      <x:c r="G516" s="34" t="str">
        <x:v>Kim Scott</x:v>
      </x:c>
      <x:c r="H516" s="50" t="str">
        <x:v>1</x:v>
      </x:c>
      <x:c r="I516" s="50" t="str">
        <x:v>Temel</x:v>
      </x:c>
      <x:c r="J516" s="51" t="n">
        <x:v>14</x:v>
      </x:c>
      <x:c r="K516" s="51" t="n">
        <x:v>8</x:v>
      </x:c>
      <x:c r="L516" s="51" t="n">
        <x:v>10</x:v>
      </x:c>
      <x:c r="M516" s="51" t="n">
        <x:v>9</x:v>
      </x:c>
      <x:c r="N516" s="51" t="n">
        <x:v>8</x:v>
      </x:c>
      <x:c r="O516" s="51" t="n">
        <x:v>7</x:v>
      </x:c>
      <x:c r="P516" s="51" t="n">
        <x:v>15</x:v>
      </x:c>
      <x:c r="Q516" s="51" t="n">
        <x:v>1</x:v>
      </x:c>
      <x:c r="R516" s="52" t="n">
        <x:f>SUM(J516:Q516)</x:f>
        <x:v>72</x:v>
      </x:c>
      <x:c r="S516" s="50" t="str">
        <x:f>IF(R516&gt;='Rubrik'!$B$17,"Öncelikli video",IF(R516&gt;='Rubrik'!$B$18,"Video kuyruğu",IF(R516&gt;='Rubrik'!$B$19,"Revize et",IF(R516&gt;='Rubrik'!$B$20,"Kartla test","Düşük öncelik"))))</x:f>
        <x:v>Kartla test</x:v>
      </x:c>
      <x:c r="T516" s="50" t="str">
        <x:f>IF(AND(R516&gt;=85,P516&gt;=16,M516&gt;=12,L516&gt;=12),"Reel + Carousel",IF(AND(R516&gt;=85,P516&gt;=16,N516&gt;=8),"Soru odaklı Reel",IF(AND(R516&gt;=85,P516&gt;=16),"Reel / Short",IF(M516&gt;=11,"Carousel","Kart testi"))))</x:f>
        <x:v>Kart testi</x:v>
      </x:c>
      <x:c r="U516" s="46" t="str">
        <x:v>Jobs'ın sert çıkışı dramatik; doğrulanmamış sahne ve incitici eleştiriyi ilgi gibi sunması riskli.</x:v>
      </x:c>
      <x:c r="V516" s="46" t="str">
        <x:f>IF(Q516&lt;=3,"Kaynak kontrolü şart",IF(Q516=4,"Kaynak kontrolü önerilir","Standart doğrulama"))</x:f>
        <x:v>Kaynak kontrolü şart</x:v>
      </x:c>
    </x:row>
    <x:row r="517" ht="24" customHeight="1">
      <x:c r="A517" s="48" t="n">
        <x:f>COUNTIF($R$2:$R$751,"&gt;"&amp;R517)+COUNTIF($R$2:R517,R517)</x:f>
        <x:v>516</x:v>
      </x:c>
      <x:c r="B517" s="48" t="n">
        <x:v>1257</x:v>
      </x:c>
      <x:c r="C517" s="46" t="str">
        <x:v>Sorumluluk ve güç arasındaki bağ</x:v>
      </x:c>
      <x:c r="D517" s="34" t="str">
        <x:v>Büyüme</x:v>
      </x:c>
      <x:c r="E517" s="34" t="str">
        <x:v>Motivasyon</x:v>
      </x:c>
      <x:c r="F517" s="34" t="str">
        <x:v>Korkusuzluk</x:v>
      </x:c>
      <x:c r="G517" s="34" t="str">
        <x:v>Susan Jeffers</x:v>
      </x:c>
      <x:c r="H517" s="50" t="str">
        <x:v>1</x:v>
      </x:c>
      <x:c r="I517" s="50" t="str">
        <x:v>Temel</x:v>
      </x:c>
      <x:c r="J517" s="51" t="n">
        <x:v>12</x:v>
      </x:c>
      <x:c r="K517" s="51" t="n">
        <x:v>6</x:v>
      </x:c>
      <x:c r="L517" s="51" t="n">
        <x:v>9</x:v>
      </x:c>
      <x:c r="M517" s="51" t="n">
        <x:v>12</x:v>
      </x:c>
      <x:c r="N517" s="51" t="n">
        <x:v>9</x:v>
      </x:c>
      <x:c r="O517" s="51" t="n">
        <x:v>7</x:v>
      </x:c>
      <x:c r="P517" s="51" t="n">
        <x:v>15</x:v>
      </x:c>
      <x:c r="Q517" s="51" t="n">
        <x:v>2</x:v>
      </x:c>
      <x:c r="R517" s="52" t="n">
        <x:f>SUM(J517:Q517)</x:f>
        <x:v>72</x:v>
      </x:c>
      <x:c r="S517" s="50" t="str">
        <x:f>IF(R517&gt;='Rubrik'!$B$17,"Öncelikli video",IF(R517&gt;='Rubrik'!$B$18,"Video kuyruğu",IF(R517&gt;='Rubrik'!$B$19,"Revize et",IF(R517&gt;='Rubrik'!$B$20,"Kartla test","Düşük öncelik"))))</x:f>
        <x:v>Kartla test</x:v>
      </x:c>
      <x:c r="T517" s="50" t="str">
        <x:f>IF(AND(R517&gt;=85,P517&gt;=16,M517&gt;=12,L517&gt;=12),"Reel + Carousel",IF(AND(R517&gt;=85,P517&gt;=16,N517&gt;=8),"Soru odaklı Reel",IF(AND(R517&gt;=85,P517&gt;=16),"Reel / Short",IF(M517&gt;=11,"Carousel","Kart testi"))))</x:f>
        <x:v>Carousel</x:v>
      </x:c>
      <x:c r="U517" s="46" t="str">
        <x:v>“Bunu seçtim” egzersizi güçlü bir tepki ve not isteği doğurur; koşulları küçümseme riski taşıyor.</x:v>
      </x:c>
      <x:c r="V517" s="46" t="str">
        <x:f>IF(Q517&lt;=3,"Kaynak kontrolü şart",IF(Q517=4,"Kaynak kontrolü önerilir","Standart doğrulama"))</x:f>
        <x:v>Kaynak kontrolü şart</x:v>
      </x:c>
    </x:row>
    <x:row r="518" ht="24" customHeight="1">
      <x:c r="A518" s="48" t="n">
        <x:f>COUNTIF($R$2:$R$751,"&gt;"&amp;R518)+COUNTIF($R$2:R518,R518)</x:f>
        <x:v>517</x:v>
      </x:c>
      <x:c r="B518" s="48" t="n">
        <x:v>1466</x:v>
      </x:c>
      <x:c r="C518" s="46" t="str">
        <x:v>Beyin dostu hikaye anlatımı</x:v>
      </x:c>
      <x:c r="D518" s="34" t="str">
        <x:v>İletişim</x:v>
      </x:c>
      <x:c r="E518" s="34" t="str">
        <x:v>İletişim</x:v>
      </x:c>
      <x:c r="F518" s="34" t="str">
        <x:v>Etkileyici Konuşma</x:v>
      </x:c>
      <x:c r="G518" s="34" t="str">
        <x:v>Carmine Gallo</x:v>
      </x:c>
      <x:c r="H518" s="50" t="str">
        <x:v>1</x:v>
      </x:c>
      <x:c r="I518" s="50" t="str">
        <x:v>Temel</x:v>
      </x:c>
      <x:c r="J518" s="51" t="n">
        <x:v>11</x:v>
      </x:c>
      <x:c r="K518" s="51" t="n">
        <x:v>6</x:v>
      </x:c>
      <x:c r="L518" s="51" t="n">
        <x:v>12</x:v>
      </x:c>
      <x:c r="M518" s="51" t="n">
        <x:v>11</x:v>
      </x:c>
      <x:c r="N518" s="51" t="n">
        <x:v>8</x:v>
      </x:c>
      <x:c r="O518" s="51" t="n">
        <x:v>6</x:v>
      </x:c>
      <x:c r="P518" s="51" t="n">
        <x:v>14</x:v>
      </x:c>
      <x:c r="Q518" s="51" t="n">
        <x:v>4</x:v>
      </x:c>
      <x:c r="R518" s="52" t="n">
        <x:f>SUM(J518:Q518)</x:f>
        <x:v>72</x:v>
      </x:c>
      <x:c r="S518" s="50" t="str">
        <x:f>IF(R518&gt;='Rubrik'!$B$17,"Öncelikli video",IF(R518&gt;='Rubrik'!$B$18,"Video kuyruğu",IF(R518&gt;='Rubrik'!$B$19,"Revize et",IF(R518&gt;='Rubrik'!$B$20,"Kartla test","Düşük öncelik"))))</x:f>
        <x:v>Kartla test</x:v>
      </x:c>
      <x:c r="T518" s="50" t="str">
        <x:f>IF(AND(R518&gt;=85,P518&gt;=16,M518&gt;=12,L518&gt;=12),"Reel + Carousel",IF(AND(R518&gt;=85,P518&gt;=16,N518&gt;=8),"Soru odaklı Reel",IF(AND(R518&gt;=85,P518&gt;=16),"Reel / Short",IF(M518&gt;=11,"Carousel","Kart testi"))))</x:f>
        <x:v>Carousel</x:v>
      </x:c>
      <x:c r="U518" s="46" t="str">
        <x:v>Hikâyenin veriden güçlü olması içerik üreticisini yakalar; beyin açıklaması görsel karşılaştırmaya uygundur.</x:v>
      </x:c>
      <x:c r="V518" s="46" t="str">
        <x:f>IF(Q518&lt;=3,"Kaynak kontrolü şart",IF(Q518=4,"Kaynak kontrolü önerilir","Standart doğrulama"))</x:f>
        <x:v>Kaynak kontrolü önerilir</x:v>
      </x:c>
    </x:row>
    <x:row r="519" ht="24" customHeight="1">
      <x:c r="A519" s="48" t="n">
        <x:f>COUNTIF($R$2:$R$751,"&gt;"&amp;R519)+COUNTIF($R$2:R519,R519)</x:f>
        <x:v>518</x:v>
      </x:c>
      <x:c r="B519" s="48" t="n">
        <x:v>1582</x:v>
      </x:c>
      <x:c r="C519" s="46" t="str">
        <x:v>Sol beyin çağının sonu — sağ beynin yükselişi</x:v>
      </x:c>
      <x:c r="D519" s="34" t="str">
        <x:v>Verimlilik</x:v>
      </x:c>
      <x:c r="E519" s="34" t="str">
        <x:v>Yaratıcılık</x:v>
      </x:c>
      <x:c r="F519" s="34" t="str">
        <x:v>Bütün Beyin</x:v>
      </x:c>
      <x:c r="G519" s="34" t="str">
        <x:v>Daniel Pink</x:v>
      </x:c>
      <x:c r="H519" s="50" t="str">
        <x:v>1</x:v>
      </x:c>
      <x:c r="I519" s="50" t="str">
        <x:v>Temel</x:v>
      </x:c>
      <x:c r="J519" s="51" t="n">
        <x:v>12</x:v>
      </x:c>
      <x:c r="K519" s="51" t="n">
        <x:v>6</x:v>
      </x:c>
      <x:c r="L519" s="51" t="n">
        <x:v>12</x:v>
      </x:c>
      <x:c r="M519" s="51" t="n">
        <x:v>12</x:v>
      </x:c>
      <x:c r="N519" s="51" t="n">
        <x:v>8</x:v>
      </x:c>
      <x:c r="O519" s="51" t="n">
        <x:v>6</x:v>
      </x:c>
      <x:c r="P519" s="51" t="n">
        <x:v>14</x:v>
      </x:c>
      <x:c r="Q519" s="51" t="n">
        <x:v>2</x:v>
      </x:c>
      <x:c r="R519" s="52" t="n">
        <x:f>SUM(J519:Q519)</x:f>
        <x:v>72</x:v>
      </x:c>
      <x:c r="S519" s="50" t="str">
        <x:f>IF(R519&gt;='Rubrik'!$B$17,"Öncelikli video",IF(R519&gt;='Rubrik'!$B$18,"Video kuyruğu",IF(R519&gt;='Rubrik'!$B$19,"Revize et",IF(R519&gt;='Rubrik'!$B$20,"Kartla test","Düşük öncelik"))))</x:f>
        <x:v>Kartla test</x:v>
      </x:c>
      <x:c r="T519" s="50" t="str">
        <x:f>IF(AND(R519&gt;=85,P519&gt;=16,M519&gt;=12,L519&gt;=12),"Reel + Carousel",IF(AND(R519&gt;=85,P519&gt;=16,N519&gt;=8),"Soru odaklı Reel",IF(AND(R519&gt;=85,P519&gt;=16),"Reel / Short",IF(M519&gt;=11,"Carousel","Kart testi"))))</x:f>
        <x:v>Carousel</x:v>
      </x:c>
      <x:c r="U519" s="46" t="str">
        <x:v>Sağ beyin ekonomisi yaratıcı işleri öne çıkararak ilgi çeker; eski sağ-sol beyin çerçevesi güveni düşürüyor.</x:v>
      </x:c>
      <x:c r="V519" s="46" t="str">
        <x:f>IF(Q519&lt;=3,"Kaynak kontrolü şart",IF(Q519=4,"Kaynak kontrolü önerilir","Standart doğrulama"))</x:f>
        <x:v>Kaynak kontrolü şart</x:v>
      </x:c>
    </x:row>
    <x:row r="520" ht="24" customHeight="1">
      <x:c r="A520" s="48" t="n">
        <x:f>COUNTIF($R$2:$R$751,"&gt;"&amp;R520)+COUNTIF($R$2:R520,R520)</x:f>
        <x:v>519</x:v>
      </x:c>
      <x:c r="B520" s="48" t="n">
        <x:v>1436</x:v>
      </x:c>
      <x:c r="C520" s="46" t="str">
        <x:v>Reddin anatomisi — itiraz yönetimi</x:v>
      </x:c>
      <x:c r="D520" s="34" t="str">
        <x:v>Finans</x:v>
      </x:c>
      <x:c r="E520" s="34" t="str">
        <x:v>Satış</x:v>
      </x:c>
      <x:c r="F520" s="34" t="str">
        <x:v>Satışın Psikolojisi</x:v>
      </x:c>
      <x:c r="G520" s="34" t="str">
        <x:v>Brian Tracy</x:v>
      </x:c>
      <x:c r="H520" s="50" t="str">
        <x:v>1</x:v>
      </x:c>
      <x:c r="I520" s="50" t="str">
        <x:v>Temel</x:v>
      </x:c>
      <x:c r="J520" s="51" t="n">
        <x:v>11</x:v>
      </x:c>
      <x:c r="K520" s="51" t="n">
        <x:v>5</x:v>
      </x:c>
      <x:c r="L520" s="51" t="n">
        <x:v>11</x:v>
      </x:c>
      <x:c r="M520" s="51" t="n">
        <x:v>13</x:v>
      </x:c>
      <x:c r="N520" s="51" t="n">
        <x:v>8</x:v>
      </x:c>
      <x:c r="O520" s="51" t="n">
        <x:v>6</x:v>
      </x:c>
      <x:c r="P520" s="51" t="n">
        <x:v>14</x:v>
      </x:c>
      <x:c r="Q520" s="51" t="n">
        <x:v>4</x:v>
      </x:c>
      <x:c r="R520" s="52" t="n">
        <x:f>SUM(J520:Q520)</x:f>
        <x:v>72</x:v>
      </x:c>
      <x:c r="S520" s="50" t="str">
        <x:f>IF(R520&gt;='Rubrik'!$B$17,"Öncelikli video",IF(R520&gt;='Rubrik'!$B$18,"Video kuyruğu",IF(R520&gt;='Rubrik'!$B$19,"Revize et",IF(R520&gt;='Rubrik'!$B$20,"Kartla test","Düşük öncelik"))))</x:f>
        <x:v>Kartla test</x:v>
      </x:c>
      <x:c r="T520" s="50" t="str">
        <x:f>IF(AND(R520&gt;=85,P520&gt;=16,M520&gt;=12,L520&gt;=12),"Reel + Carousel",IF(AND(R520&gt;=85,P520&gt;=16,N520&gt;=8),"Soru odaklı Reel",IF(AND(R520&gt;=85,P520&gt;=16),"Reel / Short",IF(M520&gt;=11,"Carousel","Kart testi"))))</x:f>
        <x:v>Carousel</x:v>
      </x:c>
      <x:c r="U520" s="46" t="str">
        <x:v>İtirazı ret değil ilgi sayan ters köşe, satışçılara konuşulabilir ve kaydedilebilir bir ders veriyor.</x:v>
      </x:c>
      <x:c r="V520" s="46" t="str">
        <x:f>IF(Q520&lt;=3,"Kaynak kontrolü şart",IF(Q520=4,"Kaynak kontrolü önerilir","Standart doğrulama"))</x:f>
        <x:v>Kaynak kontrolü önerilir</x:v>
      </x:c>
    </x:row>
    <x:row r="521" ht="24" customHeight="1">
      <x:c r="A521" s="48" t="n">
        <x:f>COUNTIF($R$2:$R$751,"&gt;"&amp;R521)+COUNTIF($R$2:R521,R521)</x:f>
        <x:v>520</x:v>
      </x:c>
      <x:c r="B521" s="48" t="n">
        <x:v>1451</x:v>
      </x:c>
      <x:c r="C521" s="46" t="str">
        <x:v>Uyku öncesi programlama</x:v>
      </x:c>
      <x:c r="D521" s="34" t="str">
        <x:v>Büyüme</x:v>
      </x:c>
      <x:c r="E521" s="34" t="str">
        <x:v>Motivasyon</x:v>
      </x:c>
      <x:c r="F521" s="34" t="str">
        <x:v>Bilinçaltının Gücü</x:v>
      </x:c>
      <x:c r="G521" s="34" t="str">
        <x:v>Joseph Murphy</x:v>
      </x:c>
      <x:c r="H521" s="50" t="str">
        <x:v>1</x:v>
      </x:c>
      <x:c r="I521" s="50" t="str">
        <x:v>Temel</x:v>
      </x:c>
      <x:c r="J521" s="51" t="n">
        <x:v>11</x:v>
      </x:c>
      <x:c r="K521" s="51" t="n">
        <x:v>6</x:v>
      </x:c>
      <x:c r="L521" s="51" t="n">
        <x:v>11</x:v>
      </x:c>
      <x:c r="M521" s="51" t="n">
        <x:v>14</x:v>
      </x:c>
      <x:c r="N521" s="51" t="n">
        <x:v>8</x:v>
      </x:c>
      <x:c r="O521" s="51" t="n">
        <x:v>6</x:v>
      </x:c>
      <x:c r="P521" s="51" t="n">
        <x:v>14</x:v>
      </x:c>
      <x:c r="Q521" s="51" t="n">
        <x:v>2</x:v>
      </x:c>
      <x:c r="R521" s="52" t="n">
        <x:f>SUM(J521:Q521)</x:f>
        <x:v>72</x:v>
      </x:c>
      <x:c r="S521" s="50" t="str">
        <x:f>IF(R521&gt;='Rubrik'!$B$17,"Öncelikli video",IF(R521&gt;='Rubrik'!$B$18,"Video kuyruğu",IF(R521&gt;='Rubrik'!$B$19,"Revize et",IF(R521&gt;='Rubrik'!$B$20,"Kartla test","Düşük öncelik"))))</x:f>
        <x:v>Kartla test</x:v>
      </x:c>
      <x:c r="T521" s="50" t="str">
        <x:f>IF(AND(R521&gt;=85,P521&gt;=16,M521&gt;=12,L521&gt;=12),"Reel + Carousel",IF(AND(R521&gt;=85,P521&gt;=16,N521&gt;=8),"Soru odaklı Reel",IF(AND(R521&gt;=85,P521&gt;=16),"Reel / Short",IF(M521&gt;=11,"Carousel","Kart testi"))))</x:f>
        <x:v>Carousel</x:v>
      </x:c>
      <x:c r="U521" s="46" t="str">
        <x:v>Uyku öncesi zihinsel programlama ritüeli kaydetmelik; nedensellik iddiaları teyit edilmeden riskli.</x:v>
      </x:c>
      <x:c r="V521" s="46" t="str">
        <x:f>IF(Q521&lt;=3,"Kaynak kontrolü şart",IF(Q521=4,"Kaynak kontrolü önerilir","Standart doğrulama"))</x:f>
        <x:v>Kaynak kontrolü şart</x:v>
      </x:c>
    </x:row>
    <x:row r="522" ht="24" customHeight="1">
      <x:c r="A522" s="48" t="n">
        <x:f>COUNTIF($R$2:$R$751,"&gt;"&amp;R522)+COUNTIF($R$2:R522,R522)</x:f>
        <x:v>521</x:v>
      </x:c>
      <x:c r="B522" s="48" t="n">
        <x:v>1579</x:v>
      </x:c>
      <x:c r="C522" s="46" t="str">
        <x:v>Hepimiz satıcıyız — satış mesleğinin yeniden tanımı</x:v>
      </x:c>
      <x:c r="D522" s="34" t="str">
        <x:v>Finans</x:v>
      </x:c>
      <x:c r="E522" s="34" t="str">
        <x:v>Satış</x:v>
      </x:c>
      <x:c r="F522" s="34" t="str">
        <x:v>Satışın Yeni Yüzü</x:v>
      </x:c>
      <x:c r="G522" s="34" t="str">
        <x:v>Daniel Pink</x:v>
      </x:c>
      <x:c r="H522" s="50" t="str">
        <x:v>1</x:v>
      </x:c>
      <x:c r="I522" s="50" t="str">
        <x:v>Temel</x:v>
      </x:c>
      <x:c r="J522" s="51" t="n">
        <x:v>11</x:v>
      </x:c>
      <x:c r="K522" s="51" t="n">
        <x:v>5</x:v>
      </x:c>
      <x:c r="L522" s="51" t="n">
        <x:v>11</x:v>
      </x:c>
      <x:c r="M522" s="51" t="n">
        <x:v>13</x:v>
      </x:c>
      <x:c r="N522" s="51" t="n">
        <x:v>8</x:v>
      </x:c>
      <x:c r="O522" s="51" t="n">
        <x:v>6</x:v>
      </x:c>
      <x:c r="P522" s="51" t="n">
        <x:v>14</x:v>
      </x:c>
      <x:c r="Q522" s="51" t="n">
        <x:v>4</x:v>
      </x:c>
      <x:c r="R522" s="52" t="n">
        <x:f>SUM(J522:Q522)</x:f>
        <x:v>72</x:v>
      </x:c>
      <x:c r="S522" s="50" t="str">
        <x:f>IF(R522&gt;='Rubrik'!$B$17,"Öncelikli video",IF(R522&gt;='Rubrik'!$B$18,"Video kuyruğu",IF(R522&gt;='Rubrik'!$B$19,"Revize et",IF(R522&gt;='Rubrik'!$B$20,"Kartla test","Düşük öncelik"))))</x:f>
        <x:v>Kartla test</x:v>
      </x:c>
      <x:c r="T522" s="50" t="str">
        <x:f>IF(AND(R522&gt;=85,P522&gt;=16,M522&gt;=12,L522&gt;=12),"Reel + Carousel",IF(AND(R522&gt;=85,P522&gt;=16,N522&gt;=8),"Soru odaklı Reel",IF(AND(R522&gt;=85,P522&gt;=16),"Reel / Short",IF(M522&gt;=11,"Carousel","Kart testi"))))</x:f>
        <x:v>Carousel</x:v>
      </x:c>
      <x:c r="U522" s="46" t="str">
        <x:v>Herkesin satış yaptığı fikri kavrama direncini kırıyor; gündelik ikna sahneleriyle geniş kitleye açılabilir.</x:v>
      </x:c>
      <x:c r="V522" s="46" t="str">
        <x:f>IF(Q522&lt;=3,"Kaynak kontrolü şart",IF(Q522=4,"Kaynak kontrolü önerilir","Standart doğrulama"))</x:f>
        <x:v>Kaynak kontrolü önerilir</x:v>
      </x:c>
    </x:row>
    <x:row r="523" ht="24" customHeight="1">
      <x:c r="A523" s="48" t="n">
        <x:f>COUNTIF($R$2:$R$751,"&gt;"&amp;R523)+COUNTIF($R$2:R523,R523)</x:f>
        <x:v>522</x:v>
      </x:c>
      <x:c r="B523" s="48" t="n">
        <x:v>1614</x:v>
      </x:c>
      <x:c r="C523" s="46" t="str">
        <x:v>Zaman, enerji, para — milyonerlerin gerçek yatırımı</x:v>
      </x:c>
      <x:c r="D523" s="34" t="str">
        <x:v>Finans</x:v>
      </x:c>
      <x:c r="E523" s="34" t="str">
        <x:v>Finans</x:v>
      </x:c>
      <x:c r="F523" s="34" t="str">
        <x:v>Komşu Milyoner</x:v>
      </x:c>
      <x:c r="G523" s="34" t="str">
        <x:v>Thomas Stanley</x:v>
      </x:c>
      <x:c r="H523" s="50" t="str">
        <x:v>1</x:v>
      </x:c>
      <x:c r="I523" s="50" t="str">
        <x:v>Temel</x:v>
      </x:c>
      <x:c r="J523" s="51" t="n">
        <x:v>11</x:v>
      </x:c>
      <x:c r="K523" s="51" t="n">
        <x:v>5</x:v>
      </x:c>
      <x:c r="L523" s="51" t="n">
        <x:v>11</x:v>
      </x:c>
      <x:c r="M523" s="51" t="n">
        <x:v>14</x:v>
      </x:c>
      <x:c r="N523" s="51" t="n">
        <x:v>8</x:v>
      </x:c>
      <x:c r="O523" s="51" t="n">
        <x:v>6</x:v>
      </x:c>
      <x:c r="P523" s="51" t="n">
        <x:v>14</x:v>
      </x:c>
      <x:c r="Q523" s="51" t="n">
        <x:v>3</x:v>
      </x:c>
      <x:c r="R523" s="52" t="n">
        <x:f>SUM(J523:Q523)</x:f>
        <x:v>72</x:v>
      </x:c>
      <x:c r="S523" s="50" t="str">
        <x:f>IF(R523&gt;='Rubrik'!$B$17,"Öncelikli video",IF(R523&gt;='Rubrik'!$B$18,"Video kuyruğu",IF(R523&gt;='Rubrik'!$B$19,"Revize et",IF(R523&gt;='Rubrik'!$B$20,"Kartla test","Düşük öncelik"))))</x:f>
        <x:v>Kartla test</x:v>
      </x:c>
      <x:c r="T523" s="50" t="str">
        <x:f>IF(AND(R523&gt;=85,P523&gt;=16,M523&gt;=12,L523&gt;=12),"Reel + Carousel",IF(AND(R523&gt;=85,P523&gt;=16,N523&gt;=8),"Soru odaklı Reel",IF(AND(R523&gt;=85,P523&gt;=16),"Reel / Short",IF(M523&gt;=11,"Carousel","Kart testi"))))</x:f>
        <x:v>Carousel</x:v>
      </x:c>
      <x:c r="U523" s="46" t="str">
        <x:v>Milyonerlerin finans için ayırdığı süre motive edici bir alışkanlık verir; karşılaştırma verisi doğrulanmalı.</x:v>
      </x:c>
      <x:c r="V523" s="46" t="str">
        <x:f>IF(Q523&lt;=3,"Kaynak kontrolü şart",IF(Q523=4,"Kaynak kontrolü önerilir","Standart doğrulama"))</x:f>
        <x:v>Kaynak kontrolü şart</x:v>
      </x:c>
    </x:row>
    <x:row r="524" ht="24" customHeight="1">
      <x:c r="A524" s="48" t="n">
        <x:f>COUNTIF($R$2:$R$751,"&gt;"&amp;R524)+COUNTIF($R$2:R524,R524)</x:f>
        <x:v>523</x:v>
      </x:c>
      <x:c r="B524" s="48" t="n">
        <x:v>1107</x:v>
      </x:c>
      <x:c r="C524" s="46" t="str">
        <x:v>Mahkeme soytarısının bilgeliği</x:v>
      </x:c>
      <x:c r="D524" s="34" t="str">
        <x:v>Liderlik</x:v>
      </x:c>
      <x:c r="E524" s="34" t="str">
        <x:v>Strateji</x:v>
      </x:c>
      <x:c r="F524" s="34" t="str">
        <x:v>Güç Yasaları</x:v>
      </x:c>
      <x:c r="G524" s="34" t="str">
        <x:v>Robert Greene</x:v>
      </x:c>
      <x:c r="H524" s="50" t="str">
        <x:v>1</x:v>
      </x:c>
      <x:c r="I524" s="50" t="str">
        <x:v>Temel</x:v>
      </x:c>
      <x:c r="J524" s="51" t="n">
        <x:v>13</x:v>
      </x:c>
      <x:c r="K524" s="51" t="n">
        <x:v>7</x:v>
      </x:c>
      <x:c r="L524" s="51" t="n">
        <x:v>10</x:v>
      </x:c>
      <x:c r="M524" s="51" t="n">
        <x:v>10</x:v>
      </x:c>
      <x:c r="N524" s="51" t="n">
        <x:v>9</x:v>
      </x:c>
      <x:c r="O524" s="51" t="n">
        <x:v>6</x:v>
      </x:c>
      <x:c r="P524" s="51" t="n">
        <x:v>14</x:v>
      </x:c>
      <x:c r="Q524" s="51" t="n">
        <x:v>3</x:v>
      </x:c>
      <x:c r="R524" s="52" t="n">
        <x:f>SUM(J524:Q524)</x:f>
        <x:v>72</x:v>
      </x:c>
      <x:c r="S524" s="50" t="str">
        <x:f>IF(R524&gt;='Rubrik'!$B$17,"Öncelikli video",IF(R524&gt;='Rubrik'!$B$18,"Video kuyruğu",IF(R524&gt;='Rubrik'!$B$19,"Revize et",IF(R524&gt;='Rubrik'!$B$20,"Kartla test","Düşük öncelik"))))</x:f>
        <x:v>Kartla test</x:v>
      </x:c>
      <x:c r="T524" s="50" t="str">
        <x:f>IF(AND(R524&gt;=85,P524&gt;=16,M524&gt;=12,L524&gt;=12),"Reel + Carousel",IF(AND(R524&gt;=85,P524&gt;=16,N524&gt;=8),"Soru odaklı Reel",IF(AND(R524&gt;=85,P524&gt;=16),"Reel / Short",IF(M524&gt;=11,"Carousel","Kart testi"))))</x:f>
        <x:v>Kart testi</x:v>
      </x:c>
      <x:c r="U524" s="46" t="str">
        <x:v>Krala şaka yoluyla gerçek söyleyen soytarı canlı bir sahne; modern marka çıkarımı biraz dağınık.</x:v>
      </x:c>
      <x:c r="V524" s="46" t="str">
        <x:f>IF(Q524&lt;=3,"Kaynak kontrolü şart",IF(Q524=4,"Kaynak kontrolü önerilir","Standart doğrulama"))</x:f>
        <x:v>Kaynak kontrolü şart</x:v>
      </x:c>
    </x:row>
    <x:row r="525" ht="24" customHeight="1">
      <x:c r="A525" s="48" t="n">
        <x:f>COUNTIF($R$2:$R$751,"&gt;"&amp;R525)+COUNTIF($R$2:R525,R525)</x:f>
        <x:v>524</x:v>
      </x:c>
      <x:c r="B525" s="48" t="n">
        <x:v>1256</x:v>
      </x:c>
      <x:c r="C525" s="46" t="str">
        <x:v>Acının kaçınılmazlığı ve acıdan kaçma bedeli</x:v>
      </x:c>
      <x:c r="D525" s="34" t="str">
        <x:v>Büyüme</x:v>
      </x:c>
      <x:c r="E525" s="34" t="str">
        <x:v>Motivasyon</x:v>
      </x:c>
      <x:c r="F525" s="34" t="str">
        <x:v>Korkusuzluk</x:v>
      </x:c>
      <x:c r="G525" s="34" t="str">
        <x:v>Susan Jeffers</x:v>
      </x:c>
      <x:c r="H525" s="50" t="str">
        <x:v>1</x:v>
      </x:c>
      <x:c r="I525" s="50" t="str">
        <x:v>Temel</x:v>
      </x:c>
      <x:c r="J525" s="51" t="n">
        <x:v>11</x:v>
      </x:c>
      <x:c r="K525" s="51" t="n">
        <x:v>7</x:v>
      </x:c>
      <x:c r="L525" s="51" t="n">
        <x:v>10</x:v>
      </x:c>
      <x:c r="M525" s="51" t="n">
        <x:v>11</x:v>
      </x:c>
      <x:c r="N525" s="51" t="n">
        <x:v>9</x:v>
      </x:c>
      <x:c r="O525" s="51" t="n">
        <x:v>7</x:v>
      </x:c>
      <x:c r="P525" s="51" t="n">
        <x:v>14</x:v>
      </x:c>
      <x:c r="Q525" s="51" t="n">
        <x:v>3</x:v>
      </x:c>
      <x:c r="R525" s="52" t="n">
        <x:f>SUM(J525:Q525)</x:f>
        <x:v>72</x:v>
      </x:c>
      <x:c r="S525" s="50" t="str">
        <x:f>IF(R525&gt;='Rubrik'!$B$17,"Öncelikli video",IF(R525&gt;='Rubrik'!$B$18,"Video kuyruğu",IF(R525&gt;='Rubrik'!$B$19,"Revize et",IF(R525&gt;='Rubrik'!$B$20,"Kartla test","Düşük öncelik"))))</x:f>
        <x:v>Kartla test</x:v>
      </x:c>
      <x:c r="T525" s="50" t="str">
        <x:f>IF(AND(R525&gt;=85,P525&gt;=16,M525&gt;=12,L525&gt;=12),"Reel + Carousel",IF(AND(R525&gt;=85,P525&gt;=16,N525&gt;=8),"Soru odaklı Reel",IF(AND(R525&gt;=85,P525&gt;=16),"Reel / Short",IF(M525&gt;=11,"Carousel","Kart testi"))))</x:f>
        <x:v>Carousel</x:v>
      </x:c>
      <x:c r="U525" s="46" t="str">
        <x:v>Kaçış ile netlik ayrımı düşündürücü; her sorunu içselleştirmesi hassas durumlarda suçlayıcı algılanabilir.</x:v>
      </x:c>
      <x:c r="V525" s="46" t="str">
        <x:f>IF(Q525&lt;=3,"Kaynak kontrolü şart",IF(Q525=4,"Kaynak kontrolü önerilir","Standart doğrulama"))</x:f>
        <x:v>Kaynak kontrolü şart</x:v>
      </x:c>
    </x:row>
    <x:row r="526" ht="24" customHeight="1">
      <x:c r="A526" s="48" t="n">
        <x:f>COUNTIF($R$2:$R$751,"&gt;"&amp;R526)+COUNTIF($R$2:R526,R526)</x:f>
        <x:v>525</x:v>
      </x:c>
      <x:c r="B526" s="48" t="n">
        <x:v>1265</x:v>
      </x:c>
      <x:c r="C526" s="46" t="str">
        <x:v>Marcus Aurelius'un taht zorunluluğu</x:v>
      </x:c>
      <x:c r="D526" s="34" t="str">
        <x:v>Felsefe</x:v>
      </x:c>
      <x:c r="E526" s="34" t="str">
        <x:v>Felsefe</x:v>
      </x:c>
      <x:c r="F526" s="34" t="str">
        <x:v>Engel Yolu Açar</x:v>
      </x:c>
      <x:c r="G526" s="34" t="str">
        <x:v>Ryan Holiday</x:v>
      </x:c>
      <x:c r="H526" s="50" t="str">
        <x:v>1</x:v>
      </x:c>
      <x:c r="I526" s="50" t="str">
        <x:v>Temel</x:v>
      </x:c>
      <x:c r="J526" s="51" t="n">
        <x:v>12</x:v>
      </x:c>
      <x:c r="K526" s="51" t="n">
        <x:v>7</x:v>
      </x:c>
      <x:c r="L526" s="51" t="n">
        <x:v>10</x:v>
      </x:c>
      <x:c r="M526" s="51" t="n">
        <x:v>10</x:v>
      </x:c>
      <x:c r="N526" s="51" t="n">
        <x:v>9</x:v>
      </x:c>
      <x:c r="O526" s="51" t="n">
        <x:v>7</x:v>
      </x:c>
      <x:c r="P526" s="51" t="n">
        <x:v>14</x:v>
      </x:c>
      <x:c r="Q526" s="51" t="n">
        <x:v>3</x:v>
      </x:c>
      <x:c r="R526" s="52" t="n">
        <x:f>SUM(J526:Q526)</x:f>
        <x:v>72</x:v>
      </x:c>
      <x:c r="S526" s="50" t="str">
        <x:f>IF(R526&gt;='Rubrik'!$B$17,"Öncelikli video",IF(R526&gt;='Rubrik'!$B$18,"Video kuyruğu",IF(R526&gt;='Rubrik'!$B$19,"Revize et",IF(R526&gt;='Rubrik'!$B$20,"Kartla test","Düşük öncelik"))))</x:f>
        <x:v>Kartla test</x:v>
      </x:c>
      <x:c r="T526" s="50" t="str">
        <x:f>IF(AND(R526&gt;=85,P526&gt;=16,M526&gt;=12,L526&gt;=12),"Reel + Carousel",IF(AND(R526&gt;=85,P526&gt;=16,N526&gt;=8),"Soru odaklı Reel",IF(AND(R526&gt;=85,P526&gt;=16),"Reel / Short",IF(M526&gt;=11,"Carousel","Kart testi"))))</x:f>
        <x:v>Kart testi</x:v>
      </x:c>
      <x:c r="U526" s="46" t="str">
        <x:v>İstenmeyen taht fikri duygusal ve düşündürücü; tarihsel sonuçların zorunluluğa bağlanması spekülatif kalıyor.</x:v>
      </x:c>
      <x:c r="V526" s="46" t="str">
        <x:f>IF(Q526&lt;=3,"Kaynak kontrolü şart",IF(Q526=4,"Kaynak kontrolü önerilir","Standart doğrulama"))</x:f>
        <x:v>Kaynak kontrolü şart</x:v>
      </x:c>
    </x:row>
    <x:row r="527" ht="24" customHeight="1">
      <x:c r="A527" s="48" t="n">
        <x:f>COUNTIF($R$2:$R$751,"&gt;"&amp;R527)+COUNTIF($R$2:R527,R527)</x:f>
        <x:v>526</x:v>
      </x:c>
      <x:c r="B527" s="48" t="n">
        <x:v>1358</x:v>
      </x:c>
      <x:c r="C527" s="46" t="str">
        <x:v>Kabile ve liderlik</x:v>
      </x:c>
      <x:c r="D527" s="34" t="str">
        <x:v>Finans</x:v>
      </x:c>
      <x:c r="E527" s="34" t="str">
        <x:v>Pazarlama</x:v>
      </x:c>
      <x:c r="F527" s="34" t="str">
        <x:v>Unutulmaz Markalar</x:v>
      </x:c>
      <x:c r="G527" s="34" t="str">
        <x:v>Seth Godin</x:v>
      </x:c>
      <x:c r="H527" s="50" t="str">
        <x:v>1</x:v>
      </x:c>
      <x:c r="I527" s="50" t="str">
        <x:v>Temel</x:v>
      </x:c>
      <x:c r="J527" s="51" t="n">
        <x:v>11</x:v>
      </x:c>
      <x:c r="K527" s="51" t="n">
        <x:v>6</x:v>
      </x:c>
      <x:c r="L527" s="51" t="n">
        <x:v>10</x:v>
      </x:c>
      <x:c r="M527" s="51" t="n">
        <x:v>12</x:v>
      </x:c>
      <x:c r="N527" s="51" t="n">
        <x:v>9</x:v>
      </x:c>
      <x:c r="O527" s="51" t="n">
        <x:v>6</x:v>
      </x:c>
      <x:c r="P527" s="51" t="n">
        <x:v>14</x:v>
      </x:c>
      <x:c r="Q527" s="51" t="n">
        <x:v>4</x:v>
      </x:c>
      <x:c r="R527" s="52" t="n">
        <x:f>SUM(J527:Q527)</x:f>
        <x:v>72</x:v>
      </x:c>
      <x:c r="S527" s="50" t="str">
        <x:f>IF(R527&gt;='Rubrik'!$B$17,"Öncelikli video",IF(R527&gt;='Rubrik'!$B$18,"Video kuyruğu",IF(R527&gt;='Rubrik'!$B$19,"Revize et",IF(R527&gt;='Rubrik'!$B$20,"Kartla test","Düşük öncelik"))))</x:f>
        <x:v>Kartla test</x:v>
      </x:c>
      <x:c r="T527" s="50" t="str">
        <x:f>IF(AND(R527&gt;=85,P527&gt;=16,M527&gt;=12,L527&gt;=12),"Reel + Carousel",IF(AND(R527&gt;=85,P527&gt;=16,N527&gt;=8),"Soru odaklı Reel",IF(AND(R527&gt;=85,P527&gt;=16),"Reel / Short",IF(M527&gt;=11,"Carousel","Kart testi"))))</x:f>
        <x:v>Carousel</x:v>
      </x:c>
      <x:c r="U527" s="46" t="str">
        <x:v>Unvansız liderlik ve internet kabilesi iyi sohbet açıyor; anlatı somut bir topluluk örneği olmadan genel kalıyor.</x:v>
      </x:c>
      <x:c r="V527" s="46" t="str">
        <x:f>IF(Q527&lt;=3,"Kaynak kontrolü şart",IF(Q527=4,"Kaynak kontrolü önerilir","Standart doğrulama"))</x:f>
        <x:v>Kaynak kontrolü önerilir</x:v>
      </x:c>
    </x:row>
    <x:row r="528" ht="24" customHeight="1">
      <x:c r="A528" s="48" t="n">
        <x:f>COUNTIF($R$2:$R$751,"&gt;"&amp;R528)+COUNTIF($R$2:R528,R528)</x:f>
        <x:v>527</x:v>
      </x:c>
      <x:c r="B528" s="48" t="n">
        <x:v>1647</x:v>
      </x:c>
      <x:c r="C528" s="46" t="str">
        <x:v>Ortak ağrı — yalnızlığı aşmanın beklenmedik yolu</x:v>
      </x:c>
      <x:c r="D528" s="34" t="str">
        <x:v>Psikoloji</x:v>
      </x:c>
      <x:c r="E528" s="34" t="str">
        <x:v>Nörobilim</x:v>
      </x:c>
      <x:c r="F528" s="34" t="str">
        <x:v>Çölde Yürümek</x:v>
      </x:c>
      <x:c r="G528" s="34" t="str">
        <x:v>Brené Brown</x:v>
      </x:c>
      <x:c r="H528" s="50" t="str">
        <x:v>1</x:v>
      </x:c>
      <x:c r="I528" s="50" t="str">
        <x:v>Temel</x:v>
      </x:c>
      <x:c r="J528" s="51" t="n">
        <x:v>10</x:v>
      </x:c>
      <x:c r="K528" s="51" t="n">
        <x:v>8</x:v>
      </x:c>
      <x:c r="L528" s="51" t="n">
        <x:v>10</x:v>
      </x:c>
      <x:c r="M528" s="51" t="n">
        <x:v>11</x:v>
      </x:c>
      <x:c r="N528" s="51" t="n">
        <x:v>7</x:v>
      </x:c>
      <x:c r="O528" s="51" t="n">
        <x:v>7</x:v>
      </x:c>
      <x:c r="P528" s="51" t="n">
        <x:v>14</x:v>
      </x:c>
      <x:c r="Q528" s="51" t="n">
        <x:v>5</x:v>
      </x:c>
      <x:c r="R528" s="52" t="n">
        <x:f>SUM(J528:Q528)</x:f>
        <x:v>72</x:v>
      </x:c>
      <x:c r="S528" s="50" t="str">
        <x:f>IF(R528&gt;='Rubrik'!$B$17,"Öncelikli video",IF(R528&gt;='Rubrik'!$B$18,"Video kuyruğu",IF(R528&gt;='Rubrik'!$B$19,"Revize et",IF(R528&gt;='Rubrik'!$B$20,"Kartla test","Düşük öncelik"))))</x:f>
        <x:v>Kartla test</x:v>
      </x:c>
      <x:c r="T528" s="50" t="str">
        <x:f>IF(AND(R528&gt;=85,P528&gt;=16,M528&gt;=12,L528&gt;=12),"Reel + Carousel",IF(AND(R528&gt;=85,P528&gt;=16,N528&gt;=8),"Soru odaklı Reel",IF(AND(R528&gt;=85,P528&gt;=16),"Reel / Short",IF(M528&gt;=11,"Carousel","Kart testi"))))</x:f>
        <x:v>Carousel</x:v>
      </x:c>
      <x:c r="U528" s="46" t="str">
        <x:v>Somut sahne ve sayısal ayrıntı güçlü bir video açılışı sağlıyor; paylaşılabilirlik geliştirilmeli.</x:v>
      </x:c>
      <x:c r="V528" s="46" t="str">
        <x:f>IF(Q528&lt;=3,"Kaynak kontrolü şart",IF(Q528=4,"Kaynak kontrolü önerilir","Standart doğrulama"))</x:f>
        <x:v>Standart doğrulama</x:v>
      </x:c>
    </x:row>
    <x:row r="529" ht="24" customHeight="1">
      <x:c r="A529" s="48" t="n">
        <x:f>COUNTIF($R$2:$R$751,"&gt;"&amp;R529)+COUNTIF($R$2:R529,R529)</x:f>
        <x:v>528</x:v>
      </x:c>
      <x:c r="B529" s="48" t="n">
        <x:v>1083</x:v>
      </x:c>
      <x:c r="C529" s="46" t="str">
        <x:v>Volan etkisi</x:v>
      </x:c>
      <x:c r="D529" s="34" t="str">
        <x:v>Verimlilik</x:v>
      </x:c>
      <x:c r="E529" s="34" t="str">
        <x:v>İş Dünyası</x:v>
      </x:c>
      <x:c r="F529" s="34" t="str">
        <x:v>Good to Great</x:v>
      </x:c>
      <x:c r="G529" s="34" t="str">
        <x:v>Jim Collins</x:v>
      </x:c>
      <x:c r="H529" s="50" t="str">
        <x:v>1</x:v>
      </x:c>
      <x:c r="I529" s="50" t="str">
        <x:v>Temel</x:v>
      </x:c>
      <x:c r="J529" s="51" t="n">
        <x:v>12</x:v>
      </x:c>
      <x:c r="K529" s="51" t="n">
        <x:v>7</x:v>
      </x:c>
      <x:c r="L529" s="51" t="n">
        <x:v>9</x:v>
      </x:c>
      <x:c r="M529" s="51" t="n">
        <x:v>13</x:v>
      </x:c>
      <x:c r="N529" s="51" t="n">
        <x:v>8</x:v>
      </x:c>
      <x:c r="O529" s="51" t="n">
        <x:v>6</x:v>
      </x:c>
      <x:c r="P529" s="51" t="n">
        <x:v>14</x:v>
      </x:c>
      <x:c r="Q529" s="51" t="n">
        <x:v>3</x:v>
      </x:c>
      <x:c r="R529" s="52" t="n">
        <x:f>SUM(J529:Q529)</x:f>
        <x:v>72</x:v>
      </x:c>
      <x:c r="S529" s="50" t="str">
        <x:f>IF(R529&gt;='Rubrik'!$B$17,"Öncelikli video",IF(R529&gt;='Rubrik'!$B$18,"Video kuyruğu",IF(R529&gt;='Rubrik'!$B$19,"Revize et",IF(R529&gt;='Rubrik'!$B$20,"Kartla test","Düşük öncelik"))))</x:f>
        <x:v>Kartla test</x:v>
      </x:c>
      <x:c r="T529" s="50" t="str">
        <x:f>IF(AND(R529&gt;=85,P529&gt;=16,M529&gt;=12,L529&gt;=12),"Reel + Carousel",IF(AND(R529&gt;=85,P529&gt;=16,N529&gt;=8),"Soru odaklı Reel",IF(AND(R529&gt;=85,P529&gt;=16),"Reel / Short",IF(M529&gt;=11,"Carousel","Kart testi"))))</x:f>
        <x:v>Carousel</x:v>
      </x:c>
      <x:c r="U529" s="46" t="str">
        <x:v>Ağır volanın ivmesi iyi bir görsel metafor; şirket başarısını tek ilkeye indirmesi güveni sınırlıyor.</x:v>
      </x:c>
      <x:c r="V529" s="46" t="str">
        <x:f>IF(Q529&lt;=3,"Kaynak kontrolü şart",IF(Q529=4,"Kaynak kontrolü önerilir","Standart doğrulama"))</x:f>
        <x:v>Kaynak kontrolü şart</x:v>
      </x:c>
    </x:row>
    <x:row r="530" ht="24" customHeight="1">
      <x:c r="A530" s="48" t="n">
        <x:f>COUNTIF($R$2:$R$751,"&gt;"&amp;R530)+COUNTIF($R$2:R530,R530)</x:f>
        <x:v>529</x:v>
      </x:c>
      <x:c r="B530" s="48" t="n">
        <x:v>1594</x:v>
      </x:c>
      <x:c r="C530" s="46" t="str">
        <x:v>Gluten ve beyin — beklenmedik bağlantı</x:v>
      </x:c>
      <x:c r="D530" s="34" t="str">
        <x:v>Sağlık</x:v>
      </x:c>
      <x:c r="E530" s="34" t="str">
        <x:v>Sağlık</x:v>
      </x:c>
      <x:c r="F530" s="34" t="str">
        <x:v>Beyin ve Diyet</x:v>
      </x:c>
      <x:c r="G530" s="34" t="str">
        <x:v>David Perlmutter</x:v>
      </x:c>
      <x:c r="H530" s="50" t="str">
        <x:v>1</x:v>
      </x:c>
      <x:c r="I530" s="50" t="str">
        <x:v>Temel</x:v>
      </x:c>
      <x:c r="J530" s="51" t="n">
        <x:v>12</x:v>
      </x:c>
      <x:c r="K530" s="51" t="n">
        <x:v>7</x:v>
      </x:c>
      <x:c r="L530" s="51" t="n">
        <x:v>12</x:v>
      </x:c>
      <x:c r="M530" s="51" t="n">
        <x:v>13</x:v>
      </x:c>
      <x:c r="N530" s="51" t="n">
        <x:v>8</x:v>
      </x:c>
      <x:c r="O530" s="51" t="n">
        <x:v>6</x:v>
      </x:c>
      <x:c r="P530" s="51" t="n">
        <x:v>13</x:v>
      </x:c>
      <x:c r="Q530" s="51" t="n">
        <x:v>1</x:v>
      </x:c>
      <x:c r="R530" s="52" t="n">
        <x:f>SUM(J530:Q530)</x:f>
        <x:v>72</x:v>
      </x:c>
      <x:c r="S530" s="50" t="str">
        <x:f>IF(R530&gt;='Rubrik'!$B$17,"Öncelikli video",IF(R530&gt;='Rubrik'!$B$18,"Video kuyruğu",IF(R530&gt;='Rubrik'!$B$19,"Revize et",IF(R530&gt;='Rubrik'!$B$20,"Kartla test","Düşük öncelik"))))</x:f>
        <x:v>Kartla test</x:v>
      </x:c>
      <x:c r="T530" s="50" t="str">
        <x:f>IF(AND(R530&gt;=85,P530&gt;=16,M530&gt;=12,L530&gt;=12),"Reel + Carousel",IF(AND(R530&gt;=85,P530&gt;=16,N530&gt;=8),"Soru odaklı Reel",IF(AND(R530&gt;=85,P530&gt;=16),"Reel / Short",IF(M530&gt;=11,"Carousel","Kart testi"))))</x:f>
        <x:v>Carousel</x:v>
      </x:c>
      <x:c r="U530" s="46" t="str">
        <x:v>Glüteni beyin sisiyle bağlayan dramatik anlatı dikkat çeker; geniş tıbbi iddialar nedeniyle güven çok düşük.</x:v>
      </x:c>
      <x:c r="V530" s="46" t="str">
        <x:f>IF(Q530&lt;=3,"Kaynak kontrolü şart",IF(Q530=4,"Kaynak kontrolü önerilir","Standart doğrulama"))</x:f>
        <x:v>Kaynak kontrolü şart</x:v>
      </x:c>
    </x:row>
    <x:row r="531" ht="24" customHeight="1">
      <x:c r="A531" s="48" t="n">
        <x:f>COUNTIF($R$2:$R$751,"&gt;"&amp;R531)+COUNTIF($R$2:R531,R531)</x:f>
        <x:v>530</x:v>
      </x:c>
      <x:c r="B531" s="48" t="n">
        <x:v>1449</x:v>
      </x:c>
      <x:c r="C531" s="46" t="str">
        <x:v>Stoacı saat — her anı bilinçli yaşamak</x:v>
      </x:c>
      <x:c r="D531" s="34" t="str">
        <x:v>Felsefe</x:v>
      </x:c>
      <x:c r="E531" s="34" t="str">
        <x:v>Felsefe</x:v>
      </x:c>
      <x:c r="F531" s="34" t="str">
        <x:v>Hayatın Kısalığı Üzerine</x:v>
      </x:c>
      <x:c r="G531" s="34" t="str">
        <x:v>Seneca</x:v>
      </x:c>
      <x:c r="H531" s="50" t="str">
        <x:v>1</x:v>
      </x:c>
      <x:c r="I531" s="50" t="str">
        <x:v>Temel</x:v>
      </x:c>
      <x:c r="J531" s="51" t="n">
        <x:v>10</x:v>
      </x:c>
      <x:c r="K531" s="51" t="n">
        <x:v>5</x:v>
      </x:c>
      <x:c r="L531" s="51" t="n">
        <x:v>10</x:v>
      </x:c>
      <x:c r="M531" s="51" t="n">
        <x:v>15</x:v>
      </x:c>
      <x:c r="N531" s="51" t="n">
        <x:v>8</x:v>
      </x:c>
      <x:c r="O531" s="51" t="n">
        <x:v>6</x:v>
      </x:c>
      <x:c r="P531" s="51" t="n">
        <x:v>13</x:v>
      </x:c>
      <x:c r="Q531" s="51" t="n">
        <x:v>5</x:v>
      </x:c>
      <x:c r="R531" s="52" t="n">
        <x:f>SUM(J531:Q531)</x:f>
        <x:v>72</x:v>
      </x:c>
      <x:c r="S531" s="50" t="str">
        <x:f>IF(R531&gt;='Rubrik'!$B$17,"Öncelikli video",IF(R531&gt;='Rubrik'!$B$18,"Video kuyruğu",IF(R531&gt;='Rubrik'!$B$19,"Revize et",IF(R531&gt;='Rubrik'!$B$20,"Kartla test","Düşük öncelik"))))</x:f>
        <x:v>Kartla test</x:v>
      </x:c>
      <x:c r="T531" s="50" t="str">
        <x:f>IF(AND(R531&gt;=85,P531&gt;=16,M531&gt;=12,L531&gt;=12),"Reel + Carousel",IF(AND(R531&gt;=85,P531&gt;=16,N531&gt;=8),"Soru odaklı Reel",IF(AND(R531&gt;=85,P531&gt;=16),"Reel / Short",IF(M531&gt;=11,"Carousel","Kart testi"))))</x:f>
        <x:v>Carousel</x:v>
      </x:c>
      <x:c r="U531" s="46" t="str">
        <x:v>Stoacı günlük denetim üç net soruyla doğrudan uygulanır; özellikle kaydetme ve sesli not değeri yüksek.</x:v>
      </x:c>
      <x:c r="V531" s="46" t="str">
        <x:f>IF(Q531&lt;=3,"Kaynak kontrolü şart",IF(Q531=4,"Kaynak kontrolü önerilir","Standart doğrulama"))</x:f>
        <x:v>Standart doğrulama</x:v>
      </x:c>
    </x:row>
    <x:row r="532" ht="24" customHeight="1">
      <x:c r="A532" s="48" t="n">
        <x:f>COUNTIF($R$2:$R$751,"&gt;"&amp;R532)+COUNTIF($R$2:R532,R532)</x:f>
        <x:v>531</x:v>
      </x:c>
      <x:c r="B532" s="48" t="n">
        <x:v>1114</x:v>
      </x:c>
      <x:c r="C532" s="46" t="str">
        <x:v>En iyi olmak kimin için?</x:v>
      </x:c>
      <x:c r="D532" s="34" t="str">
        <x:v>Finans</x:v>
      </x:c>
      <x:c r="E532" s="34" t="str">
        <x:v>Pazarlama</x:v>
      </x:c>
      <x:c r="F532" s="34" t="str">
        <x:v>Purple Cow</x:v>
      </x:c>
      <x:c r="G532" s="34" t="str">
        <x:v>Seth Godin</x:v>
      </x:c>
      <x:c r="H532" s="50" t="str">
        <x:v>1</x:v>
      </x:c>
      <x:c r="I532" s="50" t="str">
        <x:v>Temel</x:v>
      </x:c>
      <x:c r="J532" s="51" t="n">
        <x:v>12</x:v>
      </x:c>
      <x:c r="K532" s="51" t="n">
        <x:v>6</x:v>
      </x:c>
      <x:c r="L532" s="51" t="n">
        <x:v>9</x:v>
      </x:c>
      <x:c r="M532" s="51" t="n">
        <x:v>14</x:v>
      </x:c>
      <x:c r="N532" s="51" t="n">
        <x:v>9</x:v>
      </x:c>
      <x:c r="O532" s="51" t="n">
        <x:v>5</x:v>
      </x:c>
      <x:c r="P532" s="51" t="n">
        <x:v>13</x:v>
      </x:c>
      <x:c r="Q532" s="51" t="n">
        <x:v>4</x:v>
      </x:c>
      <x:c r="R532" s="52" t="n">
        <x:f>SUM(J532:Q532)</x:f>
        <x:v>72</x:v>
      </x:c>
      <x:c r="S532" s="50" t="str">
        <x:f>IF(R532&gt;='Rubrik'!$B$17,"Öncelikli video",IF(R532&gt;='Rubrik'!$B$18,"Video kuyruğu",IF(R532&gt;='Rubrik'!$B$19,"Revize et",IF(R532&gt;='Rubrik'!$B$20,"Kartla test","Düşük öncelik"))))</x:f>
        <x:v>Kartla test</x:v>
      </x:c>
      <x:c r="T532" s="50" t="str">
        <x:f>IF(AND(R532&gt;=85,P532&gt;=16,M532&gt;=12,L532&gt;=12),"Reel + Carousel",IF(AND(R532&gt;=85,P532&gt;=16,N532&gt;=8),"Soru odaklı Reel",IF(AND(R532&gt;=85,P532&gt;=16),"Reel / Short",IF(M532&gt;=11,"Carousel","Kart testi"))))</x:f>
        <x:v>Carousel</x:v>
      </x:c>
      <x:c r="U532" s="46" t="str">
        <x:v>Kimin için en iyi sorusu niş seçimini somutlaştırır; hikâyeden çok çerçeve olduğu için duygu düşüktür.</x:v>
      </x:c>
      <x:c r="V532" s="46" t="str">
        <x:f>IF(Q532&lt;=3,"Kaynak kontrolü şart",IF(Q532=4,"Kaynak kontrolü önerilir","Standart doğrulama"))</x:f>
        <x:v>Kaynak kontrolü önerilir</x:v>
      </x:c>
    </x:row>
    <x:row r="533" ht="24" customHeight="1">
      <x:c r="A533" s="48" t="n">
        <x:f>COUNTIF($R$2:$R$751,"&gt;"&amp;R533)+COUNTIF($R$2:R533,R533)</x:f>
        <x:v>532</x:v>
      </x:c>
      <x:c r="B533" s="48" t="n">
        <x:v>1177</x:v>
      </x:c>
      <x:c r="C533" s="46" t="str">
        <x:v>80/20 ve zaman yönetimi</x:v>
      </x:c>
      <x:c r="D533" s="34" t="str">
        <x:v>Verimlilik</x:v>
      </x:c>
      <x:c r="E533" s="34" t="str">
        <x:v>Verimlilik</x:v>
      </x:c>
      <x:c r="F533" s="34" t="str">
        <x:v>Pareto İlkesi</x:v>
      </x:c>
      <x:c r="G533" s="34" t="str">
        <x:v>Richard Koch</x:v>
      </x:c>
      <x:c r="H533" s="50" t="str">
        <x:v>1</x:v>
      </x:c>
      <x:c r="I533" s="50" t="str">
        <x:v>Temel</x:v>
      </x:c>
      <x:c r="J533" s="51" t="n">
        <x:v>12</x:v>
      </x:c>
      <x:c r="K533" s="51" t="n">
        <x:v>7</x:v>
      </x:c>
      <x:c r="L533" s="51" t="n">
        <x:v>9</x:v>
      </x:c>
      <x:c r="M533" s="51" t="n">
        <x:v>14</x:v>
      </x:c>
      <x:c r="N533" s="51" t="n">
        <x:v>9</x:v>
      </x:c>
      <x:c r="O533" s="51" t="n">
        <x:v>6</x:v>
      </x:c>
      <x:c r="P533" s="51" t="n">
        <x:v>13</x:v>
      </x:c>
      <x:c r="Q533" s="51" t="n">
        <x:v>2</x:v>
      </x:c>
      <x:c r="R533" s="52" t="n">
        <x:f>SUM(J533:Q533)</x:f>
        <x:v>72</x:v>
      </x:c>
      <x:c r="S533" s="50" t="str">
        <x:f>IF(R533&gt;='Rubrik'!$B$17,"Öncelikli video",IF(R533&gt;='Rubrik'!$B$18,"Video kuyruğu",IF(R533&gt;='Rubrik'!$B$19,"Revize et",IF(R533&gt;='Rubrik'!$B$20,"Kartla test","Düşük öncelik"))))</x:f>
        <x:v>Kartla test</x:v>
      </x:c>
      <x:c r="T533" s="50" t="str">
        <x:f>IF(AND(R533&gt;=85,P533&gt;=16,M533&gt;=12,L533&gt;=12),"Reel + Carousel",IF(AND(R533&gt;=85,P533&gt;=16,N533&gt;=8),"Soru odaklı Reel",IF(AND(R533&gt;=85,P533&gt;=16),"Reel / Short",IF(M533&gt;=11,"Carousel","Kart testi"))))</x:f>
        <x:v>Carousel</x:v>
      </x:c>
      <x:c r="U533" s="46" t="str">
        <x:v>Yapılmayacaklar listesi güçlü bir kayıt fikri; Koch'un kişisel sonuçları bağımsız veri olmadan sunuluyor.</x:v>
      </x:c>
      <x:c r="V533" s="46" t="str">
        <x:f>IF(Q533&lt;=3,"Kaynak kontrolü şart",IF(Q533=4,"Kaynak kontrolü önerilir","Standart doğrulama"))</x:f>
        <x:v>Kaynak kontrolü şart</x:v>
      </x:c>
    </x:row>
    <x:row r="534" ht="24" customHeight="1">
      <x:c r="A534" s="48" t="n">
        <x:f>COUNTIF($R$2:$R$751,"&gt;"&amp;R534)+COUNTIF($R$2:R534,R534)</x:f>
        <x:v>533</x:v>
      </x:c>
      <x:c r="B534" s="48" t="n">
        <x:v>1243</x:v>
      </x:c>
      <x:c r="C534" s="46" t="str">
        <x:v>Bahçedeki bezelyenin sırrı</x:v>
      </x:c>
      <x:c r="D534" s="34" t="str">
        <x:v>Verimlilik</x:v>
      </x:c>
      <x:c r="E534" s="34" t="str">
        <x:v>Verimlilik</x:v>
      </x:c>
      <x:c r="F534" s="34" t="str">
        <x:v>Pareto İlkesi</x:v>
      </x:c>
      <x:c r="G534" s="34" t="str">
        <x:v>Richard Koch</x:v>
      </x:c>
      <x:c r="H534" s="50" t="str">
        <x:v>1</x:v>
      </x:c>
      <x:c r="I534" s="50" t="str">
        <x:v>Temel</x:v>
      </x:c>
      <x:c r="J534" s="51" t="n">
        <x:v>12</x:v>
      </x:c>
      <x:c r="K534" s="51" t="n">
        <x:v>7</x:v>
      </x:c>
      <x:c r="L534" s="51" t="n">
        <x:v>9</x:v>
      </x:c>
      <x:c r="M534" s="51" t="n">
        <x:v>13</x:v>
      </x:c>
      <x:c r="N534" s="51" t="n">
        <x:v>9</x:v>
      </x:c>
      <x:c r="O534" s="51" t="n">
        <x:v>7</x:v>
      </x:c>
      <x:c r="P534" s="51" t="n">
        <x:v>13</x:v>
      </x:c>
      <x:c r="Q534" s="51" t="n">
        <x:v>2</x:v>
      </x:c>
      <x:c r="R534" s="52" t="n">
        <x:f>SUM(J534:Q534)</x:f>
        <x:v>72</x:v>
      </x:c>
      <x:c r="S534" s="50" t="str">
        <x:f>IF(R534&gt;='Rubrik'!$B$17,"Öncelikli video",IF(R534&gt;='Rubrik'!$B$18,"Video kuyruğu",IF(R534&gt;='Rubrik'!$B$19,"Revize et",IF(R534&gt;='Rubrik'!$B$20,"Kartla test","Düşük öncelik"))))</x:f>
        <x:v>Kartla test</x:v>
      </x:c>
      <x:c r="T534" s="50" t="str">
        <x:f>IF(AND(R534&gt;=85,P534&gt;=16,M534&gt;=12,L534&gt;=12),"Reel + Carousel",IF(AND(R534&gt;=85,P534&gt;=16,N534&gt;=8),"Soru odaklı Reel",IF(AND(R534&gt;=85,P534&gt;=16),"Reel / Short",IF(M534&gt;=11,"Carousel","Kart testi"))))</x:f>
        <x:v>Carousel</x:v>
      </x:c>
      <x:c r="U534" s="46" t="str">
        <x:v>Bezelye ile 80/20 ilkesi güçlü görselleşir; 1176'nın tekrarı ve bahçe anekdotu doğruluk riski taşır.</x:v>
      </x:c>
      <x:c r="V534" s="46" t="str">
        <x:f>IF(Q534&lt;=3,"Kaynak kontrolü şart",IF(Q534=4,"Kaynak kontrolü önerilir","Standart doğrulama"))</x:f>
        <x:v>Kaynak kontrolü şart</x:v>
      </x:c>
    </x:row>
    <x:row r="535" ht="24" customHeight="1">
      <x:c r="A535" s="48" t="n">
        <x:f>COUNTIF($R$2:$R$751,"&gt;"&amp;R535)+COUNTIF($R$2:R535,R535)</x:f>
        <x:v>534</x:v>
      </x:c>
      <x:c r="B535" s="48" t="n">
        <x:v>1361</x:v>
      </x:c>
      <x:c r="C535" s="46" t="str">
        <x:v>Uzak iyileşme deneyleri</x:v>
      </x:c>
      <x:c r="D535" s="34" t="str">
        <x:v>Psikoloji</x:v>
      </x:c>
      <x:c r="E535" s="34" t="str">
        <x:v>Farkındalık</x:v>
      </x:c>
      <x:c r="F535" s="34" t="str">
        <x:v>Niyet</x:v>
      </x:c>
      <x:c r="G535" s="34" t="str">
        <x:v>Lynne McTaggart</x:v>
      </x:c>
      <x:c r="H535" s="50" t="str">
        <x:v>1</x:v>
      </x:c>
      <x:c r="I535" s="50" t="str">
        <x:v>Temel</x:v>
      </x:c>
      <x:c r="J535" s="51" t="n">
        <x:v>14</x:v>
      </x:c>
      <x:c r="K535" s="51" t="n">
        <x:v>8</x:v>
      </x:c>
      <x:c r="L535" s="51" t="n">
        <x:v>12</x:v>
      </x:c>
      <x:c r="M535" s="51" t="n">
        <x:v>5</x:v>
      </x:c>
      <x:c r="N535" s="51" t="n">
        <x:v>9</x:v>
      </x:c>
      <x:c r="O535" s="51" t="n">
        <x:v>7</x:v>
      </x:c>
      <x:c r="P535" s="51" t="n">
        <x:v>16</x:v>
      </x:c>
      <x:c r="Q535" s="51" t="n">
        <x:v>0</x:v>
      </x:c>
      <x:c r="R535" s="52" t="n">
        <x:f>SUM(J535:Q535)</x:f>
        <x:v>71</x:v>
      </x:c>
      <x:c r="S535" s="50" t="str">
        <x:f>IF(R535&gt;='Rubrik'!$B$17,"Öncelikli video",IF(R535&gt;='Rubrik'!$B$18,"Video kuyruğu",IF(R535&gt;='Rubrik'!$B$19,"Revize et",IF(R535&gt;='Rubrik'!$B$20,"Kartla test","Düşük öncelik"))))</x:f>
        <x:v>Kartla test</x:v>
      </x:c>
      <x:c r="T535" s="50" t="str">
        <x:f>IF(AND(R535&gt;=85,P535&gt;=16,M535&gt;=12,L535&gt;=12),"Reel + Carousel",IF(AND(R535&gt;=85,P535&gt;=16,N535&gt;=8),"Soru odaklı Reel",IF(AND(R535&gt;=85,P535&gt;=16),"Reel / Short",IF(M535&gt;=11,"Carousel","Kart testi"))))</x:f>
        <x:v>Kart testi</x:v>
      </x:c>
      <x:c r="U535" s="46" t="str">
        <x:v>Uzak dua ile hastanın iyileşmesi duygusal ama tıbbi kanıt uzlaşısına aykırı; sağlık içeriği olarak yayımlanmamalı.</x:v>
      </x:c>
      <x:c r="V535" s="46" t="str">
        <x:f>IF(Q535&lt;=3,"Kaynak kontrolü şart",IF(Q535=4,"Kaynak kontrolü önerilir","Standart doğrulama"))</x:f>
        <x:v>Kaynak kontrolü şart</x:v>
      </x:c>
    </x:row>
    <x:row r="536" ht="24" customHeight="1">
      <x:c r="A536" s="48" t="n">
        <x:f>COUNTIF($R$2:$R$751,"&gt;"&amp;R536)+COUNTIF($R$2:R536,R536)</x:f>
        <x:v>535</x:v>
      </x:c>
      <x:c r="B536" s="48" t="n">
        <x:v>1272</x:v>
      </x:c>
      <x:c r="C536" s="46" t="str">
        <x:v>Çocukluk ihmalinin iz bıraktığı beyin</x:v>
      </x:c>
      <x:c r="D536" s="34" t="str">
        <x:v>Sağlık</x:v>
      </x:c>
      <x:c r="E536" s="34" t="str">
        <x:v>Sağlık</x:v>
      </x:c>
      <x:c r="F536" s="34" t="str">
        <x:v>Bedenin Sesi</x:v>
      </x:c>
      <x:c r="G536" s="34" t="str">
        <x:v>Bessel van der Kolk</x:v>
      </x:c>
      <x:c r="H536" s="50" t="str">
        <x:v>1</x:v>
      </x:c>
      <x:c r="I536" s="50" t="str">
        <x:v>Temel</x:v>
      </x:c>
      <x:c r="J536" s="51" t="n">
        <x:v>13</x:v>
      </x:c>
      <x:c r="K536" s="51" t="n">
        <x:v>8</x:v>
      </x:c>
      <x:c r="L536" s="51" t="n">
        <x:v>11</x:v>
      </x:c>
      <x:c r="M536" s="51" t="n">
        <x:v>9</x:v>
      </x:c>
      <x:c r="N536" s="51" t="n">
        <x:v>8</x:v>
      </x:c>
      <x:c r="O536" s="51" t="n">
        <x:v>6</x:v>
      </x:c>
      <x:c r="P536" s="51" t="n">
        <x:v>15</x:v>
      </x:c>
      <x:c r="Q536" s="51" t="n">
        <x:v>1</x:v>
      </x:c>
      <x:c r="R536" s="52" t="n">
        <x:f>SUM(J536:Q536)</x:f>
        <x:v>71</x:v>
      </x:c>
      <x:c r="S536" s="50" t="str">
        <x:f>IF(R536&gt;='Rubrik'!$B$17,"Öncelikli video",IF(R536&gt;='Rubrik'!$B$18,"Video kuyruğu",IF(R536&gt;='Rubrik'!$B$19,"Revize et",IF(R536&gt;='Rubrik'!$B$20,"Kartla test","Düşük öncelik"))))</x:f>
        <x:v>Kartla test</x:v>
      </x:c>
      <x:c r="T536" s="50" t="str">
        <x:f>IF(AND(R536&gt;=85,P536&gt;=16,M536&gt;=12,L536&gt;=12),"Reel + Carousel",IF(AND(R536&gt;=85,P536&gt;=16,N536&gt;=8),"Soru odaklı Reel",IF(AND(R536&gt;=85,P536&gt;=16),"Reel / Short",IF(M536&gt;=11,"Carousel","Kart testi"))))</x:f>
        <x:v>Kart testi</x:v>
      </x:c>
      <x:c r="U536" s="46" t="str">
        <x:v>Çocukluk izleri duygusal açıdan güçlü; beyinlerin aynı görünmesi ve bölge küçülmesi iddiaları aşırı kesin.</x:v>
      </x:c>
      <x:c r="V536" s="46" t="str">
        <x:f>IF(Q536&lt;=3,"Kaynak kontrolü şart",IF(Q536=4,"Kaynak kontrolü önerilir","Standart doğrulama"))</x:f>
        <x:v>Kaynak kontrolü şart</x:v>
      </x:c>
    </x:row>
    <x:row r="537" ht="24" customHeight="1">
      <x:c r="A537" s="48" t="n">
        <x:f>COUNTIF($R$2:$R$751,"&gt;"&amp;R537)+COUNTIF($R$2:R537,R537)</x:f>
        <x:v>536</x:v>
      </x:c>
      <x:c r="B537" s="48" t="n">
        <x:v>1458</x:v>
      </x:c>
      <x:c r="C537" s="46" t="str">
        <x:v>Ayna nöronlar ve empati biyolojisi</x:v>
      </x:c>
      <x:c r="D537" s="34" t="str">
        <x:v>Psikoloji</x:v>
      </x:c>
      <x:c r="E537" s="34" t="str">
        <x:v>Nörobilim</x:v>
      </x:c>
      <x:c r="F537" s="34" t="str">
        <x:v>Beynin Sırları</x:v>
      </x:c>
      <x:c r="G537" s="34" t="str">
        <x:v>V.S. Ramachandran</x:v>
      </x:c>
      <x:c r="H537" s="50" t="str">
        <x:v>1</x:v>
      </x:c>
      <x:c r="I537" s="50" t="str">
        <x:v>Temel</x:v>
      </x:c>
      <x:c r="J537" s="51" t="n">
        <x:v>11</x:v>
      </x:c>
      <x:c r="K537" s="51" t="n">
        <x:v>6</x:v>
      </x:c>
      <x:c r="L537" s="51" t="n">
        <x:v>11</x:v>
      </x:c>
      <x:c r="M537" s="51" t="n">
        <x:v>11</x:v>
      </x:c>
      <x:c r="N537" s="51" t="n">
        <x:v>8</x:v>
      </x:c>
      <x:c r="O537" s="51" t="n">
        <x:v>6</x:v>
      </x:c>
      <x:c r="P537" s="51" t="n">
        <x:v>15</x:v>
      </x:c>
      <x:c r="Q537" s="51" t="n">
        <x:v>3</x:v>
      </x:c>
      <x:c r="R537" s="52" t="n">
        <x:f>SUM(J537:Q537)</x:f>
        <x:v>71</x:v>
      </x:c>
      <x:c r="S537" s="50" t="str">
        <x:f>IF(R537&gt;='Rubrik'!$B$17,"Öncelikli video",IF(R537&gt;='Rubrik'!$B$18,"Video kuyruğu",IF(R537&gt;='Rubrik'!$B$19,"Revize et",IF(R537&gt;='Rubrik'!$B$20,"Kartla test","Düşük öncelik"))))</x:f>
        <x:v>Kartla test</x:v>
      </x:c>
      <x:c r="T537" s="50" t="str">
        <x:f>IF(AND(R537&gt;=85,P537&gt;=16,M537&gt;=12,L537&gt;=12),"Reel + Carousel",IF(AND(R537&gt;=85,P537&gt;=16,N537&gt;=8),"Soru odaklı Reel",IF(AND(R537&gt;=85,P537&gt;=16),"Reel / Short",IF(M537&gt;=11,"Carousel","Kart testi"))))</x:f>
        <x:v>Carousel</x:v>
      </x:c>
      <x:c r="U537" s="46" t="str">
        <x:v>Ayna nöronları ve bulaşıcı esneme tanıdık bir kanca sunuyor; popüler bilim yorumu dikkatli kurulmalı.</x:v>
      </x:c>
      <x:c r="V537" s="46" t="str">
        <x:f>IF(Q537&lt;=3,"Kaynak kontrolü şart",IF(Q537=4,"Kaynak kontrolü önerilir","Standart doğrulama"))</x:f>
        <x:v>Kaynak kontrolü şart</x:v>
      </x:c>
    </x:row>
    <x:row r="538" ht="24" customHeight="1">
      <x:c r="A538" s="48" t="n">
        <x:f>COUNTIF($R$2:$R$751,"&gt;"&amp;R538)+COUNTIF($R$2:R538,R538)</x:f>
        <x:v>537</x:v>
      </x:c>
      <x:c r="B538" s="48" t="n">
        <x:v>1666</x:v>
      </x:c>
      <x:c r="C538" s="46" t="str">
        <x:v>Her adım bir dua — yürürken farkındalık</x:v>
      </x:c>
      <x:c r="D538" s="34" t="str">
        <x:v>Psikoloji</x:v>
      </x:c>
      <x:c r="E538" s="34" t="str">
        <x:v>Farkındalık</x:v>
      </x:c>
      <x:c r="F538" s="34" t="str">
        <x:v>İçsel Barış</x:v>
      </x:c>
      <x:c r="G538" s="34" t="str">
        <x:v>Thich Nhat Hanh</x:v>
      </x:c>
      <x:c r="H538" s="50" t="str">
        <x:v>1</x:v>
      </x:c>
      <x:c r="I538" s="50" t="str">
        <x:v>Temel</x:v>
      </x:c>
      <x:c r="J538" s="51" t="n">
        <x:v>9</x:v>
      </x:c>
      <x:c r="K538" s="51" t="n">
        <x:v>9</x:v>
      </x:c>
      <x:c r="L538" s="51" t="n">
        <x:v>11</x:v>
      </x:c>
      <x:c r="M538" s="51" t="n">
        <x:v>10</x:v>
      </x:c>
      <x:c r="N538" s="51" t="n">
        <x:v>7</x:v>
      </x:c>
      <x:c r="O538" s="51" t="n">
        <x:v>6</x:v>
      </x:c>
      <x:c r="P538" s="51" t="n">
        <x:v>15</x:v>
      </x:c>
      <x:c r="Q538" s="51" t="n">
        <x:v>4</x:v>
      </x:c>
      <x:c r="R538" s="52" t="n">
        <x:f>SUM(J538:Q538)</x:f>
        <x:v>71</x:v>
      </x:c>
      <x:c r="S538" s="50" t="str">
        <x:f>IF(R538&gt;='Rubrik'!$B$17,"Öncelikli video",IF(R538&gt;='Rubrik'!$B$18,"Video kuyruğu",IF(R538&gt;='Rubrik'!$B$19,"Revize et",IF(R538&gt;='Rubrik'!$B$20,"Kartla test","Düşük öncelik"))))</x:f>
        <x:v>Kartla test</x:v>
      </x:c>
      <x:c r="T538" s="50" t="str">
        <x:f>IF(AND(R538&gt;=85,P538&gt;=16,M538&gt;=12,L538&gt;=12),"Reel + Carousel",IF(AND(R538&gt;=85,P538&gt;=16,N538&gt;=8),"Soru odaklı Reel",IF(AND(R538&gt;=85,P538&gt;=16),"Reel / Short",IF(M538&gt;=11,"Carousel","Kart testi"))))</x:f>
        <x:v>Kart testi</x:v>
      </x:c>
      <x:c r="U538" s="46" t="str">
        <x:v>Duygusal karşıtlık paylaşma ve kişisel anlatma isteğini yükseltiyor; olay örgüsü geliştirilmeli.</x:v>
      </x:c>
      <x:c r="V538" s="46" t="str">
        <x:f>IF(Q538&lt;=3,"Kaynak kontrolü şart",IF(Q538=4,"Kaynak kontrolü önerilir","Standart doğrulama"))</x:f>
        <x:v>Kaynak kontrolü önerilir</x:v>
      </x:c>
    </x:row>
    <x:row r="539" ht="24" customHeight="1">
      <x:c r="A539" s="48" t="n">
        <x:f>COUNTIF($R$2:$R$751,"&gt;"&amp;R539)+COUNTIF($R$2:R539,R539)</x:f>
        <x:v>538</x:v>
      </x:c>
      <x:c r="B539" s="48" t="n">
        <x:v>1144</x:v>
      </x:c>
      <x:c r="C539" s="46" t="str">
        <x:v>Köpekbalığı havuzu ve korku</x:v>
      </x:c>
      <x:c r="D539" s="34" t="str">
        <x:v>Büyüme</x:v>
      </x:c>
      <x:c r="E539" s="34" t="str">
        <x:v>Motivasyon</x:v>
      </x:c>
      <x:c r="F539" s="34" t="str">
        <x:v>Fark Yaratmak</x:v>
      </x:c>
      <x:c r="G539" s="34" t="str">
        <x:v>William H. McRaven</x:v>
      </x:c>
      <x:c r="H539" s="50" t="str">
        <x:v>1</x:v>
      </x:c>
      <x:c r="I539" s="50" t="str">
        <x:v>Temel</x:v>
      </x:c>
      <x:c r="J539" s="51" t="n">
        <x:v>14</x:v>
      </x:c>
      <x:c r="K539" s="51" t="n">
        <x:v>8</x:v>
      </x:c>
      <x:c r="L539" s="51" t="n">
        <x:v>10</x:v>
      </x:c>
      <x:c r="M539" s="51" t="n">
        <x:v>8</x:v>
      </x:c>
      <x:c r="N539" s="51" t="n">
        <x:v>9</x:v>
      </x:c>
      <x:c r="O539" s="51" t="n">
        <x:v>7</x:v>
      </x:c>
      <x:c r="P539" s="51" t="n">
        <x:v>15</x:v>
      </x:c>
      <x:c r="Q539" s="51" t="n">
        <x:v>0</x:v>
      </x:c>
      <x:c r="R539" s="52" t="n">
        <x:f>SUM(J539:Q539)</x:f>
        <x:v>71</x:v>
      </x:c>
      <x:c r="S539" s="50" t="str">
        <x:f>IF(R539&gt;='Rubrik'!$B$17,"Öncelikli video",IF(R539&gt;='Rubrik'!$B$18,"Video kuyruğu",IF(R539&gt;='Rubrik'!$B$19,"Revize et",IF(R539&gt;='Rubrik'!$B$20,"Kartla test","Düşük öncelik"))))</x:f>
        <x:v>Kartla test</x:v>
      </x:c>
      <x:c r="T539" s="50" t="str">
        <x:f>IF(AND(R539&gt;=85,P539&gt;=16,M539&gt;=12,L539&gt;=12),"Reel + Carousel",IF(AND(R539&gt;=85,P539&gt;=16,N539&gt;=8),"Soru odaklı Reel",IF(AND(R539&gt;=85,P539&gt;=16),"Reel / Short",IF(M539&gt;=11,"Carousel","Kart testi"))))</x:f>
        <x:v>Kart testi</x:v>
      </x:c>
      <x:c r="U539" s="46" t="str">
        <x:v>Karanlık havuz ve köpekbalığı sinematik; SEAL eğitimi ayrıntısı güvenilir görünmüyor ve doğrulanmadan yayımlanmamalı.</x:v>
      </x:c>
      <x:c r="V539" s="46" t="str">
        <x:f>IF(Q539&lt;=3,"Kaynak kontrolü şart",IF(Q539=4,"Kaynak kontrolü önerilir","Standart doğrulama"))</x:f>
        <x:v>Kaynak kontrolü şart</x:v>
      </x:c>
    </x:row>
    <x:row r="540" ht="24" customHeight="1">
      <x:c r="A540" s="48" t="n">
        <x:f>COUNTIF($R$2:$R$751,"&gt;"&amp;R540)+COUNTIF($R$2:R540,R540)</x:f>
        <x:v>539</x:v>
      </x:c>
      <x:c r="B540" s="48" t="n">
        <x:v>1297</x:v>
      </x:c>
      <x:c r="C540" s="46" t="str">
        <x:v>Tek gemi filosunun zafer sırrı</x:v>
      </x:c>
      <x:c r="D540" s="34" t="str">
        <x:v>Verimlilik</x:v>
      </x:c>
      <x:c r="E540" s="34" t="str">
        <x:v>Verimlilik</x:v>
      </x:c>
      <x:c r="F540" s="34" t="str">
        <x:v>Minimalizm</x:v>
      </x:c>
      <x:c r="G540" s="34" t="str">
        <x:v>Greg McKeown</x:v>
      </x:c>
      <x:c r="H540" s="50" t="str">
        <x:v>1</x:v>
      </x:c>
      <x:c r="I540" s="50" t="str">
        <x:v>Temel</x:v>
      </x:c>
      <x:c r="J540" s="51" t="n">
        <x:v>12</x:v>
      </x:c>
      <x:c r="K540" s="51" t="n">
        <x:v>6</x:v>
      </x:c>
      <x:c r="L540" s="51" t="n">
        <x:v>10</x:v>
      </x:c>
      <x:c r="M540" s="51" t="n">
        <x:v>12</x:v>
      </x:c>
      <x:c r="N540" s="51" t="n">
        <x:v>8</x:v>
      </x:c>
      <x:c r="O540" s="51" t="n">
        <x:v>7</x:v>
      </x:c>
      <x:c r="P540" s="51" t="n">
        <x:v>15</x:v>
      </x:c>
      <x:c r="Q540" s="51" t="n">
        <x:v>1</x:v>
      </x:c>
      <x:c r="R540" s="52" t="n">
        <x:f>SUM(J540:Q540)</x:f>
        <x:v>71</x:v>
      </x:c>
      <x:c r="S540" s="50" t="str">
        <x:f>IF(R540&gt;='Rubrik'!$B$17,"Öncelikli video",IF(R540&gt;='Rubrik'!$B$18,"Video kuyruğu",IF(R540&gt;='Rubrik'!$B$19,"Revize et",IF(R540&gt;='Rubrik'!$B$20,"Kartla test","Düşük öncelik"))))</x:f>
        <x:v>Kartla test</x:v>
      </x:c>
      <x:c r="T540" s="50" t="str">
        <x:f>IF(AND(R540&gt;=85,P540&gt;=16,M540&gt;=12,L540&gt;=12),"Reel + Carousel",IF(AND(R540&gt;=85,P540&gt;=16,N540&gt;=8),"Soru odaklı Reel",IF(AND(R540&gt;=85,P540&gt;=16),"Reel / Short",IF(M540&gt;=11,"Carousel","Kart testi"))))</x:f>
        <x:v>Carousel</x:v>
      </x:c>
      <x:c r="U540" s="46" t="str">
        <x:v>Beş geminin tek hedefe yönelmesi güçlü bir odak metaforu; savaşın adı ve kaynağı verilmediği için güven zayıf.</x:v>
      </x:c>
      <x:c r="V540" s="46" t="str">
        <x:f>IF(Q540&lt;=3,"Kaynak kontrolü şart",IF(Q540=4,"Kaynak kontrolü önerilir","Standart doğrulama"))</x:f>
        <x:v>Kaynak kontrolü şart</x:v>
      </x:c>
    </x:row>
    <x:row r="541" ht="24" customHeight="1">
      <x:c r="A541" s="48" t="n">
        <x:f>COUNTIF($R$2:$R$751,"&gt;"&amp;R541)+COUNTIF($R$2:R541,R541)</x:f>
        <x:v>540</x:v>
      </x:c>
      <x:c r="B541" s="48" t="n">
        <x:v>1201</x:v>
      </x:c>
      <x:c r="C541" s="46" t="str">
        <x:v>Monopol mu rekabet mi?</x:v>
      </x:c>
      <x:c r="D541" s="34" t="str">
        <x:v>Verimlilik</x:v>
      </x:c>
      <x:c r="E541" s="34" t="str">
        <x:v>Girişimcilik</x:v>
      </x:c>
      <x:c r="F541" s="34" t="str">
        <x:v>Sıfır'dan Bir'e</x:v>
      </x:c>
      <x:c r="G541" s="34" t="str">
        <x:v>Peter Thiel</x:v>
      </x:c>
      <x:c r="H541" s="50" t="str">
        <x:v>1</x:v>
      </x:c>
      <x:c r="I541" s="50" t="str">
        <x:v>Temel</x:v>
      </x:c>
      <x:c r="J541" s="51" t="n">
        <x:v>13</x:v>
      </x:c>
      <x:c r="K541" s="51" t="n">
        <x:v>6</x:v>
      </x:c>
      <x:c r="L541" s="51" t="n">
        <x:v>11</x:v>
      </x:c>
      <x:c r="M541" s="51" t="n">
        <x:v>11</x:v>
      </x:c>
      <x:c r="N541" s="51" t="n">
        <x:v>8</x:v>
      </x:c>
      <x:c r="O541" s="51" t="n">
        <x:v>6</x:v>
      </x:c>
      <x:c r="P541" s="51" t="n">
        <x:v>14</x:v>
      </x:c>
      <x:c r="Q541" s="51" t="n">
        <x:v>2</x:v>
      </x:c>
      <x:c r="R541" s="52" t="n">
        <x:f>SUM(J541:Q541)</x:f>
        <x:v>71</x:v>
      </x:c>
      <x:c r="S541" s="50" t="str">
        <x:f>IF(R541&gt;='Rubrik'!$B$17,"Öncelikli video",IF(R541&gt;='Rubrik'!$B$18,"Video kuyruğu",IF(R541&gt;='Rubrik'!$B$19,"Revize et",IF(R541&gt;='Rubrik'!$B$20,"Kartla test","Düşük öncelik"))))</x:f>
        <x:v>Kartla test</x:v>
      </x:c>
      <x:c r="T541" s="50" t="str">
        <x:f>IF(AND(R541&gt;=85,P541&gt;=16,M541&gt;=12,L541&gt;=12),"Reel + Carousel",IF(AND(R541&gt;=85,P541&gt;=16,N541&gt;=8),"Soru odaklı Reel",IF(AND(R541&gt;=85,P541&gt;=16),"Reel / Short",IF(M541&gt;=11,"Carousel","Kart testi"))))</x:f>
        <x:v>Carousel</x:v>
      </x:c>
      <x:c r="U541" s="46" t="str">
        <x:v>Monopol ol çağrısı tartışma ve paylaşım yaratır; rekabet, hukuk ve Google örneği fazla tek yönlü.</x:v>
      </x:c>
      <x:c r="V541" s="46" t="str">
        <x:f>IF(Q541&lt;=3,"Kaynak kontrolü şart",IF(Q541=4,"Kaynak kontrolü önerilir","Standart doğrulama"))</x:f>
        <x:v>Kaynak kontrolü şart</x:v>
      </x:c>
    </x:row>
    <x:row r="542" ht="24" customHeight="1">
      <x:c r="A542" s="48" t="n">
        <x:f>COUNTIF($R$2:$R$751,"&gt;"&amp;R542)+COUNTIF($R$2:R542,R542)</x:f>
        <x:v>541</x:v>
      </x:c>
      <x:c r="B542" s="48" t="n">
        <x:v>1435</x:v>
      </x:c>
      <x:c r="C542" s="46" t="str">
        <x:v>Satışın psikolojik temeli — insanlar duygularla alır</x:v>
      </x:c>
      <x:c r="D542" s="34" t="str">
        <x:v>Finans</x:v>
      </x:c>
      <x:c r="E542" s="34" t="str">
        <x:v>Satış</x:v>
      </x:c>
      <x:c r="F542" s="34" t="str">
        <x:v>Satışın Psikolojisi</x:v>
      </x:c>
      <x:c r="G542" s="34" t="str">
        <x:v>Brian Tracy</x:v>
      </x:c>
      <x:c r="H542" s="50" t="str">
        <x:v>1</x:v>
      </x:c>
      <x:c r="I542" s="50" t="str">
        <x:v>Temel</x:v>
      </x:c>
      <x:c r="J542" s="51" t="n">
        <x:v>11</x:v>
      </x:c>
      <x:c r="K542" s="51" t="n">
        <x:v>6</x:v>
      </x:c>
      <x:c r="L542" s="51" t="n">
        <x:v>11</x:v>
      </x:c>
      <x:c r="M542" s="51" t="n">
        <x:v>11</x:v>
      </x:c>
      <x:c r="N542" s="51" t="n">
        <x:v>8</x:v>
      </x:c>
      <x:c r="O542" s="51" t="n">
        <x:v>6</x:v>
      </x:c>
      <x:c r="P542" s="51" t="n">
        <x:v>14</x:v>
      </x:c>
      <x:c r="Q542" s="51" t="n">
        <x:v>4</x:v>
      </x:c>
      <x:c r="R542" s="52" t="n">
        <x:f>SUM(J542:Q542)</x:f>
        <x:v>71</x:v>
      </x:c>
      <x:c r="S542" s="50" t="str">
        <x:f>IF(R542&gt;='Rubrik'!$B$17,"Öncelikli video",IF(R542&gt;='Rubrik'!$B$18,"Video kuyruğu",IF(R542&gt;='Rubrik'!$B$19,"Revize et",IF(R542&gt;='Rubrik'!$B$20,"Kartla test","Düşük öncelik"))))</x:f>
        <x:v>Kartla test</x:v>
      </x:c>
      <x:c r="T542" s="50" t="str">
        <x:f>IF(AND(R542&gt;=85,P542&gt;=16,M542&gt;=12,L542&gt;=12),"Reel + Carousel",IF(AND(R542&gt;=85,P542&gt;=16,N542&gt;=8),"Soru odaklı Reel",IF(AND(R542&gt;=85,P542&gt;=16),"Reel / Short",IF(M542&gt;=11,"Carousel","Kart testi"))))</x:f>
        <x:v>Carousel</x:v>
      </x:c>
      <x:c r="U542" s="46" t="str">
        <x:v>Mantıkla başlayıp duyguyla satın alma çelişkisi satış kitlesinde tartışma ve paylaşım doğurur.</x:v>
      </x:c>
      <x:c r="V542" s="46" t="str">
        <x:f>IF(Q542&lt;=3,"Kaynak kontrolü şart",IF(Q542=4,"Kaynak kontrolü önerilir","Standart doğrulama"))</x:f>
        <x:v>Kaynak kontrolü önerilir</x:v>
      </x:c>
    </x:row>
    <x:row r="543" ht="24" customHeight="1">
      <x:c r="A543" s="48" t="n">
        <x:f>COUNTIF($R$2:$R$751,"&gt;"&amp;R543)+COUNTIF($R$2:R543,R543)</x:f>
        <x:v>542</x:v>
      </x:c>
      <x:c r="B543" s="48" t="n">
        <x:v>1497</x:v>
      </x:c>
      <x:c r="C543" s="46" t="str">
        <x:v>Gallup araştırması ve iş tatmini</x:v>
      </x:c>
      <x:c r="D543" s="34" t="str">
        <x:v>Finans</x:v>
      </x:c>
      <x:c r="E543" s="34" t="str">
        <x:v>Kariyer</x:v>
      </x:c>
      <x:c r="F543" s="34" t="str">
        <x:v>Güçlü Yönler Bulma</x:v>
      </x:c>
      <x:c r="G543" s="34" t="str">
        <x:v>Marcus Buckingham</x:v>
      </x:c>
      <x:c r="H543" s="50" t="str">
        <x:v>1</x:v>
      </x:c>
      <x:c r="I543" s="50" t="str">
        <x:v>Temel</x:v>
      </x:c>
      <x:c r="J543" s="51" t="n">
        <x:v>11</x:v>
      </x:c>
      <x:c r="K543" s="51" t="n">
        <x:v>5</x:v>
      </x:c>
      <x:c r="L543" s="51" t="n">
        <x:v>11</x:v>
      </x:c>
      <x:c r="M543" s="51" t="n">
        <x:v>13</x:v>
      </x:c>
      <x:c r="N543" s="51" t="n">
        <x:v>8</x:v>
      </x:c>
      <x:c r="O543" s="51" t="n">
        <x:v>6</x:v>
      </x:c>
      <x:c r="P543" s="51" t="n">
        <x:v>14</x:v>
      </x:c>
      <x:c r="Q543" s="51" t="n">
        <x:v>3</x:v>
      </x:c>
      <x:c r="R543" s="52" t="n">
        <x:f>SUM(J543:Q543)</x:f>
        <x:v>71</x:v>
      </x:c>
      <x:c r="S543" s="50" t="str">
        <x:f>IF(R543&gt;='Rubrik'!$B$17,"Öncelikli video",IF(R543&gt;='Rubrik'!$B$18,"Video kuyruğu",IF(R543&gt;='Rubrik'!$B$19,"Revize et",IF(R543&gt;='Rubrik'!$B$20,"Kartla test","Düşük öncelik"))))</x:f>
        <x:v>Kartla test</x:v>
      </x:c>
      <x:c r="T543" s="50" t="str">
        <x:f>IF(AND(R543&gt;=85,P543&gt;=16,M543&gt;=12,L543&gt;=12),"Reel + Carousel",IF(AND(R543&gt;=85,P543&gt;=16,N543&gt;=8),"Soru odaklı Reel",IF(AND(R543&gt;=85,P543&gt;=16),"Reel / Short",IF(M543&gt;=11,"Carousel","Kart testi"))))</x:f>
        <x:v>Carousel</x:v>
      </x:c>
      <x:c r="U543" s="46" t="str">
        <x:v>Çalışanların yalnız yüzde 17'sinin gücünü kullanması güçlü veri kancası; oran güncel kaynakla desteklenmeli.</x:v>
      </x:c>
      <x:c r="V543" s="46" t="str">
        <x:f>IF(Q543&lt;=3,"Kaynak kontrolü şart",IF(Q543=4,"Kaynak kontrolü önerilir","Standart doğrulama"))</x:f>
        <x:v>Kaynak kontrolü şart</x:v>
      </x:c>
    </x:row>
    <x:row r="544" ht="24" customHeight="1">
      <x:c r="A544" s="48" t="n">
        <x:f>COUNTIF($R$2:$R$751,"&gt;"&amp;R544)+COUNTIF($R$2:R544,R544)</x:f>
        <x:v>543</x:v>
      </x:c>
      <x:c r="B544" s="48" t="n">
        <x:v>1185</x:v>
      </x:c>
      <x:c r="C544" s="46" t="str">
        <x:v>Einstein'ın görsel düşünce sırrı</x:v>
      </x:c>
      <x:c r="D544" s="34" t="str">
        <x:v>Felsefe</x:v>
      </x:c>
      <x:c r="E544" s="34" t="str">
        <x:v>Öğrenme</x:v>
      </x:c>
      <x:c r="F544" s="34" t="str">
        <x:v>Zihin Haritası</x:v>
      </x:c>
      <x:c r="G544" s="34" t="str">
        <x:v>Tony Buzan</x:v>
      </x:c>
      <x:c r="H544" s="50" t="str">
        <x:v>1</x:v>
      </x:c>
      <x:c r="I544" s="50" t="str">
        <x:v>Temel</x:v>
      </x:c>
      <x:c r="J544" s="51" t="n">
        <x:v>13</x:v>
      </x:c>
      <x:c r="K544" s="51" t="n">
        <x:v>7</x:v>
      </x:c>
      <x:c r="L544" s="51" t="n">
        <x:v>10</x:v>
      </x:c>
      <x:c r="M544" s="51" t="n">
        <x:v>12</x:v>
      </x:c>
      <x:c r="N544" s="51" t="n">
        <x:v>8</x:v>
      </x:c>
      <x:c r="O544" s="51" t="n">
        <x:v>6</x:v>
      </x:c>
      <x:c r="P544" s="51" t="n">
        <x:v>14</x:v>
      </x:c>
      <x:c r="Q544" s="51" t="n">
        <x:v>1</x:v>
      </x:c>
      <x:c r="R544" s="52" t="n">
        <x:f>SUM(J544:Q544)</x:f>
        <x:v>71</x:v>
      </x:c>
      <x:c r="S544" s="50" t="str">
        <x:f>IF(R544&gt;='Rubrik'!$B$17,"Öncelikli video",IF(R544&gt;='Rubrik'!$B$18,"Video kuyruğu",IF(R544&gt;='Rubrik'!$B$19,"Revize et",IF(R544&gt;='Rubrik'!$B$20,"Kartla test","Düşük öncelik"))))</x:f>
        <x:v>Kartla test</x:v>
      </x:c>
      <x:c r="T544" s="50" t="str">
        <x:f>IF(AND(R544&gt;=85,P544&gt;=16,M544&gt;=12,L544&gt;=12),"Reel + Carousel",IF(AND(R544&gt;=85,P544&gt;=16,N544&gt;=8),"Soru odaklı Reel",IF(AND(R544&gt;=85,P544&gt;=16),"Reel / Short",IF(M544&gt;=11,"Carousel","Kart testi"))))</x:f>
        <x:v>Carousel</x:v>
      </x:c>
      <x:c r="U544" s="46" t="str">
        <x:v>Işık huzmesi yanında uçan Einstein güçlü görüntü; yüzde elli öğrenme ve düşünme iddiaları kanıtsız.</x:v>
      </x:c>
      <x:c r="V544" s="46" t="str">
        <x:f>IF(Q544&lt;=3,"Kaynak kontrolü şart",IF(Q544=4,"Kaynak kontrolü önerilir","Standart doğrulama"))</x:f>
        <x:v>Kaynak kontrolü şart</x:v>
      </x:c>
    </x:row>
    <x:row r="545" ht="24" customHeight="1">
      <x:c r="A545" s="48" t="n">
        <x:f>COUNTIF($R$2:$R$751,"&gt;"&amp;R545)+COUNTIF($R$2:R545,R545)</x:f>
        <x:v>544</x:v>
      </x:c>
      <x:c r="B545" s="48" t="n">
        <x:v>1327</x:v>
      </x:c>
      <x:c r="C545" s="46" t="str">
        <x:v>101 hedef listesi</x:v>
      </x:c>
      <x:c r="D545" s="34" t="str">
        <x:v>Büyüme</x:v>
      </x:c>
      <x:c r="E545" s="34" t="str">
        <x:v>Motivasyon</x:v>
      </x:c>
      <x:c r="F545" s="34" t="str">
        <x:v>The Success Principles</x:v>
      </x:c>
      <x:c r="G545" s="34" t="str">
        <x:v>Jack Canfield</x:v>
      </x:c>
      <x:c r="H545" s="50" t="str">
        <x:v>1</x:v>
      </x:c>
      <x:c r="I545" s="50" t="str">
        <x:v>Temel</x:v>
      </x:c>
      <x:c r="J545" s="51" t="n">
        <x:v>13</x:v>
      </x:c>
      <x:c r="K545" s="51" t="n">
        <x:v>6</x:v>
      </x:c>
      <x:c r="L545" s="51" t="n">
        <x:v>10</x:v>
      </x:c>
      <x:c r="M545" s="51" t="n">
        <x:v>12</x:v>
      </x:c>
      <x:c r="N545" s="51" t="n">
        <x:v>8</x:v>
      </x:c>
      <x:c r="O545" s="51" t="n">
        <x:v>7</x:v>
      </x:c>
      <x:c r="P545" s="51" t="n">
        <x:v>14</x:v>
      </x:c>
      <x:c r="Q545" s="51" t="n">
        <x:v>1</x:v>
      </x:c>
      <x:c r="R545" s="52" t="n">
        <x:f>SUM(J545:Q545)</x:f>
        <x:v>71</x:v>
      </x:c>
      <x:c r="S545" s="50" t="str">
        <x:f>IF(R545&gt;='Rubrik'!$B$17,"Öncelikli video",IF(R545&gt;='Rubrik'!$B$18,"Video kuyruğu",IF(R545&gt;='Rubrik'!$B$19,"Revize et",IF(R545&gt;='Rubrik'!$B$20,"Kartla test","Düşük öncelik"))))</x:f>
        <x:v>Kartla test</x:v>
      </x:c>
      <x:c r="T545" s="50" t="str">
        <x:f>IF(AND(R545&gt;=85,P545&gt;=16,M545&gt;=12,L545&gt;=12),"Reel + Carousel",IF(AND(R545&gt;=85,P545&gt;=16,N545&gt;=8),"Soru odaklı Reel",IF(AND(R545&gt;=85,P545&gt;=16),"Reel / Short",IF(M545&gt;=11,"Carousel","Kart testi"))))</x:f>
        <x:v>Carousel</x:v>
      </x:c>
      <x:c r="U545" s="46" t="str">
        <x:v>101 hedef ve yüzde yetmiş sonucu dikkat çekiyor; deney, oran ve retiküler sistem açıklaması güvenilir kaynak istemekte.</x:v>
      </x:c>
      <x:c r="V545" s="46" t="str">
        <x:f>IF(Q545&lt;=3,"Kaynak kontrolü şart",IF(Q545=4,"Kaynak kontrolü önerilir","Standart doğrulama"))</x:f>
        <x:v>Kaynak kontrolü şart</x:v>
      </x:c>
    </x:row>
    <x:row r="546" ht="24" customHeight="1">
      <x:c r="A546" s="48" t="n">
        <x:f>COUNTIF($R$2:$R$751,"&gt;"&amp;R546)+COUNTIF($R$2:R546,R546)</x:f>
        <x:v>545</x:v>
      </x:c>
      <x:c r="B546" s="48" t="n">
        <x:v>1388</x:v>
      </x:c>
      <x:c r="C546" s="46" t="str">
        <x:v>Altı insan ihtiyacı</x:v>
      </x:c>
      <x:c r="D546" s="34" t="str">
        <x:v>Büyüme</x:v>
      </x:c>
      <x:c r="E546" s="34" t="str">
        <x:v>Motivasyon</x:v>
      </x:c>
      <x:c r="F546" s="34" t="str">
        <x:v>İçsel Güç</x:v>
      </x:c>
      <x:c r="G546" s="34" t="str">
        <x:v>Tony Robbins</x:v>
      </x:c>
      <x:c r="H546" s="50" t="str">
        <x:v>1</x:v>
      </x:c>
      <x:c r="I546" s="50" t="str">
        <x:v>Temel</x:v>
      </x:c>
      <x:c r="J546" s="51" t="n">
        <x:v>11</x:v>
      </x:c>
      <x:c r="K546" s="51" t="n">
        <x:v>6</x:v>
      </x:c>
      <x:c r="L546" s="51" t="n">
        <x:v>10</x:v>
      </x:c>
      <x:c r="M546" s="51" t="n">
        <x:v>13</x:v>
      </x:c>
      <x:c r="N546" s="51" t="n">
        <x:v>9</x:v>
      </x:c>
      <x:c r="O546" s="51" t="n">
        <x:v>6</x:v>
      </x:c>
      <x:c r="P546" s="51" t="n">
        <x:v>14</x:v>
      </x:c>
      <x:c r="Q546" s="51" t="n">
        <x:v>2</x:v>
      </x:c>
      <x:c r="R546" s="52" t="n">
        <x:f>SUM(J546:Q546)</x:f>
        <x:v>71</x:v>
      </x:c>
      <x:c r="S546" s="50" t="str">
        <x:f>IF(R546&gt;='Rubrik'!$B$17,"Öncelikli video",IF(R546&gt;='Rubrik'!$B$18,"Video kuyruğu",IF(R546&gt;='Rubrik'!$B$19,"Revize et",IF(R546&gt;='Rubrik'!$B$20,"Kartla test","Düşük öncelik"))))</x:f>
        <x:v>Kartla test</x:v>
      </x:c>
      <x:c r="T546" s="50" t="str">
        <x:f>IF(AND(R546&gt;=85,P546&gt;=16,M546&gt;=12,L546&gt;=12),"Reel + Carousel",IF(AND(R546&gt;=85,P546&gt;=16,N546&gt;=8),"Soru odaklı Reel",IF(AND(R546&gt;=85,P546&gt;=16),"Reel / Short",IF(M546&gt;=11,"Carousel","Kart testi"))))</x:f>
        <x:v>Carousel</x:v>
      </x:c>
      <x:c r="U546" s="46" t="str">
        <x:v>Altı ihtiyaç alışkanlığı incelemek için kullanışlı; evrensel psikoloji modeli gibi sunulması kanıtsız.</x:v>
      </x:c>
      <x:c r="V546" s="46" t="str">
        <x:f>IF(Q546&lt;=3,"Kaynak kontrolü şart",IF(Q546=4,"Kaynak kontrolü önerilir","Standart doğrulama"))</x:f>
        <x:v>Kaynak kontrolü şart</x:v>
      </x:c>
    </x:row>
    <x:row r="547" ht="24" customHeight="1">
      <x:c r="A547" s="48" t="n">
        <x:f>COUNTIF($R$2:$R$751,"&gt;"&amp;R547)+COUNTIF($R$2:R547,R547)</x:f>
        <x:v>546</x:v>
      </x:c>
      <x:c r="B547" s="48" t="n">
        <x:v>1420</x:v>
      </x:c>
      <x:c r="C547" s="46" t="str">
        <x:v>Beyin kimyası ve sabah saati</x:v>
      </x:c>
      <x:c r="D547" s="34" t="str">
        <x:v>Sağlık</x:v>
      </x:c>
      <x:c r="E547" s="34" t="str">
        <x:v>Alışkanlıklar</x:v>
      </x:c>
      <x:c r="F547" s="34" t="str">
        <x:v>Mucize Sabah 2</x:v>
      </x:c>
      <x:c r="G547" s="34" t="str">
        <x:v>Hal Elrod</x:v>
      </x:c>
      <x:c r="H547" s="50" t="str">
        <x:v>1</x:v>
      </x:c>
      <x:c r="I547" s="50" t="str">
        <x:v>Temel</x:v>
      </x:c>
      <x:c r="J547" s="51" t="n">
        <x:v>11</x:v>
      </x:c>
      <x:c r="K547" s="51" t="n">
        <x:v>6</x:v>
      </x:c>
      <x:c r="L547" s="51" t="n">
        <x:v>10</x:v>
      </x:c>
      <x:c r="M547" s="51" t="n">
        <x:v>13</x:v>
      </x:c>
      <x:c r="N547" s="51" t="n">
        <x:v>9</x:v>
      </x:c>
      <x:c r="O547" s="51" t="n">
        <x:v>6</x:v>
      </x:c>
      <x:c r="P547" s="51" t="n">
        <x:v>14</x:v>
      </x:c>
      <x:c r="Q547" s="51" t="n">
        <x:v>2</x:v>
      </x:c>
      <x:c r="R547" s="52" t="n">
        <x:f>SUM(J547:Q547)</x:f>
        <x:v>71</x:v>
      </x:c>
      <x:c r="S547" s="50" t="str">
        <x:f>IF(R547&gt;='Rubrik'!$B$17,"Öncelikli video",IF(R547&gt;='Rubrik'!$B$18,"Video kuyruğu",IF(R547&gt;='Rubrik'!$B$19,"Revize et",IF(R547&gt;='Rubrik'!$B$20,"Kartla test","Düşük öncelik"))))</x:f>
        <x:v>Kartla test</x:v>
      </x:c>
      <x:c r="T547" s="50" t="str">
        <x:f>IF(AND(R547&gt;=85,P547&gt;=16,M547&gt;=12,L547&gt;=12),"Reel + Carousel",IF(AND(R547&gt;=85,P547&gt;=16,N547&gt;=8),"Soru odaklı Reel",IF(AND(R547&gt;=85,P547&gt;=16),"Reel / Short",IF(M547&gt;=11,"Carousel","Kart testi"))))</x:f>
        <x:v>Carousel</x:v>
      </x:c>
      <x:c r="U547" s="46" t="str">
        <x:v>Sabahın ilk 30 dakikası iyi öz sorgu yaratıyor; kortizol, odak ve kimlik bağı gereğinden kesin.</x:v>
      </x:c>
      <x:c r="V547" s="46" t="str">
        <x:f>IF(Q547&lt;=3,"Kaynak kontrolü şart",IF(Q547=4,"Kaynak kontrolü önerilir","Standart doğrulama"))</x:f>
        <x:v>Kaynak kontrolü şart</x:v>
      </x:c>
    </x:row>
    <x:row r="548" ht="24" customHeight="1">
      <x:c r="A548" s="48" t="n">
        <x:f>COUNTIF($R$2:$R$751,"&gt;"&amp;R548)+COUNTIF($R$2:R548,R548)</x:f>
        <x:v>547</x:v>
      </x:c>
      <x:c r="B548" s="48" t="n">
        <x:v>1422</x:v>
      </x:c>
      <x:c r="C548" s="46" t="str">
        <x:v>Vizyon ve kimlik netliği</x:v>
      </x:c>
      <x:c r="D548" s="34" t="str">
        <x:v>Sağlık</x:v>
      </x:c>
      <x:c r="E548" s="34" t="str">
        <x:v>Alışkanlıklar</x:v>
      </x:c>
      <x:c r="F548" s="34" t="str">
        <x:v>Mucize Sabah 2</x:v>
      </x:c>
      <x:c r="G548" s="34" t="str">
        <x:v>Hal Elrod</x:v>
      </x:c>
      <x:c r="H548" s="50" t="str">
        <x:v>1</x:v>
      </x:c>
      <x:c r="I548" s="50" t="str">
        <x:v>Temel</x:v>
      </x:c>
      <x:c r="J548" s="51" t="n">
        <x:v>11</x:v>
      </x:c>
      <x:c r="K548" s="51" t="n">
        <x:v>6</x:v>
      </x:c>
      <x:c r="L548" s="51" t="n">
        <x:v>10</x:v>
      </x:c>
      <x:c r="M548" s="51" t="n">
        <x:v>13</x:v>
      </x:c>
      <x:c r="N548" s="51" t="n">
        <x:v>9</x:v>
      </x:c>
      <x:c r="O548" s="51" t="n">
        <x:v>6</x:v>
      </x:c>
      <x:c r="P548" s="51" t="n">
        <x:v>14</x:v>
      </x:c>
      <x:c r="Q548" s="51" t="n">
        <x:v>2</x:v>
      </x:c>
      <x:c r="R548" s="52" t="n">
        <x:f>SUM(J548:Q548)</x:f>
        <x:v>71</x:v>
      </x:c>
      <x:c r="S548" s="50" t="str">
        <x:f>IF(R548&gt;='Rubrik'!$B$17,"Öncelikli video",IF(R548&gt;='Rubrik'!$B$18,"Video kuyruğu",IF(R548&gt;='Rubrik'!$B$19,"Revize et",IF(R548&gt;='Rubrik'!$B$20,"Kartla test","Düşük öncelik"))))</x:f>
        <x:v>Kartla test</x:v>
      </x:c>
      <x:c r="T548" s="50" t="str">
        <x:f>IF(AND(R548&gt;=85,P548&gt;=16,M548&gt;=12,L548&gt;=12),"Reel + Carousel",IF(AND(R548&gt;=85,P548&gt;=16,N548&gt;=8),"Soru odaklı Reel",IF(AND(R548&gt;=85,P548&gt;=16),"Reel / Short",IF(M548&gt;=11,"Carousel","Kart testi"))))</x:f>
        <x:v>Carousel</x:v>
      </x:c>
      <x:c r="U548" s="46" t="str">
        <x:v>Motivasyon yerine kimliğe dayanmak kullanışlı; kişisel sahne yok ve kimliğin rutini kaçınılmaz kıldığı abartılı.</x:v>
      </x:c>
      <x:c r="V548" s="46" t="str">
        <x:f>IF(Q548&lt;=3,"Kaynak kontrolü şart",IF(Q548=4,"Kaynak kontrolü önerilir","Standart doğrulama"))</x:f>
        <x:v>Kaynak kontrolü şart</x:v>
      </x:c>
    </x:row>
    <x:row r="549" ht="24" customHeight="1">
      <x:c r="A549" s="48" t="n">
        <x:f>COUNTIF($R$2:$R$751,"&gt;"&amp;R549)+COUNTIF($R$2:R549,R549)</x:f>
        <x:v>548</x:v>
      </x:c>
      <x:c r="B549" s="48" t="n">
        <x:v>1662</x:v>
      </x:c>
      <x:c r="C549" s="46" t="str">
        <x:v>Karakter ahlakı — erdemi yeniden keşfetmek</x:v>
      </x:c>
      <x:c r="D549" s="34" t="str">
        <x:v>Felsefe</x:v>
      </x:c>
      <x:c r="E549" s="34" t="str">
        <x:v>Felsefe</x:v>
      </x:c>
      <x:c r="F549" s="34" t="str">
        <x:v>Yeniden Doğmak</x:v>
      </x:c>
      <x:c r="G549" s="34" t="str">
        <x:v>David Brooks</x:v>
      </x:c>
      <x:c r="H549" s="50" t="str">
        <x:v>1</x:v>
      </x:c>
      <x:c r="I549" s="50" t="str">
        <x:v>Temel</x:v>
      </x:c>
      <x:c r="J549" s="51" t="n">
        <x:v>10</x:v>
      </x:c>
      <x:c r="K549" s="51" t="n">
        <x:v>8</x:v>
      </x:c>
      <x:c r="L549" s="51" t="n">
        <x:v>10</x:v>
      </x:c>
      <x:c r="M549" s="51" t="n">
        <x:v>11</x:v>
      </x:c>
      <x:c r="N549" s="51" t="n">
        <x:v>7</x:v>
      </x:c>
      <x:c r="O549" s="51" t="n">
        <x:v>6</x:v>
      </x:c>
      <x:c r="P549" s="51" t="n">
        <x:v>14</x:v>
      </x:c>
      <x:c r="Q549" s="51" t="n">
        <x:v>5</x:v>
      </x:c>
      <x:c r="R549" s="52" t="n">
        <x:f>SUM(J549:Q549)</x:f>
        <x:v>71</x:v>
      </x:c>
      <x:c r="S549" s="50" t="str">
        <x:f>IF(R549&gt;='Rubrik'!$B$17,"Öncelikli video",IF(R549&gt;='Rubrik'!$B$18,"Video kuyruğu",IF(R549&gt;='Rubrik'!$B$19,"Revize et",IF(R549&gt;='Rubrik'!$B$20,"Kartla test","Düşük öncelik"))))</x:f>
        <x:v>Kartla test</x:v>
      </x:c>
      <x:c r="T549" s="50" t="str">
        <x:f>IF(AND(R549&gt;=85,P549&gt;=16,M549&gt;=12,L549&gt;=12),"Reel + Carousel",IF(AND(R549&gt;=85,P549&gt;=16,N549&gt;=8),"Soru odaklı Reel",IF(AND(R549&gt;=85,P549&gt;=16),"Reel / Short",IF(M549&gt;=11,"Carousel","Kart testi"))))</x:f>
        <x:v>Carousel</x:v>
      </x:c>
      <x:c r="U549" s="46" t="str">
        <x:v>Somut sahne ve sayısal ayrıntı güçlü bir video açılışı sağlıyor; olay örgüsü geliştirilmeli.</x:v>
      </x:c>
      <x:c r="V549" s="46" t="str">
        <x:f>IF(Q549&lt;=3,"Kaynak kontrolü şart",IF(Q549=4,"Kaynak kontrolü önerilir","Standart doğrulama"))</x:f>
        <x:v>Standart doğrulama</x:v>
      </x:c>
    </x:row>
    <x:row r="550" ht="24" customHeight="1">
      <x:c r="A550" s="48" t="n">
        <x:f>COUNTIF($R$2:$R$751,"&gt;"&amp;R550)+COUNTIF($R$2:R550,R550)</x:f>
        <x:v>549</x:v>
      </x:c>
      <x:c r="B550" s="48" t="n">
        <x:v>1066</x:v>
      </x:c>
      <x:c r="C550" s="46" t="str">
        <x:v>Kötü haber veremeyen yöneticinin bedeli</x:v>
      </x:c>
      <x:c r="D550" s="34" t="str">
        <x:v>Liderlik</x:v>
      </x:c>
      <x:c r="E550" s="34" t="str">
        <x:v>Liderlik</x:v>
      </x:c>
      <x:c r="F550" s="34" t="str">
        <x:v>Dürüst Olmak</x:v>
      </x:c>
      <x:c r="G550" s="34" t="str">
        <x:v>Kim Scott</x:v>
      </x:c>
      <x:c r="H550" s="50" t="str">
        <x:v>1</x:v>
      </x:c>
      <x:c r="I550" s="50" t="str">
        <x:v>Temel</x:v>
      </x:c>
      <x:c r="J550" s="51" t="n">
        <x:v>13</x:v>
      </x:c>
      <x:c r="K550" s="51" t="n">
        <x:v>8</x:v>
      </x:c>
      <x:c r="L550" s="51" t="n">
        <x:v>9</x:v>
      </x:c>
      <x:c r="M550" s="51" t="n">
        <x:v>11</x:v>
      </x:c>
      <x:c r="N550" s="51" t="n">
        <x:v>9</x:v>
      </x:c>
      <x:c r="O550" s="51" t="n">
        <x:v>6</x:v>
      </x:c>
      <x:c r="P550" s="51" t="n">
        <x:v>14</x:v>
      </x:c>
      <x:c r="Q550" s="51" t="n">
        <x:v>1</x:v>
      </x:c>
      <x:c r="R550" s="52" t="n">
        <x:f>SUM(J550:Q550)</x:f>
        <x:v>71</x:v>
      </x:c>
      <x:c r="S550" s="50" t="str">
        <x:f>IF(R550&gt;='Rubrik'!$B$17,"Öncelikli video",IF(R550&gt;='Rubrik'!$B$18,"Video kuyruğu",IF(R550&gt;='Rubrik'!$B$19,"Revize et",IF(R550&gt;='Rubrik'!$B$20,"Kartla test","Düşük öncelik"))))</x:f>
        <x:v>Kartla test</x:v>
      </x:c>
      <x:c r="T550" s="50" t="str">
        <x:f>IF(AND(R550&gt;=85,P550&gt;=16,M550&gt;=12,L550&gt;=12),"Reel + Carousel",IF(AND(R550&gt;=85,P550&gt;=16,N550&gt;=8),"Soru odaklı Reel",IF(AND(R550&gt;=85,P550&gt;=16),"Reel / Short",IF(M550&gt;=11,"Carousel","Kart testi"))))</x:f>
        <x:v>Carousel</x:v>
      </x:c>
      <x:c r="U550" s="46" t="str">
        <x:v>Sessizliğin milyonluk krize dönüşmesi gerilimli; şirket ve olay belirsiz olduğundan güven düşük kalıyor.</x:v>
      </x:c>
      <x:c r="V550" s="46" t="str">
        <x:f>IF(Q550&lt;=3,"Kaynak kontrolü şart",IF(Q550=4,"Kaynak kontrolü önerilir","Standart doğrulama"))</x:f>
        <x:v>Kaynak kontrolü şart</x:v>
      </x:c>
    </x:row>
    <x:row r="551" ht="24" customHeight="1">
      <x:c r="A551" s="48" t="n">
        <x:f>COUNTIF($R$2:$R$751,"&gt;"&amp;R551)+COUNTIF($R$2:R551,R551)</x:f>
        <x:v>550</x:v>
      </x:c>
      <x:c r="B551" s="48" t="n">
        <x:v>1069</x:v>
      </x:c>
      <x:c r="C551" s="46" t="str">
        <x:v>Karşı konulmaz bir güç olarak 'şimdi'</x:v>
      </x:c>
      <x:c r="D551" s="34" t="str">
        <x:v>Verimlilik</x:v>
      </x:c>
      <x:c r="E551" s="34" t="str">
        <x:v>Verimlilik</x:v>
      </x:c>
      <x:c r="F551" s="34" t="str">
        <x:v>Şimdi Başla</x:v>
      </x:c>
      <x:c r="G551" s="34" t="str">
        <x:v>Neil Fiore</x:v>
      </x:c>
      <x:c r="H551" s="50" t="str">
        <x:v>1</x:v>
      </x:c>
      <x:c r="I551" s="50" t="str">
        <x:v>Temel</x:v>
      </x:c>
      <x:c r="J551" s="51" t="n">
        <x:v>12</x:v>
      </x:c>
      <x:c r="K551" s="51" t="n">
        <x:v>7</x:v>
      </x:c>
      <x:c r="L551" s="51" t="n">
        <x:v>9</x:v>
      </x:c>
      <x:c r="M551" s="51" t="n">
        <x:v>13</x:v>
      </x:c>
      <x:c r="N551" s="51" t="n">
        <x:v>9</x:v>
      </x:c>
      <x:c r="O551" s="51" t="n">
        <x:v>6</x:v>
      </x:c>
      <x:c r="P551" s="51" t="n">
        <x:v>13</x:v>
      </x:c>
      <x:c r="Q551" s="51" t="n">
        <x:v>2</x:v>
      </x:c>
      <x:c r="R551" s="52" t="n">
        <x:f>SUM(J551:Q551)</x:f>
        <x:v>71</x:v>
      </x:c>
      <x:c r="S551" s="50" t="str">
        <x:f>IF(R551&gt;='Rubrik'!$B$17,"Öncelikli video",IF(R551&gt;='Rubrik'!$B$18,"Video kuyruğu",IF(R551&gt;='Rubrik'!$B$19,"Revize et",IF(R551&gt;='Rubrik'!$B$20,"Kartla test","Düşük öncelik"))))</x:f>
        <x:v>Kartla test</x:v>
      </x:c>
      <x:c r="T551" s="50" t="str">
        <x:f>IF(AND(R551&gt;=85,P551&gt;=16,M551&gt;=12,L551&gt;=12),"Reel + Carousel",IF(AND(R551&gt;=85,P551&gt;=16,N551&gt;=8),"Soru odaklı Reel",IF(AND(R551&gt;=85,P551&gt;=16),"Reel / Short",IF(M551&gt;=11,"Carousel","Kart testi"))))</x:f>
        <x:v>Carousel</x:v>
      </x:c>
      <x:c r="U551" s="46" t="str">
        <x:v>Beş yıl ile 30 dakikanın karşıtlığı iyi çalışıyor; Sarah vakasının gerçekliği ve rakamları belirsiz.</x:v>
      </x:c>
      <x:c r="V551" s="46" t="str">
        <x:f>IF(Q551&lt;=3,"Kaynak kontrolü şart",IF(Q551=4,"Kaynak kontrolü önerilir","Standart doğrulama"))</x:f>
        <x:v>Kaynak kontrolü şart</x:v>
      </x:c>
    </x:row>
    <x:row r="552" ht="24" customHeight="1">
      <x:c r="A552" s="48" t="n">
        <x:f>COUNTIF($R$2:$R$751,"&gt;"&amp;R552)+COUNTIF($R$2:R552,R552)</x:f>
        <x:v>551</x:v>
      </x:c>
      <x:c r="B552" s="48" t="n">
        <x:v>1168</x:v>
      </x:c>
      <x:c r="C552" s="46" t="str">
        <x:v>Cerrahın ameliyathanede kaybolması</x:v>
      </x:c>
      <x:c r="D552" s="34" t="str">
        <x:v>Psikoloji</x:v>
      </x:c>
      <x:c r="E552" s="34" t="str">
        <x:v>Psikoloji</x:v>
      </x:c>
      <x:c r="F552" s="34" t="str">
        <x:v>Flow</x:v>
      </x:c>
      <x:c r="G552" s="34" t="str">
        <x:v>Mihaly Csikszentmihalyi</x:v>
      </x:c>
      <x:c r="H552" s="50" t="str">
        <x:v>1</x:v>
      </x:c>
      <x:c r="I552" s="50" t="str">
        <x:v>Temel</x:v>
      </x:c>
      <x:c r="J552" s="51" t="n">
        <x:v>12</x:v>
      </x:c>
      <x:c r="K552" s="51" t="n">
        <x:v>7</x:v>
      </x:c>
      <x:c r="L552" s="51" t="n">
        <x:v>9</x:v>
      </x:c>
      <x:c r="M552" s="51" t="n">
        <x:v>11</x:v>
      </x:c>
      <x:c r="N552" s="51" t="n">
        <x:v>9</x:v>
      </x:c>
      <x:c r="O552" s="51" t="n">
        <x:v>6</x:v>
      </x:c>
      <x:c r="P552" s="51" t="n">
        <x:v>13</x:v>
      </x:c>
      <x:c r="Q552" s="51" t="n">
        <x:v>4</x:v>
      </x:c>
      <x:c r="R552" s="52" t="n">
        <x:f>SUM(J552:Q552)</x:f>
        <x:v>71</x:v>
      </x:c>
      <x:c r="S552" s="50" t="str">
        <x:f>IF(R552&gt;='Rubrik'!$B$17,"Öncelikli video",IF(R552&gt;='Rubrik'!$B$18,"Video kuyruğu",IF(R552&gt;='Rubrik'!$B$19,"Revize et",IF(R552&gt;='Rubrik'!$B$20,"Kartla test","Düşük öncelik"))))</x:f>
        <x:v>Kartla test</x:v>
      </x:c>
      <x:c r="T552" s="50" t="str">
        <x:f>IF(AND(R552&gt;=85,P552&gt;=16,M552&gt;=12,L552&gt;=12),"Reel + Carousel",IF(AND(R552&gt;=85,P552&gt;=16,N552&gt;=8),"Soru odaklı Reel",IF(AND(R552&gt;=85,P552&gt;=16),"Reel / Short",IF(M552&gt;=11,"Carousel","Kart testi"))))</x:f>
        <x:v>Carousel</x:v>
      </x:c>
      <x:c r="U552" s="46" t="str">
        <x:v>Cerrahın dış dünyayı unutması akışı anlatıyor; komşu hikâyeye göre daha az sürpriz ve daha açıklayıcı.</x:v>
      </x:c>
      <x:c r="V552" s="46" t="str">
        <x:f>IF(Q552&lt;=3,"Kaynak kontrolü şart",IF(Q552=4,"Kaynak kontrolü önerilir","Standart doğrulama"))</x:f>
        <x:v>Kaynak kontrolü önerilir</x:v>
      </x:c>
    </x:row>
    <x:row r="553" ht="24" customHeight="1">
      <x:c r="A553" s="48" t="n">
        <x:f>COUNTIF($R$2:$R$751,"&gt;"&amp;R553)+COUNTIF($R$2:R553,R553)</x:f>
        <x:v>552</x:v>
      </x:c>
      <x:c r="B553" s="48" t="n">
        <x:v>1147</x:v>
      </x:c>
      <x:c r="C553" s="46" t="str">
        <x:v>Sınırların üç türü</x:v>
      </x:c>
      <x:c r="D553" s="34" t="str">
        <x:v>Büyüme</x:v>
      </x:c>
      <x:c r="E553" s="34" t="str">
        <x:v>Kişisel Gelişim</x:v>
      </x:c>
      <x:c r="F553" s="34" t="str">
        <x:v>Sınırlar</x:v>
      </x:c>
      <x:c r="G553" s="34" t="str">
        <x:v>Nedra Tawwab</x:v>
      </x:c>
      <x:c r="H553" s="50" t="str">
        <x:v>1</x:v>
      </x:c>
      <x:c r="I553" s="50" t="str">
        <x:v>Temel</x:v>
      </x:c>
      <x:c r="J553" s="51" t="n">
        <x:v>11</x:v>
      </x:c>
      <x:c r="K553" s="51" t="n">
        <x:v>7</x:v>
      </x:c>
      <x:c r="L553" s="51" t="n">
        <x:v>9</x:v>
      </x:c>
      <x:c r="M553" s="51" t="n">
        <x:v>14</x:v>
      </x:c>
      <x:c r="N553" s="51" t="n">
        <x:v>9</x:v>
      </x:c>
      <x:c r="O553" s="51" t="n">
        <x:v>5</x:v>
      </x:c>
      <x:c r="P553" s="51" t="n">
        <x:v>12</x:v>
      </x:c>
      <x:c r="Q553" s="51" t="n">
        <x:v>4</x:v>
      </x:c>
      <x:c r="R553" s="52" t="n">
        <x:f>SUM(J553:Q553)</x:f>
        <x:v>71</x:v>
      </x:c>
      <x:c r="S553" s="50" t="str">
        <x:f>IF(R553&gt;='Rubrik'!$B$17,"Öncelikli video",IF(R553&gt;='Rubrik'!$B$18,"Video kuyruğu",IF(R553&gt;='Rubrik'!$B$19,"Revize et",IF(R553&gt;='Rubrik'!$B$20,"Kartla test","Düşük öncelik"))))</x:f>
        <x:v>Kartla test</x:v>
      </x:c>
      <x:c r="T553" s="50" t="str">
        <x:f>IF(AND(R553&gt;=85,P553&gt;=16,M553&gt;=12,L553&gt;=12),"Reel + Carousel",IF(AND(R553&gt;=85,P553&gt;=16,N553&gt;=8),"Soru odaklı Reel",IF(AND(R553&gt;=85,P553&gt;=16),"Reel / Short",IF(M553&gt;=11,"Carousel","Kart testi"))))</x:f>
        <x:v>Carousel</x:v>
      </x:c>
      <x:c r="U553" s="46" t="str">
        <x:v>Üç sınır türü güçlü bir öz değerlendirme listesi; olay ve görsel sürpriz az olduğu için paylaşım orta.</x:v>
      </x:c>
      <x:c r="V553" s="46" t="str">
        <x:f>IF(Q553&lt;=3,"Kaynak kontrolü şart",IF(Q553=4,"Kaynak kontrolü önerilir","Standart doğrulama"))</x:f>
        <x:v>Kaynak kontrolü önerilir</x:v>
      </x:c>
    </x:row>
    <x:row r="554" ht="24" customHeight="1">
      <x:c r="A554" s="48" t="n">
        <x:f>COUNTIF($R$2:$R$751,"&gt;"&amp;R554)+COUNTIF($R$2:R554,R554)</x:f>
        <x:v>553</x:v>
      </x:c>
      <x:c r="B554" s="48" t="n">
        <x:v>1605</x:v>
      </x:c>
      <x:c r="C554" s="46" t="str">
        <x:v>Wim Hof nefes tekniği — kontrollü hiperventilasyon ve tutma</x:v>
      </x:c>
      <x:c r="D554" s="34" t="str">
        <x:v>Sağlık</x:v>
      </x:c>
      <x:c r="E554" s="34" t="str">
        <x:v>Sağlık</x:v>
      </x:c>
      <x:c r="F554" s="34" t="str">
        <x:v>Soğuk Yöntem</x:v>
      </x:c>
      <x:c r="G554" s="34" t="str">
        <x:v>Wim Hof</x:v>
      </x:c>
      <x:c r="H554" s="50" t="str">
        <x:v>1</x:v>
      </x:c>
      <x:c r="I554" s="50" t="str">
        <x:v>Temel</x:v>
      </x:c>
      <x:c r="J554" s="51" t="n">
        <x:v>13</x:v>
      </x:c>
      <x:c r="K554" s="51" t="n">
        <x:v>7</x:v>
      </x:c>
      <x:c r="L554" s="51" t="n">
        <x:v>12</x:v>
      </x:c>
      <x:c r="M554" s="51" t="n">
        <x:v>13</x:v>
      </x:c>
      <x:c r="N554" s="51" t="n">
        <x:v>9</x:v>
      </x:c>
      <x:c r="O554" s="51" t="n">
        <x:v>6</x:v>
      </x:c>
      <x:c r="P554" s="51" t="n">
        <x:v>10</x:v>
      </x:c>
      <x:c r="Q554" s="51" t="n">
        <x:v>1</x:v>
      </x:c>
      <x:c r="R554" s="52" t="n">
        <x:f>SUM(J554:Q554)</x:f>
        <x:v>71</x:v>
      </x:c>
      <x:c r="S554" s="50" t="str">
        <x:f>IF(R554&gt;='Rubrik'!$B$17,"Öncelikli video",IF(R554&gt;='Rubrik'!$B$18,"Video kuyruğu",IF(R554&gt;='Rubrik'!$B$19,"Revize et",IF(R554&gt;='Rubrik'!$B$20,"Kartla test","Düşük öncelik"))))</x:f>
        <x:v>Kartla test</x:v>
      </x:c>
      <x:c r="T554" s="50" t="str">
        <x:f>IF(AND(R554&gt;=85,P554&gt;=16,M554&gt;=12,L554&gt;=12),"Reel + Carousel",IF(AND(R554&gt;=85,P554&gt;=16,N554&gt;=8),"Soru odaklı Reel",IF(AND(R554&gt;=85,P554&gt;=16),"Reel / Short",IF(M554&gt;=11,"Carousel","Kart testi"))))</x:f>
        <x:v>Carousel</x:v>
      </x:c>
      <x:c r="U554" s="46" t="str">
        <x:v>Wim Hof nefesi güçlü deneyim vaadi taşır; bayılma riski ve zayıf genellemeler video puanını ciddi düşürüyor.</x:v>
      </x:c>
      <x:c r="V554" s="46" t="str">
        <x:f>IF(Q554&lt;=3,"Kaynak kontrolü şart",IF(Q554=4,"Kaynak kontrolü önerilir","Standart doğrulama"))</x:f>
        <x:v>Kaynak kontrolü şart</x:v>
      </x:c>
    </x:row>
    <x:row r="555" ht="24" customHeight="1">
      <x:c r="A555" s="48" t="n">
        <x:f>COUNTIF($R$2:$R$751,"&gt;"&amp;R555)+COUNTIF($R$2:R555,R555)</x:f>
        <x:v>554</x:v>
      </x:c>
      <x:c r="B555" s="48" t="n">
        <x:v>1632</x:v>
      </x:c>
      <x:c r="C555" s="46" t="str">
        <x:v>Şefkatli sınır — iyileşmenin pratik kapısı</x:v>
      </x:c>
      <x:c r="D555" s="34" t="str">
        <x:v>Sağlık</x:v>
      </x:c>
      <x:c r="E555" s="34" t="str">
        <x:v>Sağlık</x:v>
      </x:c>
      <x:c r="F555" s="34" t="str">
        <x:v>Bedenin Hayır Demesi</x:v>
      </x:c>
      <x:c r="G555" s="34" t="str">
        <x:v>Gabor Maté</x:v>
      </x:c>
      <x:c r="H555" s="50" t="str">
        <x:v>1</x:v>
      </x:c>
      <x:c r="I555" s="50" t="str">
        <x:v>Temel</x:v>
      </x:c>
      <x:c r="J555" s="51" t="n">
        <x:v>9</x:v>
      </x:c>
      <x:c r="K555" s="51" t="n">
        <x:v>9</x:v>
      </x:c>
      <x:c r="L555" s="51" t="n">
        <x:v>10</x:v>
      </x:c>
      <x:c r="M555" s="51" t="n">
        <x:v>10</x:v>
      </x:c>
      <x:c r="N555" s="51" t="n">
        <x:v>7</x:v>
      </x:c>
      <x:c r="O555" s="51" t="n">
        <x:v>7</x:v>
      </x:c>
      <x:c r="P555" s="51" t="n">
        <x:v>15</x:v>
      </x:c>
      <x:c r="Q555" s="51" t="n">
        <x:v>3</x:v>
      </x:c>
      <x:c r="R555" s="52" t="n">
        <x:f>SUM(J555:Q555)</x:f>
        <x:v>70</x:v>
      </x:c>
      <x:c r="S555" s="50" t="str">
        <x:f>IF(R555&gt;='Rubrik'!$B$17,"Öncelikli video",IF(R555&gt;='Rubrik'!$B$18,"Video kuyruğu",IF(R555&gt;='Rubrik'!$B$19,"Revize et",IF(R555&gt;='Rubrik'!$B$20,"Kartla test","Düşük öncelik"))))</x:f>
        <x:v>Kartla test</x:v>
      </x:c>
      <x:c r="T555" s="50" t="str">
        <x:f>IF(AND(R555&gt;=85,P555&gt;=16,M555&gt;=12,L555&gt;=12),"Reel + Carousel",IF(AND(R555&gt;=85,P555&gt;=16,N555&gt;=8),"Soru odaklı Reel",IF(AND(R555&gt;=85,P555&gt;=16),"Reel / Short",IF(M555&gt;=11,"Carousel","Kart testi"))))</x:f>
        <x:v>Kart testi</x:v>
      </x:c>
      <x:c r="U555" s="46" t="str">
        <x:v>Duygusal karşıtlık paylaşma ve kişisel anlatma isteğini yükseltiyor; ilk saniye etkisi geliştirilmeli.</x:v>
      </x:c>
      <x:c r="V555" s="46" t="str">
        <x:f>IF(Q555&lt;=3,"Kaynak kontrolü şart",IF(Q555=4,"Kaynak kontrolü önerilir","Standart doğrulama"))</x:f>
        <x:v>Kaynak kontrolü şart</x:v>
      </x:c>
    </x:row>
    <x:row r="556" ht="24" customHeight="1">
      <x:c r="A556" s="48" t="n">
        <x:f>COUNTIF($R$2:$R$751,"&gt;"&amp;R556)+COUNTIF($R$2:R556,R556)</x:f>
        <x:v>555</x:v>
      </x:c>
      <x:c r="B556" s="48" t="n">
        <x:v>1656</x:v>
      </x:c>
      <x:c r="C556" s="46" t="str">
        <x:v>Alanın kapıcıları — yaratıcılığın sosyal boyutu</x:v>
      </x:c>
      <x:c r="D556" s="34" t="str">
        <x:v>Verimlilik</x:v>
      </x:c>
      <x:c r="E556" s="34" t="str">
        <x:v>Yaratıcılık</x:v>
      </x:c>
      <x:c r="F556" s="34" t="str">
        <x:v>Yaratıcılık ve Akış</x:v>
      </x:c>
      <x:c r="G556" s="34" t="str">
        <x:v>Mihaly Csikszentmihalyi</x:v>
      </x:c>
      <x:c r="H556" s="50" t="str">
        <x:v>1</x:v>
      </x:c>
      <x:c r="I556" s="50" t="str">
        <x:v>Temel</x:v>
      </x:c>
      <x:c r="J556" s="51" t="n">
        <x:v>9</x:v>
      </x:c>
      <x:c r="K556" s="51" t="n">
        <x:v>9</x:v>
      </x:c>
      <x:c r="L556" s="51" t="n">
        <x:v>10</x:v>
      </x:c>
      <x:c r="M556" s="51" t="n">
        <x:v>10</x:v>
      </x:c>
      <x:c r="N556" s="51" t="n">
        <x:v>7</x:v>
      </x:c>
      <x:c r="O556" s="51" t="n">
        <x:v>6</x:v>
      </x:c>
      <x:c r="P556" s="51" t="n">
        <x:v>15</x:v>
      </x:c>
      <x:c r="Q556" s="51" t="n">
        <x:v>4</x:v>
      </x:c>
      <x:c r="R556" s="52" t="n">
        <x:f>SUM(J556:Q556)</x:f>
        <x:v>70</x:v>
      </x:c>
      <x:c r="S556" s="50" t="str">
        <x:f>IF(R556&gt;='Rubrik'!$B$17,"Öncelikli video",IF(R556&gt;='Rubrik'!$B$18,"Video kuyruğu",IF(R556&gt;='Rubrik'!$B$19,"Revize et",IF(R556&gt;='Rubrik'!$B$20,"Kartla test","Düşük öncelik"))))</x:f>
        <x:v>Kartla test</x:v>
      </x:c>
      <x:c r="T556" s="50" t="str">
        <x:f>IF(AND(R556&gt;=85,P556&gt;=16,M556&gt;=12,L556&gt;=12),"Reel + Carousel",IF(AND(R556&gt;=85,P556&gt;=16,N556&gt;=8),"Soru odaklı Reel",IF(AND(R556&gt;=85,P556&gt;=16),"Reel / Short",IF(M556&gt;=11,"Carousel","Kart testi"))))</x:f>
        <x:v>Kart testi</x:v>
      </x:c>
      <x:c r="U556" s="46" t="str">
        <x:v>Duygusal karşıtlık paylaşma ve kişisel anlatma isteğini yükseltiyor; olay örgüsü geliştirilmeli.</x:v>
      </x:c>
      <x:c r="V556" s="46" t="str">
        <x:f>IF(Q556&lt;=3,"Kaynak kontrolü şart",IF(Q556=4,"Kaynak kontrolü önerilir","Standart doğrulama"))</x:f>
        <x:v>Kaynak kontrolü önerilir</x:v>
      </x:c>
    </x:row>
    <x:row r="557" ht="24" customHeight="1">
      <x:c r="A557" s="48" t="n">
        <x:f>COUNTIF($R$2:$R$751,"&gt;"&amp;R557)+COUNTIF($R$2:R557,R557)</x:f>
        <x:v>556</x:v>
      </x:c>
      <x:c r="B557" s="48" t="n">
        <x:v>1668</x:v>
      </x:c>
      <x:c r="C557" s="46" t="str">
        <x:v>İnterbeing — her şeyin birbirine bağlılığı</x:v>
      </x:c>
      <x:c r="D557" s="34" t="str">
        <x:v>Psikoloji</x:v>
      </x:c>
      <x:c r="E557" s="34" t="str">
        <x:v>Farkındalık</x:v>
      </x:c>
      <x:c r="F557" s="34" t="str">
        <x:v>İçsel Barış</x:v>
      </x:c>
      <x:c r="G557" s="34" t="str">
        <x:v>Thich Nhat Hanh</x:v>
      </x:c>
      <x:c r="H557" s="50" t="str">
        <x:v>1</x:v>
      </x:c>
      <x:c r="I557" s="50" t="str">
        <x:v>Temel</x:v>
      </x:c>
      <x:c r="J557" s="51" t="n">
        <x:v>9</x:v>
      </x:c>
      <x:c r="K557" s="51" t="n">
        <x:v>8</x:v>
      </x:c>
      <x:c r="L557" s="51" t="n">
        <x:v>10</x:v>
      </x:c>
      <x:c r="M557" s="51" t="n">
        <x:v>10</x:v>
      </x:c>
      <x:c r="N557" s="51" t="n">
        <x:v>7</x:v>
      </x:c>
      <x:c r="O557" s="51" t="n">
        <x:v>7</x:v>
      </x:c>
      <x:c r="P557" s="51" t="n">
        <x:v>15</x:v>
      </x:c>
      <x:c r="Q557" s="51" t="n">
        <x:v>4</x:v>
      </x:c>
      <x:c r="R557" s="52" t="n">
        <x:f>SUM(J557:Q557)</x:f>
        <x:v>70</x:v>
      </x:c>
      <x:c r="S557" s="50" t="str">
        <x:f>IF(R557&gt;='Rubrik'!$B$17,"Öncelikli video",IF(R557&gt;='Rubrik'!$B$18,"Video kuyruğu",IF(R557&gt;='Rubrik'!$B$19,"Revize et",IF(R557&gt;='Rubrik'!$B$20,"Kartla test","Düşük öncelik"))))</x:f>
        <x:v>Kartla test</x:v>
      </x:c>
      <x:c r="T557" s="50" t="str">
        <x:f>IF(AND(R557&gt;=85,P557&gt;=16,M557&gt;=12,L557&gt;=12),"Reel + Carousel",IF(AND(R557&gt;=85,P557&gt;=16,N557&gt;=8),"Soru odaklı Reel",IF(AND(R557&gt;=85,P557&gt;=16),"Reel / Short",IF(M557&gt;=11,"Carousel","Kart testi"))))</x:f>
        <x:v>Kart testi</x:v>
      </x:c>
      <x:c r="U557" s="46" t="str">
        <x:v>Duygusal karşıtlık paylaşma ve kişisel anlatma isteğini yükseltiyor; ilk saniye etkisi geliştirilmeli.</x:v>
      </x:c>
      <x:c r="V557" s="46" t="str">
        <x:f>IF(Q557&lt;=3,"Kaynak kontrolü şart",IF(Q557=4,"Kaynak kontrolü önerilir","Standart doğrulama"))</x:f>
        <x:v>Kaynak kontrolü önerilir</x:v>
      </x:c>
    </x:row>
    <x:row r="558" ht="24" customHeight="1">
      <x:c r="A558" s="48" t="n">
        <x:f>COUNTIF($R$2:$R$751,"&gt;"&amp;R558)+COUNTIF($R$2:R558,R558)</x:f>
        <x:v>557</x:v>
      </x:c>
      <x:c r="B558" s="48" t="n">
        <x:v>1296</x:v>
      </x:c>
      <x:c r="C558" s="46" t="str">
        <x:v>Dışarıdan çalışma ve konum bağımsızlığı</x:v>
      </x:c>
      <x:c r="D558" s="34" t="str">
        <x:v>Verimlilik</x:v>
      </x:c>
      <x:c r="E558" s="34" t="str">
        <x:v>Verimlilik</x:v>
      </x:c>
      <x:c r="F558" s="34" t="str">
        <x:v>The 4-Hour Workweek</x:v>
      </x:c>
      <x:c r="G558" s="34" t="str">
        <x:v>Tim Ferriss</x:v>
      </x:c>
      <x:c r="H558" s="50" t="str">
        <x:v>1</x:v>
      </x:c>
      <x:c r="I558" s="50" t="str">
        <x:v>Temel</x:v>
      </x:c>
      <x:c r="J558" s="51" t="n">
        <x:v>12</x:v>
      </x:c>
      <x:c r="K558" s="51" t="n">
        <x:v>6</x:v>
      </x:c>
      <x:c r="L558" s="51" t="n">
        <x:v>9</x:v>
      </x:c>
      <x:c r="M558" s="51" t="n">
        <x:v>11</x:v>
      </x:c>
      <x:c r="N558" s="51" t="n">
        <x:v>8</x:v>
      </x:c>
      <x:c r="O558" s="51" t="n">
        <x:v>8</x:v>
      </x:c>
      <x:c r="P558" s="51" t="n">
        <x:v>15</x:v>
      </x:c>
      <x:c r="Q558" s="51" t="n">
        <x:v>1</x:v>
      </x:c>
      <x:c r="R558" s="52" t="n">
        <x:f>SUM(J558:Q558)</x:f>
        <x:v>70</x:v>
      </x:c>
      <x:c r="S558" s="50" t="str">
        <x:f>IF(R558&gt;='Rubrik'!$B$17,"Öncelikli video",IF(R558&gt;='Rubrik'!$B$18,"Video kuyruğu",IF(R558&gt;='Rubrik'!$B$19,"Revize et",IF(R558&gt;='Rubrik'!$B$20,"Kartla test","Düşük öncelik"))))</x:f>
        <x:v>Kartla test</x:v>
      </x:c>
      <x:c r="T558" s="50" t="str">
        <x:f>IF(AND(R558&gt;=85,P558&gt;=16,M558&gt;=12,L558&gt;=12),"Reel + Carousel",IF(AND(R558&gt;=85,P558&gt;=16,N558&gt;=8),"Soru odaklı Reel",IF(AND(R558&gt;=85,P558&gt;=16),"Reel / Short",IF(M558&gt;=11,"Carousel","Kart testi"))))</x:f>
        <x:v>Carousel</x:v>
      </x:c>
      <x:c r="U558" s="46" t="str">
        <x:v>Portekiz’e uzanan müzakere öyküsü akıcı; hastalık numarası önerisi etik ve marka güvenliği açısından sorunlu.</x:v>
      </x:c>
      <x:c r="V558" s="46" t="str">
        <x:f>IF(Q558&lt;=3,"Kaynak kontrolü şart",IF(Q558=4,"Kaynak kontrolü önerilir","Standart doğrulama"))</x:f>
        <x:v>Kaynak kontrolü şart</x:v>
      </x:c>
    </x:row>
    <x:row r="559" ht="24" customHeight="1">
      <x:c r="A559" s="48" t="n">
        <x:f>COUNTIF($R$2:$R$751,"&gt;"&amp;R559)+COUNTIF($R$2:R559,R559)</x:f>
        <x:v>558</x:v>
      </x:c>
      <x:c r="B559" s="48" t="n">
        <x:v>1629</x:v>
      </x:c>
      <x:c r="C559" s="46" t="str">
        <x:v>Toplumsal travma — sessizliğin suç ortaklığı</x:v>
      </x:c>
      <x:c r="D559" s="34" t="str">
        <x:v>Psikoloji</x:v>
      </x:c>
      <x:c r="E559" s="34" t="str">
        <x:v>Psikoloji</x:v>
      </x:c>
      <x:c r="F559" s="34" t="str">
        <x:v>Travma ve İyileşme</x:v>
      </x:c>
      <x:c r="G559" s="34" t="str">
        <x:v>Judith Herman</x:v>
      </x:c>
      <x:c r="H559" s="50" t="str">
        <x:v>1</x:v>
      </x:c>
      <x:c r="I559" s="50" t="str">
        <x:v>Temel</x:v>
      </x:c>
      <x:c r="J559" s="51" t="n">
        <x:v>10</x:v>
      </x:c>
      <x:c r="K559" s="51" t="n">
        <x:v>8</x:v>
      </x:c>
      <x:c r="L559" s="51" t="n">
        <x:v>9</x:v>
      </x:c>
      <x:c r="M559" s="51" t="n">
        <x:v>9</x:v>
      </x:c>
      <x:c r="N559" s="51" t="n">
        <x:v>7</x:v>
      </x:c>
      <x:c r="O559" s="51" t="n">
        <x:v>7</x:v>
      </x:c>
      <x:c r="P559" s="51" t="n">
        <x:v>15</x:v>
      </x:c>
      <x:c r="Q559" s="51" t="n">
        <x:v>5</x:v>
      </x:c>
      <x:c r="R559" s="52" t="n">
        <x:f>SUM(J559:Q559)</x:f>
        <x:v>70</x:v>
      </x:c>
      <x:c r="S559" s="50" t="str">
        <x:f>IF(R559&gt;='Rubrik'!$B$17,"Öncelikli video",IF(R559&gt;='Rubrik'!$B$18,"Video kuyruğu",IF(R559&gt;='Rubrik'!$B$19,"Revize et",IF(R559&gt;='Rubrik'!$B$20,"Kartla test","Düşük öncelik"))))</x:f>
        <x:v>Kartla test</x:v>
      </x:c>
      <x:c r="T559" s="50" t="str">
        <x:f>IF(AND(R559&gt;=85,P559&gt;=16,M559&gt;=12,L559&gt;=12),"Reel + Carousel",IF(AND(R559&gt;=85,P559&gt;=16,N559&gt;=8),"Soru odaklı Reel",IF(AND(R559&gt;=85,P559&gt;=16),"Reel / Short",IF(M559&gt;=11,"Carousel","Kart testi"))))</x:f>
        <x:v>Kart testi</x:v>
      </x:c>
      <x:c r="U559" s="46" t="str">
        <x:v>Somut sahne ve sayısal ayrıntı güçlü bir video açılışı sağlıyor; paylaşılabilirlik geliştirilmeli.</x:v>
      </x:c>
      <x:c r="V559" s="46" t="str">
        <x:f>IF(Q559&lt;=3,"Kaynak kontrolü şart",IF(Q559=4,"Kaynak kontrolü önerilir","Standart doğrulama"))</x:f>
        <x:v>Standart doğrulama</x:v>
      </x:c>
    </x:row>
    <x:row r="560" ht="24" customHeight="1">
      <x:c r="A560" s="48" t="n">
        <x:f>COUNTIF($R$2:$R$751,"&gt;"&amp;R560)+COUNTIF($R$2:R560,R560)</x:f>
        <x:v>559</x:v>
      </x:c>
      <x:c r="B560" s="48" t="n">
        <x:v>1075</x:v>
      </x:c>
      <x:c r="C560" s="46" t="str">
        <x:v>Edison'ın 10.000 başarısızlığı</x:v>
      </x:c>
      <x:c r="D560" s="34" t="str">
        <x:v>Büyüme</x:v>
      </x:c>
      <x:c r="E560" s="34" t="str">
        <x:v>Motivasyon</x:v>
      </x:c>
      <x:c r="F560" s="34" t="str">
        <x:v>Düşün ve Zengin Ol</x:v>
      </x:c>
      <x:c r="G560" s="34" t="str">
        <x:v>Napoleon Hill</x:v>
      </x:c>
      <x:c r="H560" s="50" t="str">
        <x:v>1</x:v>
      </x:c>
      <x:c r="I560" s="50" t="str">
        <x:v>Temel</x:v>
      </x:c>
      <x:c r="J560" s="51" t="n">
        <x:v>13</x:v>
      </x:c>
      <x:c r="K560" s="51" t="n">
        <x:v>7</x:v>
      </x:c>
      <x:c r="L560" s="51" t="n">
        <x:v>10</x:v>
      </x:c>
      <x:c r="M560" s="51" t="n">
        <x:v>11</x:v>
      </x:c>
      <x:c r="N560" s="51" t="n">
        <x:v>8</x:v>
      </x:c>
      <x:c r="O560" s="51" t="n">
        <x:v>6</x:v>
      </x:c>
      <x:c r="P560" s="51" t="n">
        <x:v>14</x:v>
      </x:c>
      <x:c r="Q560" s="51" t="n">
        <x:v>1</x:v>
      </x:c>
      <x:c r="R560" s="52" t="n">
        <x:f>SUM(J560:Q560)</x:f>
        <x:v>70</x:v>
      </x:c>
      <x:c r="S560" s="50" t="str">
        <x:f>IF(R560&gt;='Rubrik'!$B$17,"Öncelikli video",IF(R560&gt;='Rubrik'!$B$18,"Video kuyruğu",IF(R560&gt;='Rubrik'!$B$19,"Revize et",IF(R560&gt;='Rubrik'!$B$20,"Kartla test","Düşük öncelik"))))</x:f>
        <x:v>Kartla test</x:v>
      </x:c>
      <x:c r="T560" s="50" t="str">
        <x:f>IF(AND(R560&gt;=85,P560&gt;=16,M560&gt;=12,L560&gt;=12),"Reel + Carousel",IF(AND(R560&gt;=85,P560&gt;=16,N560&gt;=8),"Soru odaklı Reel",IF(AND(R560&gt;=85,P560&gt;=16),"Reel / Short",IF(M560&gt;=11,"Carousel","Kart testi"))))</x:f>
        <x:v>Carousel</x:v>
      </x:c>
      <x:c r="U560" s="46" t="str">
        <x:v>On bin deneme sözü akılda kalıyor ama çok kullanılmış ve tartışmalı; özgün sosyal etki sınırlı.</x:v>
      </x:c>
      <x:c r="V560" s="46" t="str">
        <x:f>IF(Q560&lt;=3,"Kaynak kontrolü şart",IF(Q560=4,"Kaynak kontrolü önerilir","Standart doğrulama"))</x:f>
        <x:v>Kaynak kontrolü şart</x:v>
      </x:c>
    </x:row>
    <x:row r="561" ht="24" customHeight="1">
      <x:c r="A561" s="48" t="n">
        <x:f>COUNTIF($R$2:$R$751,"&gt;"&amp;R561)+COUNTIF($R$2:R561,R561)</x:f>
        <x:v>560</x:v>
      </x:c>
      <x:c r="B561" s="48" t="n">
        <x:v>1105</x:v>
      </x:c>
      <x:c r="C561" s="46" t="str">
        <x:v>Talleyrand'ın hayatta kalma sanatı</x:v>
      </x:c>
      <x:c r="D561" s="34" t="str">
        <x:v>Liderlik</x:v>
      </x:c>
      <x:c r="E561" s="34" t="str">
        <x:v>Strateji</x:v>
      </x:c>
      <x:c r="F561" s="34" t="str">
        <x:v>Güç Yasaları</x:v>
      </x:c>
      <x:c r="G561" s="34" t="str">
        <x:v>Robert Greene</x:v>
      </x:c>
      <x:c r="H561" s="50" t="str">
        <x:v>1</x:v>
      </x:c>
      <x:c r="I561" s="50" t="str">
        <x:v>Temel</x:v>
      </x:c>
      <x:c r="J561" s="51" t="n">
        <x:v>13</x:v>
      </x:c>
      <x:c r="K561" s="51" t="n">
        <x:v>7</x:v>
      </x:c>
      <x:c r="L561" s="51" t="n">
        <x:v>10</x:v>
      </x:c>
      <x:c r="M561" s="51" t="n">
        <x:v>9</x:v>
      </x:c>
      <x:c r="N561" s="51" t="n">
        <x:v>9</x:v>
      </x:c>
      <x:c r="O561" s="51" t="n">
        <x:v>7</x:v>
      </x:c>
      <x:c r="P561" s="51" t="n">
        <x:v>14</x:v>
      </x:c>
      <x:c r="Q561" s="51" t="n">
        <x:v>1</x:v>
      </x:c>
      <x:c r="R561" s="52" t="n">
        <x:f>SUM(J561:Q561)</x:f>
        <x:v>70</x:v>
      </x:c>
      <x:c r="S561" s="50" t="str">
        <x:f>IF(R561&gt;='Rubrik'!$B$17,"Öncelikli video",IF(R561&gt;='Rubrik'!$B$18,"Video kuyruğu",IF(R561&gt;='Rubrik'!$B$19,"Revize et",IF(R561&gt;='Rubrik'!$B$20,"Kartla test","Düşük öncelik"))))</x:f>
        <x:v>Kartla test</x:v>
      </x:c>
      <x:c r="T561" s="50" t="str">
        <x:f>IF(AND(R561&gt;=85,P561&gt;=16,M561&gt;=12,L561&gt;=12),"Reel + Carousel",IF(AND(R561&gt;=85,P561&gt;=16,N561&gt;=8),"Soru odaklı Reel",IF(AND(R561&gt;=85,P561&gt;=16),"Reel / Short",IF(M561&gt;=11,"Carousel","Kart testi"))))</x:f>
        <x:v>Kart testi</x:v>
      </x:c>
      <x:c r="U561" s="46" t="str">
        <x:v>Dört rejimde kalan diplomat merak uyandırıyor; Napoleon diyaloğu ve güç dersleri kaynaklandırılmalı.</x:v>
      </x:c>
      <x:c r="V561" s="46" t="str">
        <x:f>IF(Q561&lt;=3,"Kaynak kontrolü şart",IF(Q561=4,"Kaynak kontrolü önerilir","Standart doğrulama"))</x:f>
        <x:v>Kaynak kontrolü şart</x:v>
      </x:c>
    </x:row>
    <x:row r="562" ht="24" customHeight="1">
      <x:c r="A562" s="48" t="n">
        <x:f>COUNTIF($R$2:$R$751,"&gt;"&amp;R562)+COUNTIF($R$2:R562,R562)</x:f>
        <x:v>561</x:v>
      </x:c>
      <x:c r="B562" s="48" t="n">
        <x:v>1273</x:v>
      </x:c>
      <x:c r="C562" s="46" t="str">
        <x:v>Hemingway'in biyolojik saat ritmi</x:v>
      </x:c>
      <x:c r="D562" s="34" t="str">
        <x:v>Verimlilik</x:v>
      </x:c>
      <x:c r="E562" s="34" t="str">
        <x:v>Verimlilik</x:v>
      </x:c>
      <x:c r="F562" s="34" t="str">
        <x:v>Saatlerin Efendisi</x:v>
      </x:c>
      <x:c r="G562" s="34" t="str">
        <x:v>Daniel Pink</x:v>
      </x:c>
      <x:c r="H562" s="50" t="str">
        <x:v>1</x:v>
      </x:c>
      <x:c r="I562" s="50" t="str">
        <x:v>Temel</x:v>
      </x:c>
      <x:c r="J562" s="51" t="n">
        <x:v>12</x:v>
      </x:c>
      <x:c r="K562" s="51" t="n">
        <x:v>5</x:v>
      </x:c>
      <x:c r="L562" s="51" t="n">
        <x:v>10</x:v>
      </x:c>
      <x:c r="M562" s="51" t="n">
        <x:v>12</x:v>
      </x:c>
      <x:c r="N562" s="51" t="n">
        <x:v>8</x:v>
      </x:c>
      <x:c r="O562" s="51" t="n">
        <x:v>7</x:v>
      </x:c>
      <x:c r="P562" s="51" t="n">
        <x:v>14</x:v>
      </x:c>
      <x:c r="Q562" s="51" t="n">
        <x:v>2</x:v>
      </x:c>
      <x:c r="R562" s="52" t="n">
        <x:f>SUM(J562:Q562)</x:f>
        <x:v>70</x:v>
      </x:c>
      <x:c r="S562" s="50" t="str">
        <x:f>IF(R562&gt;='Rubrik'!$B$17,"Öncelikli video",IF(R562&gt;='Rubrik'!$B$18,"Video kuyruğu",IF(R562&gt;='Rubrik'!$B$19,"Revize et",IF(R562&gt;='Rubrik'!$B$20,"Kartla test","Düşük öncelik"))))</x:f>
        <x:v>Kartla test</x:v>
      </x:c>
      <x:c r="T562" s="50" t="str">
        <x:f>IF(AND(R562&gt;=85,P562&gt;=16,M562&gt;=12,L562&gt;=12),"Reel + Carousel",IF(AND(R562&gt;=85,P562&gt;=16,N562&gt;=8),"Soru odaklı Reel",IF(AND(R562&gt;=85,P562&gt;=16),"Reel / Short",IF(M562&gt;=11,"Carousel","Kart testi"))))</x:f>
        <x:v>Carousel</x:v>
      </x:c>
      <x:c r="U562" s="46" t="str">
        <x:v>Hemingway rutini iyi bir giriş ve pratik soru sağlıyor; günün ideal saatlerini herkese genellemek zayıf.</x:v>
      </x:c>
      <x:c r="V562" s="46" t="str">
        <x:f>IF(Q562&lt;=3,"Kaynak kontrolü şart",IF(Q562=4,"Kaynak kontrolü önerilir","Standart doğrulama"))</x:f>
        <x:v>Kaynak kontrolü şart</x:v>
      </x:c>
    </x:row>
    <x:row r="563" ht="24" customHeight="1">
      <x:c r="A563" s="48" t="n">
        <x:f>COUNTIF($R$2:$R$751,"&gt;"&amp;R563)+COUNTIF($R$2:R563,R563)</x:f>
        <x:v>562</x:v>
      </x:c>
      <x:c r="B563" s="48" t="n">
        <x:v>1399</x:v>
      </x:c>
      <x:c r="C563" s="46" t="str">
        <x:v>Japonya'da cep telefonuyla koordinasyon</x:v>
      </x:c>
      <x:c r="D563" s="34" t="str">
        <x:v>Bilim</x:v>
      </x:c>
      <x:c r="E563" s="34" t="str">
        <x:v>Teknoloji</x:v>
      </x:c>
      <x:c r="F563" s="34" t="str">
        <x:v>Zeki Kalabalıklar</x:v>
      </x:c>
      <x:c r="G563" s="34" t="str">
        <x:v>Howard Rheingold</x:v>
      </x:c>
      <x:c r="H563" s="50" t="str">
        <x:v>1</x:v>
      </x:c>
      <x:c r="I563" s="50" t="str">
        <x:v>Temel</x:v>
      </x:c>
      <x:c r="J563" s="51" t="n">
        <x:v>11</x:v>
      </x:c>
      <x:c r="K563" s="51" t="n">
        <x:v>6</x:v>
      </x:c>
      <x:c r="L563" s="51" t="n">
        <x:v>10</x:v>
      </x:c>
      <x:c r="M563" s="51" t="n">
        <x:v>10</x:v>
      </x:c>
      <x:c r="N563" s="51" t="n">
        <x:v>9</x:v>
      </x:c>
      <x:c r="O563" s="51" t="n">
        <x:v>7</x:v>
      </x:c>
      <x:c r="P563" s="51" t="n">
        <x:v>14</x:v>
      </x:c>
      <x:c r="Q563" s="51" t="n">
        <x:v>3</x:v>
      </x:c>
      <x:c r="R563" s="52" t="n">
        <x:f>SUM(J563:Q563)</x:f>
        <x:v>70</x:v>
      </x:c>
      <x:c r="S563" s="50" t="str">
        <x:f>IF(R563&gt;='Rubrik'!$B$17,"Öncelikli video",IF(R563&gt;='Rubrik'!$B$18,"Video kuyruğu",IF(R563&gt;='Rubrik'!$B$19,"Revize et",IF(R563&gt;='Rubrik'!$B$20,"Kartla test","Düşük öncelik"))))</x:f>
        <x:v>Kartla test</x:v>
      </x:c>
      <x:c r="T563" s="50" t="str">
        <x:f>IF(AND(R563&gt;=85,P563&gt;=16,M563&gt;=12,L563&gt;=12),"Reel + Carousel",IF(AND(R563&gt;=85,P563&gt;=16,N563&gt;=8),"Soru odaklı Reel",IF(AND(R563&gt;=85,P563&gt;=16),"Reel / Short",IF(M563&gt;=11,"Carousel","Kart testi"))))</x:f>
        <x:v>Kart testi</x:v>
      </x:c>
      <x:c r="U563" s="46" t="str">
        <x:v>2002 Tokyo sahnesi ağ koordinasyonunu tarihsel bağlama koyuyor; bugün şaşırtıcılığı ve uygulanabilirliği düşük.</x:v>
      </x:c>
      <x:c r="V563" s="46" t="str">
        <x:f>IF(Q563&lt;=3,"Kaynak kontrolü şart",IF(Q563=4,"Kaynak kontrolü önerilir","Standart doğrulama"))</x:f>
        <x:v>Kaynak kontrolü şart</x:v>
      </x:c>
    </x:row>
    <x:row r="564" ht="24" customHeight="1">
      <x:c r="A564" s="48" t="n">
        <x:f>COUNTIF($R$2:$R$751,"&gt;"&amp;R564)+COUNTIF($R$2:R564,R564)</x:f>
        <x:v>563</x:v>
      </x:c>
      <x:c r="B564" s="48" t="n">
        <x:v>1414</x:v>
      </x:c>
      <x:c r="C564" s="46" t="str">
        <x:v>Tavan yasası — kim olduğun neye ulaşabileceğini belirler</x:v>
      </x:c>
      <x:c r="D564" s="34" t="str">
        <x:v>Liderlik</x:v>
      </x:c>
      <x:c r="E564" s="34" t="str">
        <x:v>Liderlik</x:v>
      </x:c>
      <x:c r="F564" s="34" t="str">
        <x:v>Liderlik 21 Yasası</x:v>
      </x:c>
      <x:c r="G564" s="34" t="str">
        <x:v>John C. Maxwell</x:v>
      </x:c>
      <x:c r="H564" s="50" t="str">
        <x:v>1</x:v>
      </x:c>
      <x:c r="I564" s="50" t="str">
        <x:v>Temel</x:v>
      </x:c>
      <x:c r="J564" s="51" t="n">
        <x:v>11</x:v>
      </x:c>
      <x:c r="K564" s="51" t="n">
        <x:v>6</x:v>
      </x:c>
      <x:c r="L564" s="51" t="n">
        <x:v>10</x:v>
      </x:c>
      <x:c r="M564" s="51" t="n">
        <x:v>12</x:v>
      </x:c>
      <x:c r="N564" s="51" t="n">
        <x:v>9</x:v>
      </x:c>
      <x:c r="O564" s="51" t="n">
        <x:v>6</x:v>
      </x:c>
      <x:c r="P564" s="51" t="n">
        <x:v>14</x:v>
      </x:c>
      <x:c r="Q564" s="51" t="n">
        <x:v>2</x:v>
      </x:c>
      <x:c r="R564" s="52" t="n">
        <x:f>SUM(J564:Q564)</x:f>
        <x:v>70</x:v>
      </x:c>
      <x:c r="S564" s="50" t="str">
        <x:f>IF(R564&gt;='Rubrik'!$B$17,"Öncelikli video",IF(R564&gt;='Rubrik'!$B$18,"Video kuyruğu",IF(R564&gt;='Rubrik'!$B$19,"Revize et",IF(R564&gt;='Rubrik'!$B$20,"Kartla test","Düşük öncelik"))))</x:f>
        <x:v>Kartla test</x:v>
      </x:c>
      <x:c r="T564" s="50" t="str">
        <x:f>IF(AND(R564&gt;=85,P564&gt;=16,M564&gt;=12,L564&gt;=12),"Reel + Carousel",IF(AND(R564&gt;=85,P564&gt;=16,N564&gt;=8),"Soru odaklı Reel",IF(AND(R564&gt;=85,P564&gt;=16),"Reel / Short",IF(M564&gt;=11,"Carousel","Kart testi"))))</x:f>
        <x:v>Carousel</x:v>
      </x:c>
      <x:c r="U564" s="46" t="str">
        <x:v>Liderlik tavanı kolay anlaşılır ve öz puanlama doğurur; senaryo kanıtsız, “yasa” dili aşırı iddialı.</x:v>
      </x:c>
      <x:c r="V564" s="46" t="str">
        <x:f>IF(Q564&lt;=3,"Kaynak kontrolü şart",IF(Q564=4,"Kaynak kontrolü önerilir","Standart doğrulama"))</x:f>
        <x:v>Kaynak kontrolü şart</x:v>
      </x:c>
    </x:row>
    <x:row r="565" ht="24" customHeight="1">
      <x:c r="A565" s="48" t="n">
        <x:f>COUNTIF($R$2:$R$751,"&gt;"&amp;R565)+COUNTIF($R$2:R565,R565)</x:f>
        <x:v>564</x:v>
      </x:c>
      <x:c r="B565" s="48" t="n">
        <x:v>1415</x:v>
      </x:c>
      <x:c r="C565" s="46" t="str">
        <x:v>Etkinin yasası — asıl para birimi ilişki</x:v>
      </x:c>
      <x:c r="D565" s="34" t="str">
        <x:v>Liderlik</x:v>
      </x:c>
      <x:c r="E565" s="34" t="str">
        <x:v>Liderlik</x:v>
      </x:c>
      <x:c r="F565" s="34" t="str">
        <x:v>Liderlik 21 Yasası</x:v>
      </x:c>
      <x:c r="G565" s="34" t="str">
        <x:v>John C. Maxwell</x:v>
      </x:c>
      <x:c r="H565" s="50" t="str">
        <x:v>1</x:v>
      </x:c>
      <x:c r="I565" s="50" t="str">
        <x:v>Temel</x:v>
      </x:c>
      <x:c r="J565" s="51" t="n">
        <x:v>11</x:v>
      </x:c>
      <x:c r="K565" s="51" t="n">
        <x:v>7</x:v>
      </x:c>
      <x:c r="L565" s="51" t="n">
        <x:v>10</x:v>
      </x:c>
      <x:c r="M565" s="51" t="n">
        <x:v>11</x:v>
      </x:c>
      <x:c r="N565" s="51" t="n">
        <x:v>9</x:v>
      </x:c>
      <x:c r="O565" s="51" t="n">
        <x:v>6</x:v>
      </x:c>
      <x:c r="P565" s="51" t="n">
        <x:v>14</x:v>
      </x:c>
      <x:c r="Q565" s="51" t="n">
        <x:v>2</x:v>
      </x:c>
      <x:c r="R565" s="52" t="n">
        <x:f>SUM(J565:Q565)</x:f>
        <x:v>70</x:v>
      </x:c>
      <x:c r="S565" s="50" t="str">
        <x:f>IF(R565&gt;='Rubrik'!$B$17,"Öncelikli video",IF(R565&gt;='Rubrik'!$B$18,"Video kuyruğu",IF(R565&gt;='Rubrik'!$B$19,"Revize et",IF(R565&gt;='Rubrik'!$B$20,"Kartla test","Düşük öncelik"))))</x:f>
        <x:v>Kartla test</x:v>
      </x:c>
      <x:c r="T565" s="50" t="str">
        <x:f>IF(AND(R565&gt;=85,P565&gt;=16,M565&gt;=12,L565&gt;=12),"Reel + Carousel",IF(AND(R565&gt;=85,P565&gt;=16,N565&gt;=8),"Soru odaklı Reel",IF(AND(R565&gt;=85,P565&gt;=16),"Reel / Short",IF(M565&gt;=11,"Carousel","Kart testi"))))</x:f>
        <x:v>Carousel</x:v>
      </x:c>
      <x:c r="U565" s="46" t="str">
        <x:v>Pozisyon yerine gönüllü takip anlamlı; isimsiz vaiz öyküsü ve etkinin tek liderlik tanımı olması zayıf.</x:v>
      </x:c>
      <x:c r="V565" s="46" t="str">
        <x:f>IF(Q565&lt;=3,"Kaynak kontrolü şart",IF(Q565=4,"Kaynak kontrolü önerilir","Standart doğrulama"))</x:f>
        <x:v>Kaynak kontrolü şart</x:v>
      </x:c>
    </x:row>
    <x:row r="566" ht="24" customHeight="1">
      <x:c r="A566" s="48" t="n">
        <x:f>COUNTIF($R$2:$R$751,"&gt;"&amp;R566)+COUNTIF($R$2:R566,R566)</x:f>
        <x:v>565</x:v>
      </x:c>
      <x:c r="B566" s="48" t="n">
        <x:v>1628</x:v>
      </x:c>
      <x:c r="C566" s="46" t="str">
        <x:v>Güç ve bağ — iyileşmenin iki ayağı</x:v>
      </x:c>
      <x:c r="D566" s="34" t="str">
        <x:v>Psikoloji</x:v>
      </x:c>
      <x:c r="E566" s="34" t="str">
        <x:v>Psikoloji</x:v>
      </x:c>
      <x:c r="F566" s="34" t="str">
        <x:v>Travma ve İyileşme</x:v>
      </x:c>
      <x:c r="G566" s="34" t="str">
        <x:v>Judith Herman</x:v>
      </x:c>
      <x:c r="H566" s="50" t="str">
        <x:v>1</x:v>
      </x:c>
      <x:c r="I566" s="50" t="str">
        <x:v>Temel</x:v>
      </x:c>
      <x:c r="J566" s="51" t="n">
        <x:v>9</x:v>
      </x:c>
      <x:c r="K566" s="51" t="n">
        <x:v>9</x:v>
      </x:c>
      <x:c r="L566" s="51" t="n">
        <x:v>10</x:v>
      </x:c>
      <x:c r="M566" s="51" t="n">
        <x:v>10</x:v>
      </x:c>
      <x:c r="N566" s="51" t="n">
        <x:v>7</x:v>
      </x:c>
      <x:c r="O566" s="51" t="n">
        <x:v>7</x:v>
      </x:c>
      <x:c r="P566" s="51" t="n">
        <x:v>14</x:v>
      </x:c>
      <x:c r="Q566" s="51" t="n">
        <x:v>4</x:v>
      </x:c>
      <x:c r="R566" s="52" t="n">
        <x:f>SUM(J566:Q566)</x:f>
        <x:v>70</x:v>
      </x:c>
      <x:c r="S566" s="50" t="str">
        <x:f>IF(R566&gt;='Rubrik'!$B$17,"Öncelikli video",IF(R566&gt;='Rubrik'!$B$18,"Video kuyruğu",IF(R566&gt;='Rubrik'!$B$19,"Revize et",IF(R566&gt;='Rubrik'!$B$20,"Kartla test","Düşük öncelik"))))</x:f>
        <x:v>Kartla test</x:v>
      </x:c>
      <x:c r="T566" s="50" t="str">
        <x:f>IF(AND(R566&gt;=85,P566&gt;=16,M566&gt;=12,L566&gt;=12),"Reel + Carousel",IF(AND(R566&gt;=85,P566&gt;=16,N566&gt;=8),"Soru odaklı Reel",IF(AND(R566&gt;=85,P566&gt;=16),"Reel / Short",IF(M566&gt;=11,"Carousel","Kart testi"))))</x:f>
        <x:v>Kart testi</x:v>
      </x:c>
      <x:c r="U566" s="46" t="str">
        <x:v>Duygusal karşıtlık paylaşma ve kişisel anlatma isteğini yükseltiyor; ilk saniye etkisi geliştirilmeli.</x:v>
      </x:c>
      <x:c r="V566" s="46" t="str">
        <x:f>IF(Q566&lt;=3,"Kaynak kontrolü şart",IF(Q566=4,"Kaynak kontrolü önerilir","Standart doğrulama"))</x:f>
        <x:v>Kaynak kontrolü önerilir</x:v>
      </x:c>
    </x:row>
    <x:row r="567" ht="24" customHeight="1">
      <x:c r="A567" s="48" t="n">
        <x:f>COUNTIF($R$2:$R$751,"&gt;"&amp;R567)+COUNTIF($R$2:R567,R567)</x:f>
        <x:v>566</x:v>
      </x:c>
      <x:c r="B567" s="48" t="n">
        <x:v>1633</x:v>
      </x:c>
      <x:c r="C567" s="46" t="str">
        <x:v>DEHB bir bozukluk değil — uyumsuzluk</x:v>
      </x:c>
      <x:c r="D567" s="34" t="str">
        <x:v>Psikoloji</x:v>
      </x:c>
      <x:c r="E567" s="34" t="str">
        <x:v>Psikoloji</x:v>
      </x:c>
      <x:c r="F567" s="34" t="str">
        <x:v>Dağınık Beyin</x:v>
      </x:c>
      <x:c r="G567" s="34" t="str">
        <x:v>Gabor Maté</x:v>
      </x:c>
      <x:c r="H567" s="50" t="str">
        <x:v>1</x:v>
      </x:c>
      <x:c r="I567" s="50" t="str">
        <x:v>Temel</x:v>
      </x:c>
      <x:c r="J567" s="51" t="n">
        <x:v>10</x:v>
      </x:c>
      <x:c r="K567" s="51" t="n">
        <x:v>8</x:v>
      </x:c>
      <x:c r="L567" s="51" t="n">
        <x:v>10</x:v>
      </x:c>
      <x:c r="M567" s="51" t="n">
        <x:v>11</x:v>
      </x:c>
      <x:c r="N567" s="51" t="n">
        <x:v>7</x:v>
      </x:c>
      <x:c r="O567" s="51" t="n">
        <x:v>7</x:v>
      </x:c>
      <x:c r="P567" s="51" t="n">
        <x:v>14</x:v>
      </x:c>
      <x:c r="Q567" s="51" t="n">
        <x:v>3</x:v>
      </x:c>
      <x:c r="R567" s="52" t="n">
        <x:f>SUM(J567:Q567)</x:f>
        <x:v>70</x:v>
      </x:c>
      <x:c r="S567" s="50" t="str">
        <x:f>IF(R567&gt;='Rubrik'!$B$17,"Öncelikli video",IF(R567&gt;='Rubrik'!$B$18,"Video kuyruğu",IF(R567&gt;='Rubrik'!$B$19,"Revize et",IF(R567&gt;='Rubrik'!$B$20,"Kartla test","Düşük öncelik"))))</x:f>
        <x:v>Kartla test</x:v>
      </x:c>
      <x:c r="T567" s="50" t="str">
        <x:f>IF(AND(R567&gt;=85,P567&gt;=16,M567&gt;=12,L567&gt;=12),"Reel + Carousel",IF(AND(R567&gt;=85,P567&gt;=16,N567&gt;=8),"Soru odaklı Reel",IF(AND(R567&gt;=85,P567&gt;=16),"Reel / Short",IF(M567&gt;=11,"Carousel","Kart testi"))))</x:f>
        <x:v>Carousel</x:v>
      </x:c>
      <x:c r="U567" s="46" t="str">
        <x:v>Somut sahne ve sayısal ayrıntı güçlü bir video açılışı sağlıyor; paylaşılabilirlik geliştirilmeli.</x:v>
      </x:c>
      <x:c r="V567" s="46" t="str">
        <x:f>IF(Q567&lt;=3,"Kaynak kontrolü şart",IF(Q567=4,"Kaynak kontrolü önerilir","Standart doğrulama"))</x:f>
        <x:v>Kaynak kontrolü şart</x:v>
      </x:c>
    </x:row>
    <x:row r="568" ht="24" customHeight="1">
      <x:c r="A568" s="48" t="n">
        <x:f>COUNTIF($R$2:$R$751,"&gt;"&amp;R568)+COUNTIF($R$2:R568,R568)</x:f>
        <x:v>567</x:v>
      </x:c>
      <x:c r="B568" s="48" t="n">
        <x:v>1637</x:v>
      </x:c>
      <x:c r="C568" s="46" t="str">
        <x:v>Toksik toplum — bağımlılığı besleyen sistem</x:v>
      </x:c>
      <x:c r="D568" s="34" t="str">
        <x:v>Finans</x:v>
      </x:c>
      <x:c r="E568" s="34" t="str">
        <x:v>Satış</x:v>
      </x:c>
      <x:c r="F568" s="34" t="str">
        <x:v>Her Şey Gerçek Olabilir</x:v>
      </x:c>
      <x:c r="G568" s="34" t="str">
        <x:v>Gabor Maté</x:v>
      </x:c>
      <x:c r="H568" s="50" t="str">
        <x:v>1</x:v>
      </x:c>
      <x:c r="I568" s="50" t="str">
        <x:v>Temel</x:v>
      </x:c>
      <x:c r="J568" s="51" t="n">
        <x:v>9</x:v>
      </x:c>
      <x:c r="K568" s="51" t="n">
        <x:v>9</x:v>
      </x:c>
      <x:c r="L568" s="51" t="n">
        <x:v>10</x:v>
      </x:c>
      <x:c r="M568" s="51" t="n">
        <x:v>10</x:v>
      </x:c>
      <x:c r="N568" s="51" t="n">
        <x:v>7</x:v>
      </x:c>
      <x:c r="O568" s="51" t="n">
        <x:v>7</x:v>
      </x:c>
      <x:c r="P568" s="51" t="n">
        <x:v>14</x:v>
      </x:c>
      <x:c r="Q568" s="51" t="n">
        <x:v>4</x:v>
      </x:c>
      <x:c r="R568" s="52" t="n">
        <x:f>SUM(J568:Q568)</x:f>
        <x:v>70</x:v>
      </x:c>
      <x:c r="S568" s="50" t="str">
        <x:f>IF(R568&gt;='Rubrik'!$B$17,"Öncelikli video",IF(R568&gt;='Rubrik'!$B$18,"Video kuyruğu",IF(R568&gt;='Rubrik'!$B$19,"Revize et",IF(R568&gt;='Rubrik'!$B$20,"Kartla test","Düşük öncelik"))))</x:f>
        <x:v>Kartla test</x:v>
      </x:c>
      <x:c r="T568" s="50" t="str">
        <x:f>IF(AND(R568&gt;=85,P568&gt;=16,M568&gt;=12,L568&gt;=12),"Reel + Carousel",IF(AND(R568&gt;=85,P568&gt;=16,N568&gt;=8),"Soru odaklı Reel",IF(AND(R568&gt;=85,P568&gt;=16),"Reel / Short",IF(M568&gt;=11,"Carousel","Kart testi"))))</x:f>
        <x:v>Kart testi</x:v>
      </x:c>
      <x:c r="U568" s="46" t="str">
        <x:v>Duygusal karşıtlık paylaşma ve kişisel anlatma isteğini yükseltiyor; ilk saniye etkisi geliştirilmeli.</x:v>
      </x:c>
      <x:c r="V568" s="46" t="str">
        <x:f>IF(Q568&lt;=3,"Kaynak kontrolü şart",IF(Q568=4,"Kaynak kontrolü önerilir","Standart doğrulama"))</x:f>
        <x:v>Kaynak kontrolü önerilir</x:v>
      </x:c>
    </x:row>
    <x:row r="569" ht="24" customHeight="1">
      <x:c r="A569" s="48" t="n">
        <x:f>COUNTIF($R$2:$R$751,"&gt;"&amp;R569)+COUNTIF($R$2:R569,R569)</x:f>
        <x:v>568</x:v>
      </x:c>
      <x:c r="B569" s="48" t="n">
        <x:v>1087</x:v>
      </x:c>
      <x:c r="C569" s="46" t="str">
        <x:v>Altın Çember ve ters düşünme</x:v>
      </x:c>
      <x:c r="D569" s="34" t="str">
        <x:v>Liderlik</x:v>
      </x:c>
      <x:c r="E569" s="34" t="str">
        <x:v>Liderlik</x:v>
      </x:c>
      <x:c r="F569" s="34" t="str">
        <x:v>Başlangıç Noktası</x:v>
      </x:c>
      <x:c r="G569" s="34" t="str">
        <x:v>Simon Sinek</x:v>
      </x:c>
      <x:c r="H569" s="50" t="str">
        <x:v>1</x:v>
      </x:c>
      <x:c r="I569" s="50" t="str">
        <x:v>Temel</x:v>
      </x:c>
      <x:c r="J569" s="51" t="n">
        <x:v>12</x:v>
      </x:c>
      <x:c r="K569" s="51" t="n">
        <x:v>7</x:v>
      </x:c>
      <x:c r="L569" s="51" t="n">
        <x:v>10</x:v>
      </x:c>
      <x:c r="M569" s="51" t="n">
        <x:v>13</x:v>
      </x:c>
      <x:c r="N569" s="51" t="n">
        <x:v>9</x:v>
      </x:c>
      <x:c r="O569" s="51" t="n">
        <x:v>5</x:v>
      </x:c>
      <x:c r="P569" s="51" t="n">
        <x:v>13</x:v>
      </x:c>
      <x:c r="Q569" s="51" t="n">
        <x:v>1</x:v>
      </x:c>
      <x:c r="R569" s="52" t="n">
        <x:f>SUM(J569:Q569)</x:f>
        <x:v>70</x:v>
      </x:c>
      <x:c r="S569" s="50" t="str">
        <x:f>IF(R569&gt;='Rubrik'!$B$17,"Öncelikli video",IF(R569&gt;='Rubrik'!$B$18,"Video kuyruğu",IF(R569&gt;='Rubrik'!$B$19,"Revize et",IF(R569&gt;='Rubrik'!$B$20,"Kartla test","Düşük öncelik"))))</x:f>
        <x:v>Kartla test</x:v>
      </x:c>
      <x:c r="T569" s="50" t="str">
        <x:f>IF(AND(R569&gt;=85,P569&gt;=16,M569&gt;=12,L569&gt;=12),"Reel + Carousel",IF(AND(R569&gt;=85,P569&gt;=16,N569&gt;=8),"Soru odaklı Reel",IF(AND(R569&gt;=85,P569&gt;=16),"Reel / Short",IF(M569&gt;=11,"Carousel","Kart testi"))))</x:f>
        <x:v>Carousel</x:v>
      </x:c>
      <x:c r="U569" s="46" t="str">
        <x:v>Nedenle başlama çerçevesi kullanışlı; limbik sistem açıklaması nörobilimi aşırı ve hatalı sadeleştiriyor.</x:v>
      </x:c>
      <x:c r="V569" s="46" t="str">
        <x:f>IF(Q569&lt;=3,"Kaynak kontrolü şart",IF(Q569=4,"Kaynak kontrolü önerilir","Standart doğrulama"))</x:f>
        <x:v>Kaynak kontrolü şart</x:v>
      </x:c>
    </x:row>
    <x:row r="570" ht="24" customHeight="1">
      <x:c r="A570" s="48" t="n">
        <x:f>COUNTIF($R$2:$R$751,"&gt;"&amp;R570)+COUNTIF($R$2:R570,R570)</x:f>
        <x:v>569</x:v>
      </x:c>
      <x:c r="B570" s="48" t="n">
        <x:v>1285</x:v>
      </x:c>
      <x:c r="C570" s="46" t="str">
        <x:v>Bahçıvan ve zihin toprağı</x:v>
      </x:c>
      <x:c r="D570" s="34" t="str">
        <x:v>Felsefe</x:v>
      </x:c>
      <x:c r="E570" s="34" t="str">
        <x:v>Felsefe</x:v>
      </x:c>
      <x:c r="F570" s="34" t="str">
        <x:v>İnsan Nasıl Düşünür</x:v>
      </x:c>
      <x:c r="G570" s="34" t="str">
        <x:v>James Allen</x:v>
      </x:c>
      <x:c r="H570" s="50" t="str">
        <x:v>1</x:v>
      </x:c>
      <x:c r="I570" s="50" t="str">
        <x:v>Temel</x:v>
      </x:c>
      <x:c r="J570" s="51" t="n">
        <x:v>11</x:v>
      </x:c>
      <x:c r="K570" s="51" t="n">
        <x:v>6</x:v>
      </x:c>
      <x:c r="L570" s="51" t="n">
        <x:v>10</x:v>
      </x:c>
      <x:c r="M570" s="51" t="n">
        <x:v>12</x:v>
      </x:c>
      <x:c r="N570" s="51" t="n">
        <x:v>8</x:v>
      </x:c>
      <x:c r="O570" s="51" t="n">
        <x:v>6</x:v>
      </x:c>
      <x:c r="P570" s="51" t="n">
        <x:v>13</x:v>
      </x:c>
      <x:c r="Q570" s="51" t="n">
        <x:v>4</x:v>
      </x:c>
      <x:c r="R570" s="52" t="n">
        <x:f>SUM(J570:Q570)</x:f>
        <x:v>70</x:v>
      </x:c>
      <x:c r="S570" s="50" t="str">
        <x:f>IF(R570&gt;='Rubrik'!$B$17,"Öncelikli video",IF(R570&gt;='Rubrik'!$B$18,"Video kuyruğu",IF(R570&gt;='Rubrik'!$B$19,"Revize et",IF(R570&gt;='Rubrik'!$B$20,"Kartla test","Düşük öncelik"))))</x:f>
        <x:v>Kartla test</x:v>
      </x:c>
      <x:c r="T570" s="50" t="str">
        <x:f>IF(AND(R570&gt;=85,P570&gt;=16,M570&gt;=12,L570&gt;=12),"Reel + Carousel",IF(AND(R570&gt;=85,P570&gt;=16,N570&gt;=8),"Soru odaklı Reel",IF(AND(R570&gt;=85,P570&gt;=16),"Reel / Short",IF(M570&gt;=11,"Carousel","Kart testi"))))</x:f>
        <x:v>Carousel</x:v>
      </x:c>
      <x:c r="U570" s="46" t="str">
        <x:v>Bahçe metaforu anlaşılır ve uygulanabilir; çok tanıdık oluşu özgünlük ve paylaşma isteğini sınırlıyor.</x:v>
      </x:c>
      <x:c r="V570" s="46" t="str">
        <x:f>IF(Q570&lt;=3,"Kaynak kontrolü şart",IF(Q570=4,"Kaynak kontrolü önerilir","Standart doğrulama"))</x:f>
        <x:v>Kaynak kontrolü önerilir</x:v>
      </x:c>
    </x:row>
    <x:row r="571" ht="24" customHeight="1">
      <x:c r="A571" s="48" t="n">
        <x:f>COUNTIF($R$2:$R$751,"&gt;"&amp;R571)+COUNTIF($R$2:R571,R571)</x:f>
        <x:v>570</x:v>
      </x:c>
      <x:c r="B571" s="48" t="n">
        <x:v>1367</x:v>
      </x:c>
      <x:c r="C571" s="46" t="str">
        <x:v>Tek kişilik şirketin gücü</x:v>
      </x:c>
      <x:c r="D571" s="34" t="str">
        <x:v>Verimlilik</x:v>
      </x:c>
      <x:c r="E571" s="34" t="str">
        <x:v>Girişimcilik</x:v>
      </x:c>
      <x:c r="F571" s="34" t="str">
        <x:v>Kendi Patronun Ol</x:v>
      </x:c>
      <x:c r="G571" s="34" t="str">
        <x:v>Paul Jarvis</x:v>
      </x:c>
      <x:c r="H571" s="50" t="str">
        <x:v>1</x:v>
      </x:c>
      <x:c r="I571" s="50" t="str">
        <x:v>Temel</x:v>
      </x:c>
      <x:c r="J571" s="51" t="n">
        <x:v>11</x:v>
      </x:c>
      <x:c r="K571" s="51" t="n">
        <x:v>6</x:v>
      </x:c>
      <x:c r="L571" s="51" t="n">
        <x:v>10</x:v>
      </x:c>
      <x:c r="M571" s="51" t="n">
        <x:v>13</x:v>
      </x:c>
      <x:c r="N571" s="51" t="n">
        <x:v>9</x:v>
      </x:c>
      <x:c r="O571" s="51" t="n">
        <x:v>6</x:v>
      </x:c>
      <x:c r="P571" s="51" t="n">
        <x:v>13</x:v>
      </x:c>
      <x:c r="Q571" s="51" t="n">
        <x:v>2</x:v>
      </x:c>
      <x:c r="R571" s="52" t="n">
        <x:f>SUM(J571:Q571)</x:f>
        <x:v>70</x:v>
      </x:c>
      <x:c r="S571" s="50" t="str">
        <x:f>IF(R571&gt;='Rubrik'!$B$17,"Öncelikli video",IF(R571&gt;='Rubrik'!$B$18,"Video kuyruğu",IF(R571&gt;='Rubrik'!$B$19,"Revize et",IF(R571&gt;='Rubrik'!$B$20,"Kartla test","Düşük öncelik"))))</x:f>
        <x:v>Kartla test</x:v>
      </x:c>
      <x:c r="T571" s="50" t="str">
        <x:f>IF(AND(R571&gt;=85,P571&gt;=16,M571&gt;=12,L571&gt;=12),"Reel + Carousel",IF(AND(R571&gt;=85,P571&gt;=16,N571&gt;=8),"Soru odaklı Reel",IF(AND(R571&gt;=85,P571&gt;=16),"Reel / Short",IF(M571&gt;=11,"Carousel","Kart testi"))))</x:f>
        <x:v>Carousel</x:v>
      </x:c>
      <x:c r="U571" s="46" t="str">
        <x:v>“Yeterli” eşiğini tanımlamak faydalı; küçük şirketlerin marj üstünlüğü verisiz ve hikâye akışı zayıf.</x:v>
      </x:c>
      <x:c r="V571" s="46" t="str">
        <x:f>IF(Q571&lt;=3,"Kaynak kontrolü şart",IF(Q571=4,"Kaynak kontrolü önerilir","Standart doğrulama"))</x:f>
        <x:v>Kaynak kontrolü şart</x:v>
      </x:c>
    </x:row>
    <x:row r="572" ht="24" customHeight="1">
      <x:c r="A572" s="48" t="n">
        <x:f>COUNTIF($R$2:$R$751,"&gt;"&amp;R572)+COUNTIF($R$2:R572,R572)</x:f>
        <x:v>571</x:v>
      </x:c>
      <x:c r="B572" s="48" t="n">
        <x:v>1398</x:v>
      </x:c>
      <x:c r="C572" s="46" t="str">
        <x:v>Sonsuz liderler ve güven kültürü</x:v>
      </x:c>
      <x:c r="D572" s="34" t="str">
        <x:v>Liderlik</x:v>
      </x:c>
      <x:c r="E572" s="34" t="str">
        <x:v>Strateji</x:v>
      </x:c>
      <x:c r="F572" s="34" t="str">
        <x:v>Sonsuz Oyun</x:v>
      </x:c>
      <x:c r="G572" s="34" t="str">
        <x:v>Simon Sinek</x:v>
      </x:c>
      <x:c r="H572" s="50" t="str">
        <x:v>1</x:v>
      </x:c>
      <x:c r="I572" s="50" t="str">
        <x:v>Temel</x:v>
      </x:c>
      <x:c r="J572" s="51" t="n">
        <x:v>10</x:v>
      </x:c>
      <x:c r="K572" s="51" t="n">
        <x:v>6</x:v>
      </x:c>
      <x:c r="L572" s="51" t="n">
        <x:v>10</x:v>
      </x:c>
      <x:c r="M572" s="51" t="n">
        <x:v>12</x:v>
      </x:c>
      <x:c r="N572" s="51" t="n">
        <x:v>9</x:v>
      </x:c>
      <x:c r="O572" s="51" t="n">
        <x:v>6</x:v>
      </x:c>
      <x:c r="P572" s="51" t="n">
        <x:v>13</x:v>
      </x:c>
      <x:c r="Q572" s="51" t="n">
        <x:v>4</x:v>
      </x:c>
      <x:c r="R572" s="52" t="n">
        <x:f>SUM(J572:Q572)</x:f>
        <x:v>70</x:v>
      </x:c>
      <x:c r="S572" s="50" t="str">
        <x:f>IF(R572&gt;='Rubrik'!$B$17,"Öncelikli video",IF(R572&gt;='Rubrik'!$B$18,"Video kuyruğu",IF(R572&gt;='Rubrik'!$B$19,"Revize et",IF(R572&gt;='Rubrik'!$B$20,"Kartla test","Düşük öncelik"))))</x:f>
        <x:v>Kartla test</x:v>
      </x:c>
      <x:c r="T572" s="50" t="str">
        <x:f>IF(AND(R572&gt;=85,P572&gt;=16,M572&gt;=12,L572&gt;=12),"Reel + Carousel",IF(AND(R572&gt;=85,P572&gt;=16,N572&gt;=8),"Soru odaklı Reel",IF(AND(R572&gt;=85,P572&gt;=16),"Reel / Short",IF(M572&gt;=11,"Carousel","Kart testi"))))</x:f>
        <x:v>Carousel</x:v>
      </x:c>
      <x:c r="U572" s="46" t="str">
        <x:v>Güveni sonsuz oyunun parası saymak anlamlı; somut kişi, kriz ve dönüş olmadığı için video gerilimi sınırlı.</x:v>
      </x:c>
      <x:c r="V572" s="46" t="str">
        <x:f>IF(Q572&lt;=3,"Kaynak kontrolü şart",IF(Q572=4,"Kaynak kontrolü önerilir","Standart doğrulama"))</x:f>
        <x:v>Kaynak kontrolü önerilir</x:v>
      </x:c>
    </x:row>
    <x:row r="573" ht="24" customHeight="1">
      <x:c r="A573" s="48" t="n">
        <x:f>COUNTIF($R$2:$R$751,"&gt;"&amp;R573)+COUNTIF($R$2:R573,R573)</x:f>
        <x:v>572</x:v>
      </x:c>
      <x:c r="B573" s="48" t="n">
        <x:v>1461</x:v>
      </x:c>
      <x:c r="C573" s="46" t="str">
        <x:v>Öz farkındalığın gücü ve kör nokta</x:v>
      </x:c>
      <x:c r="D573" s="34" t="str">
        <x:v>Liderlik</x:v>
      </x:c>
      <x:c r="E573" s="34" t="str">
        <x:v>Liderlik</x:v>
      </x:c>
      <x:c r="F573" s="34" t="str">
        <x:v>İş Hayatında Duygusal Zeka</x:v>
      </x:c>
      <x:c r="G573" s="34" t="str">
        <x:v>Daniel Goleman</x:v>
      </x:c>
      <x:c r="H573" s="50" t="str">
        <x:v>1</x:v>
      </x:c>
      <x:c r="I573" s="50" t="str">
        <x:v>Temel</x:v>
      </x:c>
      <x:c r="J573" s="51" t="n">
        <x:v>10</x:v>
      </x:c>
      <x:c r="K573" s="51" t="n">
        <x:v>5</x:v>
      </x:c>
      <x:c r="L573" s="51" t="n">
        <x:v>10</x:v>
      </x:c>
      <x:c r="M573" s="51" t="n">
        <x:v>14</x:v>
      </x:c>
      <x:c r="N573" s="51" t="n">
        <x:v>8</x:v>
      </x:c>
      <x:c r="O573" s="51" t="n">
        <x:v>6</x:v>
      </x:c>
      <x:c r="P573" s="51" t="n">
        <x:v>13</x:v>
      </x:c>
      <x:c r="Q573" s="51" t="n">
        <x:v>4</x:v>
      </x:c>
      <x:c r="R573" s="52" t="n">
        <x:f>SUM(J573:Q573)</x:f>
        <x:v>70</x:v>
      </x:c>
      <x:c r="S573" s="50" t="str">
        <x:f>IF(R573&gt;='Rubrik'!$B$17,"Öncelikli video",IF(R573&gt;='Rubrik'!$B$18,"Video kuyruğu",IF(R573&gt;='Rubrik'!$B$19,"Revize et",IF(R573&gt;='Rubrik'!$B$20,"Kartla test","Düşük öncelik"))))</x:f>
        <x:v>Kartla test</x:v>
      </x:c>
      <x:c r="T573" s="50" t="str">
        <x:f>IF(AND(R573&gt;=85,P573&gt;=16,M573&gt;=12,L573&gt;=12),"Reel + Carousel",IF(AND(R573&gt;=85,P573&gt;=16,N573&gt;=8),"Soru odaklı Reel",IF(AND(R573&gt;=85,P573&gt;=16),"Reel / Short",IF(M573&gt;=11,"Carousel","Kart testi"))))</x:f>
        <x:v>Carousel</x:v>
      </x:c>
      <x:c r="U573" s="46" t="str">
        <x:v>Kör noktalar ve geri bildirim sorusu öz değerlendirmeyi tetikliyor; sesli not için iyi bir kişisel egzersiz.</x:v>
      </x:c>
      <x:c r="V573" s="46" t="str">
        <x:f>IF(Q573&lt;=3,"Kaynak kontrolü şart",IF(Q573=4,"Kaynak kontrolü önerilir","Standart doğrulama"))</x:f>
        <x:v>Kaynak kontrolü önerilir</x:v>
      </x:c>
    </x:row>
    <x:row r="574" ht="24" customHeight="1">
      <x:c r="A574" s="48" t="n">
        <x:f>COUNTIF($R$2:$R$751,"&gt;"&amp;R574)+COUNTIF($R$2:R574,R574)</x:f>
        <x:v>573</x:v>
      </x:c>
      <x:c r="B574" s="48" t="n">
        <x:v>1482</x:v>
      </x:c>
      <x:c r="C574" s="46" t="str">
        <x:v>Meditasyon ve öz tanıma çağı</x:v>
      </x:c>
      <x:c r="D574" s="34" t="str">
        <x:v>Tarih</x:v>
      </x:c>
      <x:c r="E574" s="34" t="str">
        <x:v>Güncel</x:v>
      </x:c>
      <x:c r="F574" s="34" t="str">
        <x:v>21. Yüzyıl İçin 21 Ders</x:v>
      </x:c>
      <x:c r="G574" s="34" t="str">
        <x:v>Yuval Noah Harari</x:v>
      </x:c>
      <x:c r="H574" s="50" t="str">
        <x:v>1</x:v>
      </x:c>
      <x:c r="I574" s="50" t="str">
        <x:v>Temel</x:v>
      </x:c>
      <x:c r="J574" s="51" t="n">
        <x:v>10</x:v>
      </x:c>
      <x:c r="K574" s="51" t="n">
        <x:v>6</x:v>
      </x:c>
      <x:c r="L574" s="51" t="n">
        <x:v>10</x:v>
      </x:c>
      <x:c r="M574" s="51" t="n">
        <x:v>14</x:v>
      </x:c>
      <x:c r="N574" s="51" t="n">
        <x:v>8</x:v>
      </x:c>
      <x:c r="O574" s="51" t="n">
        <x:v>5</x:v>
      </x:c>
      <x:c r="P574" s="51" t="n">
        <x:v>13</x:v>
      </x:c>
      <x:c r="Q574" s="51" t="n">
        <x:v>4</x:v>
      </x:c>
      <x:c r="R574" s="52" t="n">
        <x:f>SUM(J574:Q574)</x:f>
        <x:v>70</x:v>
      </x:c>
      <x:c r="S574" s="50" t="str">
        <x:f>IF(R574&gt;='Rubrik'!$B$17,"Öncelikli video",IF(R574&gt;='Rubrik'!$B$18,"Video kuyruğu",IF(R574&gt;='Rubrik'!$B$19,"Revize et",IF(R574&gt;='Rubrik'!$B$20,"Kartla test","Düşük öncelik"))))</x:f>
        <x:v>Kartla test</x:v>
      </x:c>
      <x:c r="T574" s="50" t="str">
        <x:f>IF(AND(R574&gt;=85,P574&gt;=16,M574&gt;=12,L574&gt;=12),"Reel + Carousel",IF(AND(R574&gt;=85,P574&gt;=16,N574&gt;=8),"Soru odaklı Reel",IF(AND(R574&gt;=85,P574&gt;=16),"Reel / Short",IF(M574&gt;=11,"Carousel","Kart testi"))))</x:f>
        <x:v>Carousel</x:v>
      </x:c>
      <x:c r="U574" s="46" t="str">
        <x:v>Meditasyonla kendini tanıma sakin ve uygulanabilir; dramatik olay az olduğu için viral kanca orta seviyede.</x:v>
      </x:c>
      <x:c r="V574" s="46" t="str">
        <x:f>IF(Q574&lt;=3,"Kaynak kontrolü şart",IF(Q574=4,"Kaynak kontrolü önerilir","Standart doğrulama"))</x:f>
        <x:v>Kaynak kontrolü önerilir</x:v>
      </x:c>
    </x:row>
    <x:row r="575" ht="24" customHeight="1">
      <x:c r="A575" s="48" t="n">
        <x:f>COUNTIF($R$2:$R$751,"&gt;"&amp;R575)+COUNTIF($R$2:R575,R575)</x:f>
        <x:v>574</x:v>
      </x:c>
      <x:c r="B575" s="48" t="n">
        <x:v>1521</x:v>
      </x:c>
      <x:c r="C575" s="46" t="str">
        <x:v>Bırakmak ve gerçek özgürlük</x:v>
      </x:c>
      <x:c r="D575" s="34" t="str">
        <x:v>Psikoloji</x:v>
      </x:c>
      <x:c r="E575" s="34" t="str">
        <x:v>Farkındalık</x:v>
      </x:c>
      <x:c r="F575" s="34" t="str">
        <x:v>İç Yolculuk</x:v>
      </x:c>
      <x:c r="G575" s="34" t="str">
        <x:v>Michael A. Singer</x:v>
      </x:c>
      <x:c r="H575" s="50" t="str">
        <x:v>1</x:v>
      </x:c>
      <x:c r="I575" s="50" t="str">
        <x:v>Temel</x:v>
      </x:c>
      <x:c r="J575" s="51" t="n">
        <x:v>10</x:v>
      </x:c>
      <x:c r="K575" s="51" t="n">
        <x:v>6</x:v>
      </x:c>
      <x:c r="L575" s="51" t="n">
        <x:v>10</x:v>
      </x:c>
      <x:c r="M575" s="51" t="n">
        <x:v>14</x:v>
      </x:c>
      <x:c r="N575" s="51" t="n">
        <x:v>8</x:v>
      </x:c>
      <x:c r="O575" s="51" t="n">
        <x:v>5</x:v>
      </x:c>
      <x:c r="P575" s="51" t="n">
        <x:v>13</x:v>
      </x:c>
      <x:c r="Q575" s="51" t="n">
        <x:v>4</x:v>
      </x:c>
      <x:c r="R575" s="52" t="n">
        <x:f>SUM(J575:Q575)</x:f>
        <x:v>70</x:v>
      </x:c>
      <x:c r="S575" s="50" t="str">
        <x:f>IF(R575&gt;='Rubrik'!$B$17,"Öncelikli video",IF(R575&gt;='Rubrik'!$B$18,"Video kuyruğu",IF(R575&gt;='Rubrik'!$B$19,"Revize et",IF(R575&gt;='Rubrik'!$B$20,"Kartla test","Düşük öncelik"))))</x:f>
        <x:v>Kartla test</x:v>
      </x:c>
      <x:c r="T575" s="50" t="str">
        <x:f>IF(AND(R575&gt;=85,P575&gt;=16,M575&gt;=12,L575&gt;=12),"Reel + Carousel",IF(AND(R575&gt;=85,P575&gt;=16,N575&gt;=8),"Soru odaklı Reel",IF(AND(R575&gt;=85,P575&gt;=16),"Reel / Short",IF(M575&gt;=11,"Carousel","Kart testi"))))</x:f>
        <x:v>Carousel</x:v>
      </x:c>
      <x:c r="U575" s="46" t="str">
        <x:v>Bırakmayı teslimiyet değil özgürleşme saymak rahatlatıcı; pratik adım olduğu için kaydetme değeri yüksek.</x:v>
      </x:c>
      <x:c r="V575" s="46" t="str">
        <x:f>IF(Q575&lt;=3,"Kaynak kontrolü şart",IF(Q575=4,"Kaynak kontrolü önerilir","Standart doğrulama"))</x:f>
        <x:v>Kaynak kontrolü önerilir</x:v>
      </x:c>
    </x:row>
    <x:row r="576" ht="24" customHeight="1">
      <x:c r="A576" s="48" t="n">
        <x:f>COUNTIF($R$2:$R$751,"&gt;"&amp;R576)+COUNTIF($R$2:R576,R576)</x:f>
        <x:v>575</x:v>
      </x:c>
      <x:c r="B576" s="48" t="n">
        <x:v>1523</x:v>
      </x:c>
      <x:c r="C576" s="46" t="str">
        <x:v>Gerçeği kabul etme cesareti</x:v>
      </x:c>
      <x:c r="D576" s="34" t="str">
        <x:v>Psikoloji</x:v>
      </x:c>
      <x:c r="E576" s="34" t="str">
        <x:v>Psikoloji</x:v>
      </x:c>
      <x:c r="F576" s="34" t="str">
        <x:v>Az Gitme Yolu</x:v>
      </x:c>
      <x:c r="G576" s="34" t="str">
        <x:v>M. Scott Peck</x:v>
      </x:c>
      <x:c r="H576" s="50" t="str">
        <x:v>1</x:v>
      </x:c>
      <x:c r="I576" s="50" t="str">
        <x:v>Temel</x:v>
      </x:c>
      <x:c r="J576" s="51" t="n">
        <x:v>10</x:v>
      </x:c>
      <x:c r="K576" s="51" t="n">
        <x:v>6</x:v>
      </x:c>
      <x:c r="L576" s="51" t="n">
        <x:v>10</x:v>
      </x:c>
      <x:c r="M576" s="51" t="n">
        <x:v>14</x:v>
      </x:c>
      <x:c r="N576" s="51" t="n">
        <x:v>8</x:v>
      </x:c>
      <x:c r="O576" s="51" t="n">
        <x:v>5</x:v>
      </x:c>
      <x:c r="P576" s="51" t="n">
        <x:v>13</x:v>
      </x:c>
      <x:c r="Q576" s="51" t="n">
        <x:v>4</x:v>
      </x:c>
      <x:c r="R576" s="52" t="n">
        <x:f>SUM(J576:Q576)</x:f>
        <x:v>70</x:v>
      </x:c>
      <x:c r="S576" s="50" t="str">
        <x:f>IF(R576&gt;='Rubrik'!$B$17,"Öncelikli video",IF(R576&gt;='Rubrik'!$B$18,"Video kuyruğu",IF(R576&gt;='Rubrik'!$B$19,"Revize et",IF(R576&gt;='Rubrik'!$B$20,"Kartla test","Düşük öncelik"))))</x:f>
        <x:v>Kartla test</x:v>
      </x:c>
      <x:c r="T576" s="50" t="str">
        <x:f>IF(AND(R576&gt;=85,P576&gt;=16,M576&gt;=12,L576&gt;=12),"Reel + Carousel",IF(AND(R576&gt;=85,P576&gt;=16,N576&gt;=8),"Soru odaklı Reel",IF(AND(R576&gt;=85,P576&gt;=16),"Reel / Short",IF(M576&gt;=11,"Carousel","Kart testi"))))</x:f>
        <x:v>Carousel</x:v>
      </x:c>
      <x:c r="U576" s="46" t="str">
        <x:v>Gerçeği kabul etmenin acıyı azaltması sade ve evrensel; olay örgüsü yerine düşünsel egzersiz ağırlıklı.</x:v>
      </x:c>
      <x:c r="V576" s="46" t="str">
        <x:f>IF(Q576&lt;=3,"Kaynak kontrolü şart",IF(Q576=4,"Kaynak kontrolü önerilir","Standart doğrulama"))</x:f>
        <x:v>Kaynak kontrolü önerilir</x:v>
      </x:c>
    </x:row>
    <x:row r="577" ht="24" customHeight="1">
      <x:c r="A577" s="48" t="n">
        <x:f>COUNTIF($R$2:$R$751,"&gt;"&amp;R577)+COUNTIF($R$2:R577,R577)</x:f>
        <x:v>576</x:v>
      </x:c>
      <x:c r="B577" s="48" t="n">
        <x:v>1192</x:v>
      </x:c>
      <x:c r="C577" s="46" t="str">
        <x:v>Öğrenci zihniyeti</x:v>
      </x:c>
      <x:c r="D577" s="34" t="str">
        <x:v>Felsefe</x:v>
      </x:c>
      <x:c r="E577" s="34" t="str">
        <x:v>Felsefe</x:v>
      </x:c>
      <x:c r="F577" s="34" t="str">
        <x:v>Ego Is the Enemy</x:v>
      </x:c>
      <x:c r="G577" s="34" t="str">
        <x:v>Ryan Holiday</x:v>
      </x:c>
      <x:c r="H577" s="50" t="str">
        <x:v>1</x:v>
      </x:c>
      <x:c r="I577" s="50" t="str">
        <x:v>Temel</x:v>
      </x:c>
      <x:c r="J577" s="51" t="n">
        <x:v>11</x:v>
      </x:c>
      <x:c r="K577" s="51" t="n">
        <x:v>7</x:v>
      </x:c>
      <x:c r="L577" s="51" t="n">
        <x:v>9</x:v>
      </x:c>
      <x:c r="M577" s="51" t="n">
        <x:v>13</x:v>
      </x:c>
      <x:c r="N577" s="51" t="n">
        <x:v>9</x:v>
      </x:c>
      <x:c r="O577" s="51" t="n">
        <x:v>5</x:v>
      </x:c>
      <x:c r="P577" s="51" t="n">
        <x:v>12</x:v>
      </x:c>
      <x:c r="Q577" s="51" t="n">
        <x:v>4</x:v>
      </x:c>
      <x:c r="R577" s="52" t="n">
        <x:f>SUM(J577:Q577)</x:f>
        <x:v>70</x:v>
      </x:c>
      <x:c r="S577" s="50" t="str">
        <x:f>IF(R577&gt;='Rubrik'!$B$17,"Öncelikli video",IF(R577&gt;='Rubrik'!$B$18,"Video kuyruğu",IF(R577&gt;='Rubrik'!$B$19,"Revize et",IF(R577&gt;='Rubrik'!$B$20,"Kartla test","Düşük öncelik"))))</x:f>
        <x:v>Kartla test</x:v>
      </x:c>
      <x:c r="T577" s="50" t="str">
        <x:f>IF(AND(R577&gt;=85,P577&gt;=16,M577&gt;=12,L577&gt;=12),"Reel + Carousel",IF(AND(R577&gt;=85,P577&gt;=16,N577&gt;=8),"Soru odaklı Reel",IF(AND(R577&gt;=85,P577&gt;=16),"Reel / Short",IF(M577&gt;=11,"Carousel","Kart testi"))))</x:f>
        <x:v>Carousel</x:v>
      </x:c>
      <x:c r="U577" s="46" t="str">
        <x:v>Not defterli uzmanlar öğrenci zihniyetini destekliyor; tek bir dramatik olay ve yeni sürpriz eksik.</x:v>
      </x:c>
      <x:c r="V577" s="46" t="str">
        <x:f>IF(Q577&lt;=3,"Kaynak kontrolü şart",IF(Q577=4,"Kaynak kontrolü önerilir","Standart doğrulama"))</x:f>
        <x:v>Kaynak kontrolü önerilir</x:v>
      </x:c>
    </x:row>
    <x:row r="578" ht="24" customHeight="1">
      <x:c r="A578" s="48" t="n">
        <x:f>COUNTIF($R$2:$R$751,"&gt;"&amp;R578)+COUNTIF($R$2:R578,R578)</x:f>
        <x:v>577</x:v>
      </x:c>
      <x:c r="B578" s="48" t="n">
        <x:v>1203</x:v>
      </x:c>
      <x:c r="C578" s="46" t="str">
        <x:v>Güvenlik alanından çıkmak</x:v>
      </x:c>
      <x:c r="D578" s="34" t="str">
        <x:v>Liderlik</x:v>
      </x:c>
      <x:c r="E578" s="34" t="str">
        <x:v>Liderlik</x:v>
      </x:c>
      <x:c r="F578" s="34" t="str">
        <x:v>Karanlığın Ötesi</x:v>
      </x:c>
      <x:c r="G578" s="34" t="str">
        <x:v>Brené Brown</x:v>
      </x:c>
      <x:c r="H578" s="50" t="str">
        <x:v>1</x:v>
      </x:c>
      <x:c r="I578" s="50" t="str">
        <x:v>Temel</x:v>
      </x:c>
      <x:c r="J578" s="51" t="n">
        <x:v>11</x:v>
      </x:c>
      <x:c r="K578" s="51" t="n">
        <x:v>8</x:v>
      </x:c>
      <x:c r="L578" s="51" t="n">
        <x:v>9</x:v>
      </x:c>
      <x:c r="M578" s="51" t="n">
        <x:v>12</x:v>
      </x:c>
      <x:c r="N578" s="51" t="n">
        <x:v>10</x:v>
      </x:c>
      <x:c r="O578" s="51" t="n">
        <x:v>5</x:v>
      </x:c>
      <x:c r="P578" s="51" t="n">
        <x:v>12</x:v>
      </x:c>
      <x:c r="Q578" s="51" t="n">
        <x:v>3</x:v>
      </x:c>
      <x:c r="R578" s="52" t="n">
        <x:f>SUM(J578:Q578)</x:f>
        <x:v>70</x:v>
      </x:c>
      <x:c r="S578" s="50" t="str">
        <x:f>IF(R578&gt;='Rubrik'!$B$17,"Öncelikli video",IF(R578&gt;='Rubrik'!$B$18,"Video kuyruğu",IF(R578&gt;='Rubrik'!$B$19,"Revize et",IF(R578&gt;='Rubrik'!$B$20,"Kartla test","Düşük öncelik"))))</x:f>
        <x:v>Kartla test</x:v>
      </x:c>
      <x:c r="T578" s="50" t="str">
        <x:f>IF(AND(R578&gt;=85,P578&gt;=16,M578&gt;=12,L578&gt;=12),"Reel + Carousel",IF(AND(R578&gt;=85,P578&gt;=16,N578&gt;=8),"Soru odaklı Reel",IF(AND(R578&gt;=85,P578&gt;=16),"Reel / Short",IF(M578&gt;=11,"Carousel","Kart testi"))))</x:f>
        <x:v>Carousel</x:v>
      </x:c>
      <x:c r="U578" s="46" t="str">
        <x:v>Ya yapsaydım pişmanlığı kişisel bağ kuruyor; somut lider ve araştırma olmayınca video genel kalıyor.</x:v>
      </x:c>
      <x:c r="V578" s="46" t="str">
        <x:f>IF(Q578&lt;=3,"Kaynak kontrolü şart",IF(Q578=4,"Kaynak kontrolü önerilir","Standart doğrulama"))</x:f>
        <x:v>Kaynak kontrolü şart</x:v>
      </x:c>
    </x:row>
    <x:row r="579" ht="24" customHeight="1">
      <x:c r="A579" s="48" t="n">
        <x:f>COUNTIF($R$2:$R$751,"&gt;"&amp;R579)+COUNTIF($R$2:R579,R579)</x:f>
        <x:v>578</x:v>
      </x:c>
      <x:c r="B579" s="48" t="n">
        <x:v>1218</x:v>
      </x:c>
      <x:c r="C579" s="46" t="str">
        <x:v>Dijital minimalizm felsefesi</x:v>
      </x:c>
      <x:c r="D579" s="34" t="str">
        <x:v>Bilim</x:v>
      </x:c>
      <x:c r="E579" s="34" t="str">
        <x:v>Teknoloji</x:v>
      </x:c>
      <x:c r="F579" s="34" t="str">
        <x:v>Hiçbir Şeye Bakmamak</x:v>
      </x:c>
      <x:c r="G579" s="34" t="str">
        <x:v>Cal Newport</x:v>
      </x:c>
      <x:c r="H579" s="50" t="str">
        <x:v>1</x:v>
      </x:c>
      <x:c r="I579" s="50" t="str">
        <x:v>Temel</x:v>
      </x:c>
      <x:c r="J579" s="51" t="n">
        <x:v>11</x:v>
      </x:c>
      <x:c r="K579" s="51" t="n">
        <x:v>6</x:v>
      </x:c>
      <x:c r="L579" s="51" t="n">
        <x:v>9</x:v>
      </x:c>
      <x:c r="M579" s="51" t="n">
        <x:v>14</x:v>
      </x:c>
      <x:c r="N579" s="51" t="n">
        <x:v>9</x:v>
      </x:c>
      <x:c r="O579" s="51" t="n">
        <x:v>5</x:v>
      </x:c>
      <x:c r="P579" s="51" t="n">
        <x:v>12</x:v>
      </x:c>
      <x:c r="Q579" s="51" t="n">
        <x:v>4</x:v>
      </x:c>
      <x:c r="R579" s="52" t="n">
        <x:f>SUM(J579:Q579)</x:f>
        <x:v>70</x:v>
      </x:c>
      <x:c r="S579" s="50" t="str">
        <x:f>IF(R579&gt;='Rubrik'!$B$17,"Öncelikli video",IF(R579&gt;='Rubrik'!$B$18,"Video kuyruğu",IF(R579&gt;='Rubrik'!$B$19,"Revize et",IF(R579&gt;='Rubrik'!$B$20,"Kartla test","Düşük öncelik"))))</x:f>
        <x:v>Kartla test</x:v>
      </x:c>
      <x:c r="T579" s="50" t="str">
        <x:f>IF(AND(R579&gt;=85,P579&gt;=16,M579&gt;=12,L579&gt;=12),"Reel + Carousel",IF(AND(R579&gt;=85,P579&gt;=16,N579&gt;=8),"Soru odaklı Reel",IF(AND(R579&gt;=85,P579&gt;=16),"Reel / Short",IF(M579&gt;=11,"Carousel","Kart testi"))))</x:f>
        <x:v>Carousel</x:v>
      </x:c>
      <x:c r="U579" s="46" t="str">
        <x:v>Faydalı mı yerine önemli olana katkılı mı sorusu çok kaydedilir; somut hikâye ve duygu sınırlı.</x:v>
      </x:c>
      <x:c r="V579" s="46" t="str">
        <x:f>IF(Q579&lt;=3,"Kaynak kontrolü şart",IF(Q579=4,"Kaynak kontrolü önerilir","Standart doğrulama"))</x:f>
        <x:v>Kaynak kontrolü önerilir</x:v>
      </x:c>
    </x:row>
    <x:row r="580" ht="24" customHeight="1">
      <x:c r="A580" s="48" t="n">
        <x:f>COUNTIF($R$2:$R$751,"&gt;"&amp;R580)+COUNTIF($R$2:R580,R580)</x:f>
        <x:v>579</x:v>
      </x:c>
      <x:c r="B580" s="48" t="n">
        <x:v>1223</x:v>
      </x:c>
      <x:c r="C580" s="46" t="str">
        <x:v>Varlık — karizmanın temeli</x:v>
      </x:c>
      <x:c r="D580" s="34" t="str">
        <x:v>İletişim</x:v>
      </x:c>
      <x:c r="E580" s="34" t="str">
        <x:v>İletişim</x:v>
      </x:c>
      <x:c r="F580" s="34" t="str">
        <x:v>Karizmatik Olmak</x:v>
      </x:c>
      <x:c r="G580" s="34" t="str">
        <x:v>Olivia Fox Cabane</x:v>
      </x:c>
      <x:c r="H580" s="50" t="str">
        <x:v>1</x:v>
      </x:c>
      <x:c r="I580" s="50" t="str">
        <x:v>Temel</x:v>
      </x:c>
      <x:c r="J580" s="51" t="n">
        <x:v>11</x:v>
      </x:c>
      <x:c r="K580" s="51" t="n">
        <x:v>7</x:v>
      </x:c>
      <x:c r="L580" s="51" t="n">
        <x:v>9</x:v>
      </x:c>
      <x:c r="M580" s="51" t="n">
        <x:v>13</x:v>
      </x:c>
      <x:c r="N580" s="51" t="n">
        <x:v>10</x:v>
      </x:c>
      <x:c r="O580" s="51" t="n">
        <x:v>5</x:v>
      </x:c>
      <x:c r="P580" s="51" t="n">
        <x:v>12</x:v>
      </x:c>
      <x:c r="Q580" s="51" t="n">
        <x:v>3</x:v>
      </x:c>
      <x:c r="R580" s="52" t="n">
        <x:f>SUM(J580:Q580)</x:f>
        <x:v>70</x:v>
      </x:c>
      <x:c r="S580" s="50" t="str">
        <x:f>IF(R580&gt;='Rubrik'!$B$17,"Öncelikli video",IF(R580&gt;='Rubrik'!$B$18,"Video kuyruğu",IF(R580&gt;='Rubrik'!$B$19,"Revize et",IF(R580&gt;='Rubrik'!$B$20,"Kartla test","Düşük öncelik"))))</x:f>
        <x:v>Kartla test</x:v>
      </x:c>
      <x:c r="T580" s="50" t="str">
        <x:f>IF(AND(R580&gt;=85,P580&gt;=16,M580&gt;=12,L580&gt;=12),"Reel + Carousel",IF(AND(R580&gt;=85,P580&gt;=16,N580&gt;=8),"Soru odaklı Reel",IF(AND(R580&gt;=85,P580&gt;=16),"Reel / Short",IF(M580&gt;=11,"Carousel","Kart testi"))))</x:f>
        <x:v>Carousel</x:v>
      </x:c>
      <x:c r="U580" s="46" t="str">
        <x:v>Karizmayı tam dikkate indirmek uygulanabilir ve sıcak; deney ayrıntıları verilmediği için güven sınırlı.</x:v>
      </x:c>
      <x:c r="V580" s="46" t="str">
        <x:f>IF(Q580&lt;=3,"Kaynak kontrolü şart",IF(Q580=4,"Kaynak kontrolü önerilir","Standart doğrulama"))</x:f>
        <x:v>Kaynak kontrolü şart</x:v>
      </x:c>
    </x:row>
    <x:row r="581" ht="24" customHeight="1">
      <x:c r="A581" s="48" t="n">
        <x:f>COUNTIF($R$2:$R$751,"&gt;"&amp;R581)+COUNTIF($R$2:R581,R581)</x:f>
        <x:v>580</x:v>
      </x:c>
      <x:c r="B581" s="48" t="n">
        <x:v>1097</x:v>
      </x:c>
      <x:c r="C581" s="46" t="str">
        <x:v>Hesap empati ve önce anlamak</x:v>
      </x:c>
      <x:c r="D581" s="34" t="str">
        <x:v>Büyüme</x:v>
      </x:c>
      <x:c r="E581" s="34" t="str">
        <x:v>Kişisel Gelişim</x:v>
      </x:c>
      <x:c r="F581" s="34" t="str">
        <x:v>The 7 Habits of Highly Effective People</x:v>
      </x:c>
      <x:c r="G581" s="34" t="str">
        <x:v>Stephen Covey</x:v>
      </x:c>
      <x:c r="H581" s="50" t="str">
        <x:v>1</x:v>
      </x:c>
      <x:c r="I581" s="50" t="str">
        <x:v>Temel</x:v>
      </x:c>
      <x:c r="J581" s="51" t="n">
        <x:v>11</x:v>
      </x:c>
      <x:c r="K581" s="51" t="n">
        <x:v>8</x:v>
      </x:c>
      <x:c r="L581" s="51" t="n">
        <x:v>9</x:v>
      </x:c>
      <x:c r="M581" s="51" t="n">
        <x:v>13</x:v>
      </x:c>
      <x:c r="N581" s="51" t="n">
        <x:v>10</x:v>
      </x:c>
      <x:c r="O581" s="51" t="n">
        <x:v>5</x:v>
      </x:c>
      <x:c r="P581" s="51" t="n">
        <x:v>11</x:v>
      </x:c>
      <x:c r="Q581" s="51" t="n">
        <x:v>3</x:v>
      </x:c>
      <x:c r="R581" s="52" t="n">
        <x:f>SUM(J581:Q581)</x:f>
        <x:v>70</x:v>
      </x:c>
      <x:c r="S581" s="50" t="str">
        <x:f>IF(R581&gt;='Rubrik'!$B$17,"Öncelikli video",IF(R581&gt;='Rubrik'!$B$18,"Video kuyruğu",IF(R581&gt;='Rubrik'!$B$19,"Revize et",IF(R581&gt;='Rubrik'!$B$20,"Kartla test","Düşük öncelik"))))</x:f>
        <x:v>Kartla test</x:v>
      </x:c>
      <x:c r="T581" s="50" t="str">
        <x:f>IF(AND(R581&gt;=85,P581&gt;=16,M581&gt;=12,L581&gt;=12),"Reel + Carousel",IF(AND(R581&gt;=85,P581&gt;=16,N581&gt;=8),"Soru odaklı Reel",IF(AND(R581&gt;=85,P581&gt;=16),"Reel / Short",IF(M581&gt;=11,"Carousel","Kart testi"))))</x:f>
        <x:v>Carousel</x:v>
      </x:c>
      <x:c r="U581" s="46" t="str">
        <x:v>Cevap hazırlamak ile dinlemek arasındaki fark herkese dokunur; başlık ve araştırma iddiası zayıf.</x:v>
      </x:c>
      <x:c r="V581" s="46" t="str">
        <x:f>IF(Q581&lt;=3,"Kaynak kontrolü şart",IF(Q581=4,"Kaynak kontrolü önerilir","Standart doğrulama"))</x:f>
        <x:v>Kaynak kontrolü şart</x:v>
      </x:c>
    </x:row>
    <x:row r="582" ht="24" customHeight="1">
      <x:c r="A582" s="48" t="n">
        <x:f>COUNTIF($R$2:$R$751,"&gt;"&amp;R582)+COUNTIF($R$2:R582,R582)</x:f>
        <x:v>581</x:v>
      </x:c>
      <x:c r="B582" s="48" t="n">
        <x:v>1338</x:v>
      </x:c>
      <x:c r="C582" s="46" t="str">
        <x:v>Güven ve otoriteyi yansıtan duruş</x:v>
      </x:c>
      <x:c r="D582" s="34" t="str">
        <x:v>İletişim</x:v>
      </x:c>
      <x:c r="E582" s="34" t="str">
        <x:v>İletişim</x:v>
      </x:c>
      <x:c r="F582" s="34" t="str">
        <x:v>Beden Dili</x:v>
      </x:c>
      <x:c r="G582" s="34" t="str">
        <x:v>Joe Navarro</x:v>
      </x:c>
      <x:c r="H582" s="50" t="str">
        <x:v>1</x:v>
      </x:c>
      <x:c r="I582" s="50" t="str">
        <x:v>Temel</x:v>
      </x:c>
      <x:c r="J582" s="51" t="n">
        <x:v>13</x:v>
      </x:c>
      <x:c r="K582" s="51" t="n">
        <x:v>6</x:v>
      </x:c>
      <x:c r="L582" s="51" t="n">
        <x:v>11</x:v>
      </x:c>
      <x:c r="M582" s="51" t="n">
        <x:v>8</x:v>
      </x:c>
      <x:c r="N582" s="51" t="n">
        <x:v>8</x:v>
      </x:c>
      <x:c r="O582" s="51" t="n">
        <x:v>7</x:v>
      </x:c>
      <x:c r="P582" s="51" t="n">
        <x:v>16</x:v>
      </x:c>
      <x:c r="Q582" s="51" t="n">
        <x:v>0</x:v>
      </x:c>
      <x:c r="R582" s="52" t="n">
        <x:f>SUM(J582:Q582)</x:f>
        <x:v>69</x:v>
      </x:c>
      <x:c r="S582" s="50" t="str">
        <x:f>IF(R582&gt;='Rubrik'!$B$17,"Öncelikli video",IF(R582&gt;='Rubrik'!$B$18,"Video kuyruğu",IF(R582&gt;='Rubrik'!$B$19,"Revize et",IF(R582&gt;='Rubrik'!$B$20,"Kartla test","Düşük öncelik"))))</x:f>
        <x:v>Düşük öncelik</x:v>
      </x:c>
      <x:c r="T582" s="50" t="str">
        <x:f>IF(AND(R582&gt;=85,P582&gt;=16,M582&gt;=12,L582&gt;=12),"Reel + Carousel",IF(AND(R582&gt;=85,P582&gt;=16,N582&gt;=8),"Soru odaklı Reel",IF(AND(R582&gt;=85,P582&gt;=16),"Reel / Short",IF(M582&gt;=11,"Carousel","Kart testi"))))</x:f>
        <x:v>Kart testi</x:v>
      </x:c>
      <x:c r="U582" s="46" t="str">
        <x:v>İki dakikalık güç pozu iyi video olur; hormon sonuçları tekrarlanamayan tartışmalı deneye dayanıyor.</x:v>
      </x:c>
      <x:c r="V582" s="46" t="str">
        <x:f>IF(Q582&lt;=3,"Kaynak kontrolü şart",IF(Q582=4,"Kaynak kontrolü önerilir","Standart doğrulama"))</x:f>
        <x:v>Kaynak kontrolü şart</x:v>
      </x:c>
    </x:row>
    <x:row r="583" ht="24" customHeight="1">
      <x:c r="A583" s="48" t="n">
        <x:f>COUNTIF($R$2:$R$751,"&gt;"&amp;R583)+COUNTIF($R$2:R583,R583)</x:f>
        <x:v>582</x:v>
      </x:c>
      <x:c r="B583" s="48" t="n">
        <x:v>1691</x:v>
      </x:c>
      <x:c r="C583" s="46" t="str">
        <x:v>İlişki yönetimi — bağlantı kurmak bir beceridir</x:v>
      </x:c>
      <x:c r="D583" s="34" t="str">
        <x:v>Psikoloji</x:v>
      </x:c>
      <x:c r="E583" s="34" t="str">
        <x:v>Psikoloji</x:v>
      </x:c>
      <x:c r="F583" s="34" t="str">
        <x:v>Bütünleşik Zekanın Gücü</x:v>
      </x:c>
      <x:c r="G583" s="34" t="str">
        <x:v>Travis Bradberry</x:v>
      </x:c>
      <x:c r="H583" s="50" t="str">
        <x:v>1</x:v>
      </x:c>
      <x:c r="I583" s="50" t="str">
        <x:v>Temel</x:v>
      </x:c>
      <x:c r="J583" s="51" t="n">
        <x:v>9</x:v>
      </x:c>
      <x:c r="K583" s="51" t="n">
        <x:v>8</x:v>
      </x:c>
      <x:c r="L583" s="51" t="n">
        <x:v>10</x:v>
      </x:c>
      <x:c r="M583" s="51" t="n">
        <x:v>10</x:v>
      </x:c>
      <x:c r="N583" s="51" t="n">
        <x:v>7</x:v>
      </x:c>
      <x:c r="O583" s="51" t="n">
        <x:v>6</x:v>
      </x:c>
      <x:c r="P583" s="51" t="n">
        <x:v>15</x:v>
      </x:c>
      <x:c r="Q583" s="51" t="n">
        <x:v>4</x:v>
      </x:c>
      <x:c r="R583" s="52" t="n">
        <x:f>SUM(J583:Q583)</x:f>
        <x:v>69</x:v>
      </x:c>
      <x:c r="S583" s="50" t="str">
        <x:f>IF(R583&gt;='Rubrik'!$B$17,"Öncelikli video",IF(R583&gt;='Rubrik'!$B$18,"Video kuyruğu",IF(R583&gt;='Rubrik'!$B$19,"Revize et",IF(R583&gt;='Rubrik'!$B$20,"Kartla test","Düşük öncelik"))))</x:f>
        <x:v>Düşük öncelik</x:v>
      </x:c>
      <x:c r="T583" s="50" t="str">
        <x:f>IF(AND(R583&gt;=85,P583&gt;=16,M583&gt;=12,L583&gt;=12),"Reel + Carousel",IF(AND(R583&gt;=85,P583&gt;=16,N583&gt;=8),"Soru odaklı Reel",IF(AND(R583&gt;=85,P583&gt;=16),"Reel / Short",IF(M583&gt;=11,"Carousel","Kart testi"))))</x:f>
        <x:v>Kart testi</x:v>
      </x:c>
      <x:c r="U583" s="46" t="str">
        <x:v>Duygusal karşıtlık paylaşma ve kişisel anlatma isteğini yükseltiyor; olay örgüsü geliştirilmeli.</x:v>
      </x:c>
      <x:c r="V583" s="46" t="str">
        <x:f>IF(Q583&lt;=3,"Kaynak kontrolü şart",IF(Q583=4,"Kaynak kontrolü önerilir","Standart doğrulama"))</x:f>
        <x:v>Kaynak kontrolü önerilir</x:v>
      </x:c>
    </x:row>
    <x:row r="584" ht="24" customHeight="1">
      <x:c r="A584" s="48" t="n">
        <x:f>COUNTIF($R$2:$R$751,"&gt;"&amp;R584)+COUNTIF($R$2:R584,R584)</x:f>
        <x:v>583</x:v>
      </x:c>
      <x:c r="B584" s="48" t="n">
        <x:v>1234</x:v>
      </x:c>
      <x:c r="C584" s="46" t="str">
        <x:v>Jared ve Subway diyeti</x:v>
      </x:c>
      <x:c r="D584" s="34" t="str">
        <x:v>İletişim</x:v>
      </x:c>
      <x:c r="E584" s="34" t="str">
        <x:v>İletişim</x:v>
      </x:c>
      <x:c r="F584" s="34" t="str">
        <x:v>Yapışkan Fikirler</x:v>
      </x:c>
      <x:c r="G584" s="34" t="str">
        <x:v>Chip Heath</x:v>
      </x:c>
      <x:c r="H584" s="50" t="str">
        <x:v>1</x:v>
      </x:c>
      <x:c r="I584" s="50" t="str">
        <x:v>Temel</x:v>
      </x:c>
      <x:c r="J584" s="51" t="n">
        <x:v>14</x:v>
      </x:c>
      <x:c r="K584" s="51" t="n">
        <x:v>7</x:v>
      </x:c>
      <x:c r="L584" s="51" t="n">
        <x:v>9</x:v>
      </x:c>
      <x:c r="M584" s="51" t="n">
        <x:v>8</x:v>
      </x:c>
      <x:c r="N584" s="51" t="n">
        <x:v>7</x:v>
      </x:c>
      <x:c r="O584" s="51" t="n">
        <x:v>7</x:v>
      </x:c>
      <x:c r="P584" s="51" t="n">
        <x:v>15</x:v>
      </x:c>
      <x:c r="Q584" s="51" t="n">
        <x:v>2</x:v>
      </x:c>
      <x:c r="R584" s="52" t="n">
        <x:f>SUM(J584:Q584)</x:f>
        <x:v>69</x:v>
      </x:c>
      <x:c r="S584" s="50" t="str">
        <x:f>IF(R584&gt;='Rubrik'!$B$17,"Öncelikli video",IF(R584&gt;='Rubrik'!$B$18,"Video kuyruğu",IF(R584&gt;='Rubrik'!$B$19,"Revize et",IF(R584&gt;='Rubrik'!$B$20,"Kartla test","Düşük öncelik"))))</x:f>
        <x:v>Düşük öncelik</x:v>
      </x:c>
      <x:c r="T584" s="50" t="str">
        <x:f>IF(AND(R584&gt;=85,P584&gt;=16,M584&gt;=12,L584&gt;=12),"Reel + Carousel",IF(AND(R584&gt;=85,P584&gt;=16,N584&gt;=8),"Soru odaklı Reel",IF(AND(R584&gt;=85,P584&gt;=16),"Reel / Short",IF(M584&gt;=11,"Carousel","Kart testi"))))</x:f>
        <x:v>Kart testi</x:v>
      </x:c>
      <x:c r="U584" s="46" t="str">
        <x:v>110 kilo dönüşümü güçlü görsel ancak Subway sağlık mesajı aşırı basit ve sözcü geçmişi marka riski taşıyor.</x:v>
      </x:c>
      <x:c r="V584" s="46" t="str">
        <x:f>IF(Q584&lt;=3,"Kaynak kontrolü şart",IF(Q584=4,"Kaynak kontrolü önerilir","Standart doğrulama"))</x:f>
        <x:v>Kaynak kontrolü şart</x:v>
      </x:c>
    </x:row>
    <x:row r="585" ht="24" customHeight="1">
      <x:c r="A585" s="48" t="n">
        <x:f>COUNTIF($R$2:$R$751,"&gt;"&amp;R585)+COUNTIF($R$2:R585,R585)</x:f>
        <x:v>584</x:v>
      </x:c>
      <x:c r="B585" s="48" t="n">
        <x:v>1293</x:v>
      </x:c>
      <x:c r="C585" s="46" t="str">
        <x:v>Vergi sistemi ve şirket stratejisi</x:v>
      </x:c>
      <x:c r="D585" s="34" t="str">
        <x:v>Finans</x:v>
      </x:c>
      <x:c r="E585" s="34" t="str">
        <x:v>Finans</x:v>
      </x:c>
      <x:c r="F585" s="34" t="str">
        <x:v>Zengin Baba Fakir Baba</x:v>
      </x:c>
      <x:c r="G585" s="34" t="str">
        <x:v>Robert Kiyosaki</x:v>
      </x:c>
      <x:c r="H585" s="50" t="str">
        <x:v>1</x:v>
      </x:c>
      <x:c r="I585" s="50" t="str">
        <x:v>Temel</x:v>
      </x:c>
      <x:c r="J585" s="51" t="n">
        <x:v>12</x:v>
      </x:c>
      <x:c r="K585" s="51" t="n">
        <x:v>5</x:v>
      </x:c>
      <x:c r="L585" s="51" t="n">
        <x:v>11</x:v>
      </x:c>
      <x:c r="M585" s="51" t="n">
        <x:v>13</x:v>
      </x:c>
      <x:c r="N585" s="51" t="n">
        <x:v>7</x:v>
      </x:c>
      <x:c r="O585" s="51" t="n">
        <x:v>6</x:v>
      </x:c>
      <x:c r="P585" s="51" t="n">
        <x:v>14</x:v>
      </x:c>
      <x:c r="Q585" s="51" t="n">
        <x:v>1</x:v>
      </x:c>
      <x:c r="R585" s="52" t="n">
        <x:f>SUM(J585:Q585)</x:f>
        <x:v>69</x:v>
      </x:c>
      <x:c r="S585" s="50" t="str">
        <x:f>IF(R585&gt;='Rubrik'!$B$17,"Öncelikli video",IF(R585&gt;='Rubrik'!$B$18,"Video kuyruğu",IF(R585&gt;='Rubrik'!$B$19,"Revize et",IF(R585&gt;='Rubrik'!$B$20,"Kartla test","Düşük öncelik"))))</x:f>
        <x:v>Düşük öncelik</x:v>
      </x:c>
      <x:c r="T585" s="50" t="str">
        <x:f>IF(AND(R585&gt;=85,P585&gt;=16,M585&gt;=12,L585&gt;=12),"Reel + Carousel",IF(AND(R585&gt;=85,P585&gt;=16,N585&gt;=8),"Soru odaklı Reel",IF(AND(R585&gt;=85,P585&gt;=16),"Reel / Short",IF(M585&gt;=11,"Carousel","Kart testi"))))</x:f>
        <x:v>Carousel</x:v>
      </x:c>
      <x:c r="U585" s="46" t="str">
        <x:v>Vergi sıralaması kolay anlaşılır ve kaydedilir; ülkeye göre değişen kuralları evrensel gerçek gibi anlatıyor.</x:v>
      </x:c>
      <x:c r="V585" s="46" t="str">
        <x:f>IF(Q585&lt;=3,"Kaynak kontrolü şart",IF(Q585=4,"Kaynak kontrolü önerilir","Standart doğrulama"))</x:f>
        <x:v>Kaynak kontrolü şart</x:v>
      </x:c>
    </x:row>
    <x:row r="586" ht="24" customHeight="1">
      <x:c r="A586" s="48" t="n">
        <x:f>COUNTIF($R$2:$R$751,"&gt;"&amp;R586)+COUNTIF($R$2:R586,R586)</x:f>
        <x:v>585</x:v>
      </x:c>
      <x:c r="B586" s="48" t="n">
        <x:v>1308</x:v>
      </x:c>
      <x:c r="C586" s="46" t="str">
        <x:v>Stres ve kas büyümesi — antikırılganlığın bedeni</x:v>
      </x:c>
      <x:c r="D586" s="34" t="str">
        <x:v>Felsefe</x:v>
      </x:c>
      <x:c r="E586" s="34" t="str">
        <x:v>Düşünme</x:v>
      </x:c>
      <x:c r="F586" s="34" t="str">
        <x:v>Antikırılgan</x:v>
      </x:c>
      <x:c r="G586" s="34" t="str">
        <x:v>Nassim Taleb</x:v>
      </x:c>
      <x:c r="H586" s="50" t="str">
        <x:v>1</x:v>
      </x:c>
      <x:c r="I586" s="50" t="str">
        <x:v>Temel</x:v>
      </x:c>
      <x:c r="J586" s="51" t="n">
        <x:v>12</x:v>
      </x:c>
      <x:c r="K586" s="51" t="n">
        <x:v>7</x:v>
      </x:c>
      <x:c r="L586" s="51" t="n">
        <x:v>10</x:v>
      </x:c>
      <x:c r="M586" s="51" t="n">
        <x:v>10</x:v>
      </x:c>
      <x:c r="N586" s="51" t="n">
        <x:v>8</x:v>
      </x:c>
      <x:c r="O586" s="51" t="n">
        <x:v>6</x:v>
      </x:c>
      <x:c r="P586" s="51" t="n">
        <x:v>14</x:v>
      </x:c>
      <x:c r="Q586" s="51" t="n">
        <x:v>2</x:v>
      </x:c>
      <x:c r="R586" s="52" t="n">
        <x:f>SUM(J586:Q586)</x:f>
        <x:v>69</x:v>
      </x:c>
      <x:c r="S586" s="50" t="str">
        <x:f>IF(R586&gt;='Rubrik'!$B$17,"Öncelikli video",IF(R586&gt;='Rubrik'!$B$18,"Video kuyruğu",IF(R586&gt;='Rubrik'!$B$19,"Revize et",IF(R586&gt;='Rubrik'!$B$20,"Kartla test","Düşük öncelik"))))</x:f>
        <x:v>Düşük öncelik</x:v>
      </x:c>
      <x:c r="T586" s="50" t="str">
        <x:f>IF(AND(R586&gt;=85,P586&gt;=16,M586&gt;=12,L586&gt;=12),"Reel + Carousel",IF(AND(R586&gt;=85,P586&gt;=16,N586&gt;=8),"Soru odaklı Reel",IF(AND(R586&gt;=85,P586&gt;=16),"Reel / Short",IF(M586&gt;=11,"Carousel","Kart testi"))))</x:f>
        <x:v>Kart testi</x:v>
      </x:c>
      <x:c r="U586" s="46" t="str">
        <x:v>Kas metaforu kolay görselleşiyor; mikro yırtık, bağışıklık ve yaşam zorluğu genellemeleri fazla geniş.</x:v>
      </x:c>
      <x:c r="V586" s="46" t="str">
        <x:f>IF(Q586&lt;=3,"Kaynak kontrolü şart",IF(Q586=4,"Kaynak kontrolü önerilir","Standart doğrulama"))</x:f>
        <x:v>Kaynak kontrolü şart</x:v>
      </x:c>
    </x:row>
    <x:row r="587" ht="24" customHeight="1">
      <x:c r="A587" s="48" t="n">
        <x:f>COUNTIF($R$2:$R$751,"&gt;"&amp;R587)+COUNTIF($R$2:R587,R587)</x:f>
        <x:v>586</x:v>
      </x:c>
      <x:c r="B587" s="48" t="n">
        <x:v>1623</x:v>
      </x:c>
      <x:c r="C587" s="46" t="str">
        <x:v>Kaygılı-kaçıngan tuzağı — zıt stiller neden birbirini çeker</x:v>
      </x:c>
      <x:c r="D587" s="34" t="str">
        <x:v>İletişim</x:v>
      </x:c>
      <x:c r="E587" s="34" t="str">
        <x:v>İlişkiler</x:v>
      </x:c>
      <x:c r="F587" s="34" t="str">
        <x:v>Bağlanma Teorisi</x:v>
      </x:c>
      <x:c r="G587" s="34" t="str">
        <x:v>Amir Levine</x:v>
      </x:c>
      <x:c r="H587" s="50" t="str">
        <x:v>1</x:v>
      </x:c>
      <x:c r="I587" s="50" t="str">
        <x:v>Temel</x:v>
      </x:c>
      <x:c r="J587" s="51" t="n">
        <x:v>9</x:v>
      </x:c>
      <x:c r="K587" s="51" t="n">
        <x:v>8</x:v>
      </x:c>
      <x:c r="L587" s="51" t="n">
        <x:v>10</x:v>
      </x:c>
      <x:c r="M587" s="51" t="n">
        <x:v>10</x:v>
      </x:c>
      <x:c r="N587" s="51" t="n">
        <x:v>7</x:v>
      </x:c>
      <x:c r="O587" s="51" t="n">
        <x:v>7</x:v>
      </x:c>
      <x:c r="P587" s="51" t="n">
        <x:v>14</x:v>
      </x:c>
      <x:c r="Q587" s="51" t="n">
        <x:v>4</x:v>
      </x:c>
      <x:c r="R587" s="52" t="n">
        <x:f>SUM(J587:Q587)</x:f>
        <x:v>69</x:v>
      </x:c>
      <x:c r="S587" s="50" t="str">
        <x:f>IF(R587&gt;='Rubrik'!$B$17,"Öncelikli video",IF(R587&gt;='Rubrik'!$B$18,"Video kuyruğu",IF(R587&gt;='Rubrik'!$B$19,"Revize et",IF(R587&gt;='Rubrik'!$B$20,"Kartla test","Düşük öncelik"))))</x:f>
        <x:v>Düşük öncelik</x:v>
      </x:c>
      <x:c r="T587" s="50" t="str">
        <x:f>IF(AND(R587&gt;=85,P587&gt;=16,M587&gt;=12,L587&gt;=12),"Reel + Carousel",IF(AND(R587&gt;=85,P587&gt;=16,N587&gt;=8),"Soru odaklı Reel",IF(AND(R587&gt;=85,P587&gt;=16),"Reel / Short",IF(M587&gt;=11,"Carousel","Kart testi"))))</x:f>
        <x:v>Kart testi</x:v>
      </x:c>
      <x:c r="U587" s="46" t="str">
        <x:v>Duygusal karşıtlık paylaşma ve kişisel anlatma isteğini yükseltiyor; ilk saniye etkisi geliştirilmeli.</x:v>
      </x:c>
      <x:c r="V587" s="46" t="str">
        <x:f>IF(Q587&lt;=3,"Kaynak kontrolü şart",IF(Q587=4,"Kaynak kontrolü önerilir","Standart doğrulama"))</x:f>
        <x:v>Kaynak kontrolü önerilir</x:v>
      </x:c>
    </x:row>
    <x:row r="588" ht="24" customHeight="1">
      <x:c r="A588" s="48" t="n">
        <x:f>COUNTIF($R$2:$R$751,"&gt;"&amp;R588)+COUNTIF($R$2:R588,R588)</x:f>
        <x:v>587</x:v>
      </x:c>
      <x:c r="B588" s="48" t="n">
        <x:v>1671</x:v>
      </x:c>
      <x:c r="C588" s="46" t="str">
        <x:v>Bağlantısı kesilen bir zihin — öfkenin gerçek kaynağı</x:v>
      </x:c>
      <x:c r="D588" s="34" t="str">
        <x:v>Psikoloji</x:v>
      </x:c>
      <x:c r="E588" s="34" t="str">
        <x:v>Psikoloji</x:v>
      </x:c>
      <x:c r="F588" s="34" t="str">
        <x:v>Öfke</x:v>
      </x:c>
      <x:c r="G588" s="34" t="str">
        <x:v>Thich Nhat Hanh</x:v>
      </x:c>
      <x:c r="H588" s="50" t="str">
        <x:v>1</x:v>
      </x:c>
      <x:c r="I588" s="50" t="str">
        <x:v>Temel</x:v>
      </x:c>
      <x:c r="J588" s="51" t="n">
        <x:v>9</x:v>
      </x:c>
      <x:c r="K588" s="51" t="n">
        <x:v>8</x:v>
      </x:c>
      <x:c r="L588" s="51" t="n">
        <x:v>10</x:v>
      </x:c>
      <x:c r="M588" s="51" t="n">
        <x:v>9</x:v>
      </x:c>
      <x:c r="N588" s="51" t="n">
        <x:v>7</x:v>
      </x:c>
      <x:c r="O588" s="51" t="n">
        <x:v>8</x:v>
      </x:c>
      <x:c r="P588" s="51" t="n">
        <x:v>14</x:v>
      </x:c>
      <x:c r="Q588" s="51" t="n">
        <x:v>4</x:v>
      </x:c>
      <x:c r="R588" s="52" t="n">
        <x:f>SUM(J588:Q588)</x:f>
        <x:v>69</x:v>
      </x:c>
      <x:c r="S588" s="50" t="str">
        <x:f>IF(R588&gt;='Rubrik'!$B$17,"Öncelikli video",IF(R588&gt;='Rubrik'!$B$18,"Video kuyruğu",IF(R588&gt;='Rubrik'!$B$19,"Revize et",IF(R588&gt;='Rubrik'!$B$20,"Kartla test","Düşük öncelik"))))</x:f>
        <x:v>Düşük öncelik</x:v>
      </x:c>
      <x:c r="T588" s="50" t="str">
        <x:f>IF(AND(R588&gt;=85,P588&gt;=16,M588&gt;=12,L588&gt;=12),"Reel + Carousel",IF(AND(R588&gt;=85,P588&gt;=16,N588&gt;=8),"Soru odaklı Reel",IF(AND(R588&gt;=85,P588&gt;=16),"Reel / Short",IF(M588&gt;=11,"Carousel","Kart testi"))))</x:f>
        <x:v>Kart testi</x:v>
      </x:c>
      <x:c r="U588" s="46" t="str">
        <x:v>Duygusal karşıtlık paylaşma ve kişisel anlatma isteğini yükseltiyor; ilk saniye etkisi geliştirilmeli.</x:v>
      </x:c>
      <x:c r="V588" s="46" t="str">
        <x:f>IF(Q588&lt;=3,"Kaynak kontrolü şart",IF(Q588=4,"Kaynak kontrolü önerilir","Standart doğrulama"))</x:f>
        <x:v>Kaynak kontrolü önerilir</x:v>
      </x:c>
    </x:row>
    <x:row r="589" ht="24" customHeight="1">
      <x:c r="A589" s="48" t="n">
        <x:f>COUNTIF($R$2:$R$751,"&gt;"&amp;R589)+COUNTIF($R$2:R589,R589)</x:f>
        <x:v>588</x:v>
      </x:c>
      <x:c r="B589" s="48" t="n">
        <x:v>1687</x:v>
      </x:c>
      <x:c r="C589" s="46" t="str">
        <x:v>Mutluluk tuzağı — daha iyi hissetmeye çalışmak neden işe yaramıyor</x:v>
      </x:c>
      <x:c r="D589" s="34" t="str">
        <x:v>Psikoloji</x:v>
      </x:c>
      <x:c r="E589" s="34" t="str">
        <x:v>Psikoloji</x:v>
      </x:c>
      <x:c r="F589" s="34" t="str">
        <x:v>Psikolojik Esneklik</x:v>
      </x:c>
      <x:c r="G589" s="34" t="str">
        <x:v>Russ Harris</x:v>
      </x:c>
      <x:c r="H589" s="50" t="str">
        <x:v>1</x:v>
      </x:c>
      <x:c r="I589" s="50" t="str">
        <x:v>Temel</x:v>
      </x:c>
      <x:c r="J589" s="51" t="n">
        <x:v>9</x:v>
      </x:c>
      <x:c r="K589" s="51" t="n">
        <x:v>8</x:v>
      </x:c>
      <x:c r="L589" s="51" t="n">
        <x:v>10</x:v>
      </x:c>
      <x:c r="M589" s="51" t="n">
        <x:v>9</x:v>
      </x:c>
      <x:c r="N589" s="51" t="n">
        <x:v>7</x:v>
      </x:c>
      <x:c r="O589" s="51" t="n">
        <x:v>8</x:v>
      </x:c>
      <x:c r="P589" s="51" t="n">
        <x:v>14</x:v>
      </x:c>
      <x:c r="Q589" s="51" t="n">
        <x:v>4</x:v>
      </x:c>
      <x:c r="R589" s="52" t="n">
        <x:f>SUM(J589:Q589)</x:f>
        <x:v>69</x:v>
      </x:c>
      <x:c r="S589" s="50" t="str">
        <x:f>IF(R589&gt;='Rubrik'!$B$17,"Öncelikli video",IF(R589&gt;='Rubrik'!$B$18,"Video kuyruğu",IF(R589&gt;='Rubrik'!$B$19,"Revize et",IF(R589&gt;='Rubrik'!$B$20,"Kartla test","Düşük öncelik"))))</x:f>
        <x:v>Düşük öncelik</x:v>
      </x:c>
      <x:c r="T589" s="50" t="str">
        <x:f>IF(AND(R589&gt;=85,P589&gt;=16,M589&gt;=12,L589&gt;=12),"Reel + Carousel",IF(AND(R589&gt;=85,P589&gt;=16,N589&gt;=8),"Soru odaklı Reel",IF(AND(R589&gt;=85,P589&gt;=16),"Reel / Short",IF(M589&gt;=11,"Carousel","Kart testi"))))</x:f>
        <x:v>Kart testi</x:v>
      </x:c>
      <x:c r="U589" s="46" t="str">
        <x:v>Duygusal karşıtlık paylaşma ve kişisel anlatma isteğini yükseltiyor; ilk saniye etkisi geliştirilmeli.</x:v>
      </x:c>
      <x:c r="V589" s="46" t="str">
        <x:f>IF(Q589&lt;=3,"Kaynak kontrolü şart",IF(Q589=4,"Kaynak kontrolü önerilir","Standart doğrulama"))</x:f>
        <x:v>Kaynak kontrolü önerilir</x:v>
      </x:c>
    </x:row>
    <x:row r="590" ht="24" customHeight="1">
      <x:c r="A590" s="48" t="n">
        <x:f>COUNTIF($R$2:$R$751,"&gt;"&amp;R590)+COUNTIF($R$2:R590,R590)</x:f>
        <x:v>589</x:v>
      </x:c>
      <x:c r="B590" s="48" t="n">
        <x:v>1076</x:v>
      </x:c>
      <x:c r="C590" s="46" t="str">
        <x:v>Barnes'ın Edison ortaklığı hayali</x:v>
      </x:c>
      <x:c r="D590" s="34" t="str">
        <x:v>Büyüme</x:v>
      </x:c>
      <x:c r="E590" s="34" t="str">
        <x:v>Motivasyon</x:v>
      </x:c>
      <x:c r="F590" s="34" t="str">
        <x:v>Düşün ve Zengin Ol</x:v>
      </x:c>
      <x:c r="G590" s="34" t="str">
        <x:v>Napoleon Hill</x:v>
      </x:c>
      <x:c r="H590" s="50" t="str">
        <x:v>1</x:v>
      </x:c>
      <x:c r="I590" s="50" t="str">
        <x:v>Temel</x:v>
      </x:c>
      <x:c r="J590" s="51" t="n">
        <x:v>13</x:v>
      </x:c>
      <x:c r="K590" s="51" t="n">
        <x:v>8</x:v>
      </x:c>
      <x:c r="L590" s="51" t="n">
        <x:v>9</x:v>
      </x:c>
      <x:c r="M590" s="51" t="n">
        <x:v>9</x:v>
      </x:c>
      <x:c r="N590" s="51" t="n">
        <x:v>8</x:v>
      </x:c>
      <x:c r="O590" s="51" t="n">
        <x:v>7</x:v>
      </x:c>
      <x:c r="P590" s="51" t="n">
        <x:v>14</x:v>
      </x:c>
      <x:c r="Q590" s="51" t="n">
        <x:v>1</x:v>
      </x:c>
      <x:c r="R590" s="52" t="n">
        <x:f>SUM(J590:Q590)</x:f>
        <x:v>69</x:v>
      </x:c>
      <x:c r="S590" s="50" t="str">
        <x:f>IF(R590&gt;='Rubrik'!$B$17,"Öncelikli video",IF(R590&gt;='Rubrik'!$B$18,"Video kuyruğu",IF(R590&gt;='Rubrik'!$B$19,"Revize et",IF(R590&gt;='Rubrik'!$B$20,"Kartla test","Düşük öncelik"))))</x:f>
        <x:v>Düşük öncelik</x:v>
      </x:c>
      <x:c r="T590" s="50" t="str">
        <x:f>IF(AND(R590&gt;=85,P590&gt;=16,M590&gt;=12,L590&gt;=12),"Reel + Carousel",IF(AND(R590&gt;=85,P590&gt;=16,N590&gt;=8),"Soru odaklı Reel",IF(AND(R590&gt;=85,P590&gt;=16),"Reel / Short",IF(M590&gt;=11,"Carousel","Kart testi"))))</x:f>
        <x:v>Kart testi</x:v>
      </x:c>
      <x:c r="U590" s="46" t="str">
        <x:v>Yük vagonundan Edison ortaklığına akış iyi; kapıcılık ve beş yıl ayrıntıları güçlü kaynak istiyor.</x:v>
      </x:c>
      <x:c r="V590" s="46" t="str">
        <x:f>IF(Q590&lt;=3,"Kaynak kontrolü şart",IF(Q590=4,"Kaynak kontrolü önerilir","Standart doğrulama"))</x:f>
        <x:v>Kaynak kontrolü şart</x:v>
      </x:c>
    </x:row>
    <x:row r="591" ht="24" customHeight="1">
      <x:c r="A591" s="48" t="n">
        <x:f>COUNTIF($R$2:$R$751,"&gt;"&amp;R591)+COUNTIF($R$2:R591,R591)</x:f>
        <x:v>590</x:v>
      </x:c>
      <x:c r="B591" s="48" t="n">
        <x:v>1271</x:v>
      </x:c>
      <x:c r="C591" s="46" t="str">
        <x:v>Güvenli beden — iyileşmenin temeli</x:v>
      </x:c>
      <x:c r="D591" s="34" t="str">
        <x:v>Sağlık</x:v>
      </x:c>
      <x:c r="E591" s="34" t="str">
        <x:v>Sağlık</x:v>
      </x:c>
      <x:c r="F591" s="34" t="str">
        <x:v>Bedenin Sesi</x:v>
      </x:c>
      <x:c r="G591" s="34" t="str">
        <x:v>Bessel van der Kolk</x:v>
      </x:c>
      <x:c r="H591" s="50" t="str">
        <x:v>1</x:v>
      </x:c>
      <x:c r="I591" s="50" t="str">
        <x:v>Temel</x:v>
      </x:c>
      <x:c r="J591" s="51" t="n">
        <x:v>11</x:v>
      </x:c>
      <x:c r="K591" s="51" t="n">
        <x:v>8</x:v>
      </x:c>
      <x:c r="L591" s="51" t="n">
        <x:v>9</x:v>
      </x:c>
      <x:c r="M591" s="51" t="n">
        <x:v>10</x:v>
      </x:c>
      <x:c r="N591" s="51" t="n">
        <x:v>8</x:v>
      </x:c>
      <x:c r="O591" s="51" t="n">
        <x:v>7</x:v>
      </x:c>
      <x:c r="P591" s="51" t="n">
        <x:v>14</x:v>
      </x:c>
      <x:c r="Q591" s="51" t="n">
        <x:v>2</x:v>
      </x:c>
      <x:c r="R591" s="52" t="n">
        <x:f>SUM(J591:Q591)</x:f>
        <x:v>69</x:v>
      </x:c>
      <x:c r="S591" s="50" t="str">
        <x:f>IF(R591&gt;='Rubrik'!$B$17,"Öncelikli video",IF(R591&gt;='Rubrik'!$B$18,"Video kuyruğu",IF(R591&gt;='Rubrik'!$B$19,"Revize et",IF(R591&gt;='Rubrik'!$B$20,"Kartla test","Düşük öncelik"))))</x:f>
        <x:v>Düşük öncelik</x:v>
      </x:c>
      <x:c r="T591" s="50" t="str">
        <x:f>IF(AND(R591&gt;=85,P591&gt;=16,M591&gt;=12,L591&gt;=12),"Reel + Carousel",IF(AND(R591&gt;=85,P591&gt;=16,N591&gt;=8),"Soru odaklı Reel",IF(AND(R591&gt;=85,P591&gt;=16),"Reel / Short",IF(M591&gt;=11,"Carousel","Kart testi"))))</x:f>
        <x:v>Kart testi</x:v>
      </x:c>
      <x:c r="U591" s="46" t="str">
        <x:v>Beden güvenliği yaklaşımı anlamlı; yoga sonuçları ve tedavi kıyasları tıbbi kaynakla daha ölçülü sunulmalı.</x:v>
      </x:c>
      <x:c r="V591" s="46" t="str">
        <x:f>IF(Q591&lt;=3,"Kaynak kontrolü şart",IF(Q591=4,"Kaynak kontrolü önerilir","Standart doğrulama"))</x:f>
        <x:v>Kaynak kontrolü şart</x:v>
      </x:c>
    </x:row>
    <x:row r="592" ht="24" customHeight="1">
      <x:c r="A592" s="48" t="n">
        <x:f>COUNTIF($R$2:$R$751,"&gt;"&amp;R592)+COUNTIF($R$2:R592,R592)</x:f>
        <x:v>591</x:v>
      </x:c>
      <x:c r="B592" s="48" t="n">
        <x:v>1220</x:v>
      </x:c>
      <x:c r="C592" s="46" t="str">
        <x:v>Şükranın beyin kimyası</x:v>
      </x:c>
      <x:c r="D592" s="34" t="str">
        <x:v>Psikoloji</x:v>
      </x:c>
      <x:c r="E592" s="34" t="str">
        <x:v>Mutluluk</x:v>
      </x:c>
      <x:c r="F592" s="34" t="str">
        <x:v>Şükran Günlüğü</x:v>
      </x:c>
      <x:c r="G592" s="34" t="str">
        <x:v>Janice Kaplan</x:v>
      </x:c>
      <x:c r="H592" s="50" t="str">
        <x:v>1</x:v>
      </x:c>
      <x:c r="I592" s="50" t="str">
        <x:v>Temel</x:v>
      </x:c>
      <x:c r="J592" s="51" t="n">
        <x:v>13</x:v>
      </x:c>
      <x:c r="K592" s="51" t="n">
        <x:v>7</x:v>
      </x:c>
      <x:c r="L592" s="51" t="n">
        <x:v>10</x:v>
      </x:c>
      <x:c r="M592" s="51" t="n">
        <x:v>13</x:v>
      </x:c>
      <x:c r="N592" s="51" t="n">
        <x:v>8</x:v>
      </x:c>
      <x:c r="O592" s="51" t="n">
        <x:v>5</x:v>
      </x:c>
      <x:c r="P592" s="51" t="n">
        <x:v>13</x:v>
      </x:c>
      <x:c r="Q592" s="51" t="n">
        <x:v>0</x:v>
      </x:c>
      <x:c r="R592" s="52" t="n">
        <x:f>SUM(J592:Q592)</x:f>
        <x:v>69</x:v>
      </x:c>
      <x:c r="S592" s="50" t="str">
        <x:f>IF(R592&gt;='Rubrik'!$B$17,"Öncelikli video",IF(R592&gt;='Rubrik'!$B$18,"Video kuyruğu",IF(R592&gt;='Rubrik'!$B$19,"Revize et",IF(R592&gt;='Rubrik'!$B$20,"Kartla test","Düşük öncelik"))))</x:f>
        <x:v>Düşük öncelik</x:v>
      </x:c>
      <x:c r="T592" s="50" t="str">
        <x:f>IF(AND(R592&gt;=85,P592&gt;=16,M592&gt;=12,L592&gt;=12),"Reel + Carousel",IF(AND(R592&gt;=85,P592&gt;=16,N592&gt;=8),"Soru odaklı Reel",IF(AND(R592&gt;=85,P592&gt;=16),"Reel / Short",IF(M592&gt;=11,"Carousel","Kart testi"))))</x:f>
        <x:v>Carousel</x:v>
      </x:c>
      <x:c r="U592" s="46" t="str">
        <x:v>Üç şükür maddesi uygulanabilir; serotonin, dopamin ve 21 günde yeniden programlama iddiaları güvenilir değil.</x:v>
      </x:c>
      <x:c r="V592" s="46" t="str">
        <x:f>IF(Q592&lt;=3,"Kaynak kontrolü şart",IF(Q592=4,"Kaynak kontrolü önerilir","Standart doğrulama"))</x:f>
        <x:v>Kaynak kontrolü şart</x:v>
      </x:c>
    </x:row>
    <x:row r="593" ht="24" customHeight="1">
      <x:c r="A593" s="48" t="n">
        <x:f>COUNTIF($R$2:$R$751,"&gt;"&amp;R593)+COUNTIF($R$2:R593,R593)</x:f>
        <x:v>592</x:v>
      </x:c>
      <x:c r="B593" s="48" t="n">
        <x:v>1374</x:v>
      </x:c>
      <x:c r="C593" s="46" t="str">
        <x:v>Eşyaların enerjisi ve ev farkındalığı</x:v>
      </x:c>
      <x:c r="D593" s="34" t="str">
        <x:v>Felsefe</x:v>
      </x:c>
      <x:c r="E593" s="34" t="str">
        <x:v>Yaşam</x:v>
      </x:c>
      <x:c r="F593" s="34" t="str">
        <x:v>The Life-Changing Magic of Tidying Up</x:v>
      </x:c>
      <x:c r="G593" s="34" t="str">
        <x:v>Marie Kondo</x:v>
      </x:c>
      <x:c r="H593" s="50" t="str">
        <x:v>1</x:v>
      </x:c>
      <x:c r="I593" s="50" t="str">
        <x:v>Temel</x:v>
      </x:c>
      <x:c r="J593" s="51" t="n">
        <x:v>11</x:v>
      </x:c>
      <x:c r="K593" s="51" t="n">
        <x:v>6</x:v>
      </x:c>
      <x:c r="L593" s="51" t="n">
        <x:v>10</x:v>
      </x:c>
      <x:c r="M593" s="51" t="n">
        <x:v>11</x:v>
      </x:c>
      <x:c r="N593" s="51" t="n">
        <x:v>9</x:v>
      </x:c>
      <x:c r="O593" s="51" t="n">
        <x:v>6</x:v>
      </x:c>
      <x:c r="P593" s="51" t="n">
        <x:v>13</x:v>
      </x:c>
      <x:c r="Q593" s="51" t="n">
        <x:v>3</x:v>
      </x:c>
      <x:c r="R593" s="52" t="n">
        <x:f>SUM(J593:Q593)</x:f>
        <x:v>69</x:v>
      </x:c>
      <x:c r="S593" s="50" t="str">
        <x:f>IF(R593&gt;='Rubrik'!$B$17,"Öncelikli video",IF(R593&gt;='Rubrik'!$B$18,"Video kuyruğu",IF(R593&gt;='Rubrik'!$B$19,"Revize et",IF(R593&gt;='Rubrik'!$B$20,"Kartla test","Düşük öncelik"))))</x:f>
        <x:v>Düşük öncelik</x:v>
      </x:c>
      <x:c r="T593" s="50" t="str">
        <x:f>IF(AND(R593&gt;=85,P593&gt;=16,M593&gt;=12,L593&gt;=12),"Reel + Carousel",IF(AND(R593&gt;=85,P593&gt;=16,N593&gt;=8),"Soru odaklı Reel",IF(AND(R593&gt;=85,P593&gt;=16),"Reel / Short",IF(M593&gt;=11,"Carousel","Kart testi"))))</x:f>
        <x:v>Carousel</x:v>
      </x:c>
      <x:c r="U593" s="46" t="str">
        <x:v>Nesneye teşekkür ritüeli farkındalık yaratıyor; ilişki ve işlere aynı neşe filtresini taşımak yüzeysel kalabilir.</x:v>
      </x:c>
      <x:c r="V593" s="46" t="str">
        <x:f>IF(Q593&lt;=3,"Kaynak kontrolü şart",IF(Q593=4,"Kaynak kontrolü önerilir","Standart doğrulama"))</x:f>
        <x:v>Kaynak kontrolü şart</x:v>
      </x:c>
    </x:row>
    <x:row r="594" ht="24" customHeight="1">
      <x:c r="A594" s="48" t="n">
        <x:f>COUNTIF($R$2:$R$751,"&gt;"&amp;R594)+COUNTIF($R$2:R594,R594)</x:f>
        <x:v>593</x:v>
      </x:c>
      <x:c r="B594" s="48" t="n">
        <x:v>1540</x:v>
      </x:c>
      <x:c r="C594" s="46" t="str">
        <x:v>Her problem görsel düşünceyle çözülebilir</x:v>
      </x:c>
      <x:c r="D594" s="34" t="str">
        <x:v>Verimlilik</x:v>
      </x:c>
      <x:c r="E594" s="34" t="str">
        <x:v>Yaratıcılık</x:v>
      </x:c>
      <x:c r="F594" s="34" t="str">
        <x:v>Peçete Arkası</x:v>
      </x:c>
      <x:c r="G594" s="34" t="str">
        <x:v>Dan Roam</x:v>
      </x:c>
      <x:c r="H594" s="50" t="str">
        <x:v>1</x:v>
      </x:c>
      <x:c r="I594" s="50" t="str">
        <x:v>Temel</x:v>
      </x:c>
      <x:c r="J594" s="51" t="n">
        <x:v>10</x:v>
      </x:c>
      <x:c r="K594" s="51" t="n">
        <x:v>5</x:v>
      </x:c>
      <x:c r="L594" s="51" t="n">
        <x:v>10</x:v>
      </x:c>
      <x:c r="M594" s="51" t="n">
        <x:v>14</x:v>
      </x:c>
      <x:c r="N594" s="51" t="n">
        <x:v>8</x:v>
      </x:c>
      <x:c r="O594" s="51" t="n">
        <x:v>5</x:v>
      </x:c>
      <x:c r="P594" s="51" t="n">
        <x:v>13</x:v>
      </x:c>
      <x:c r="Q594" s="51" t="n">
        <x:v>4</x:v>
      </x:c>
      <x:c r="R594" s="52" t="n">
        <x:f>SUM(J594:Q594)</x:f>
        <x:v>69</x:v>
      </x:c>
      <x:c r="S594" s="50" t="str">
        <x:f>IF(R594&gt;='Rubrik'!$B$17,"Öncelikli video",IF(R594&gt;='Rubrik'!$B$18,"Video kuyruğu",IF(R594&gt;='Rubrik'!$B$19,"Revize et",IF(R594&gt;='Rubrik'!$B$20,"Kartla test","Düşük öncelik"))))</x:f>
        <x:v>Düşük öncelik</x:v>
      </x:c>
      <x:c r="T594" s="50" t="str">
        <x:f>IF(AND(R594&gt;=85,P594&gt;=16,M594&gt;=12,L594&gt;=12),"Reel + Carousel",IF(AND(R594&gt;=85,P594&gt;=16,N594&gt;=8),"Soru odaklı Reel",IF(AND(R594&gt;=85,P594&gt;=16),"Reel / Short",IF(M594&gt;=11,"Carousel","Kart testi"))))</x:f>
        <x:v>Carousel</x:v>
      </x:c>
      <x:c r="U594" s="46" t="str">
        <x:v>Herkesin görsel düşünebileceği mesajı cesaret veriyor; uygulanabilir çizim alıştırmaları kaydetmeye uygun.</x:v>
      </x:c>
      <x:c r="V594" s="46" t="str">
        <x:f>IF(Q594&lt;=3,"Kaynak kontrolü şart",IF(Q594=4,"Kaynak kontrolü önerilir","Standart doğrulama"))</x:f>
        <x:v>Kaynak kontrolü önerilir</x:v>
      </x:c>
    </x:row>
    <x:row r="595" ht="24" customHeight="1">
      <x:c r="A595" s="48" t="n">
        <x:f>COUNTIF($R$2:$R$751,"&gt;"&amp;R595)+COUNTIF($R$2:R595,R595)</x:f>
        <x:v>594</x:v>
      </x:c>
      <x:c r="B595" s="48" t="n">
        <x:v>1617</x:v>
      </x:c>
      <x:c r="C595" s="46" t="str">
        <x:v>Bütçe — paranın patronu olmak</x:v>
      </x:c>
      <x:c r="D595" s="34" t="str">
        <x:v>Finans</x:v>
      </x:c>
      <x:c r="E595" s="34" t="str">
        <x:v>Finans</x:v>
      </x:c>
      <x:c r="F595" s="34" t="str">
        <x:v>Borç Devrimi</x:v>
      </x:c>
      <x:c r="G595" s="34" t="str">
        <x:v>Dave Ramsey</x:v>
      </x:c>
      <x:c r="H595" s="50" t="str">
        <x:v>1</x:v>
      </x:c>
      <x:c r="I595" s="50" t="str">
        <x:v>Temel</x:v>
      </x:c>
      <x:c r="J595" s="51" t="n">
        <x:v>10</x:v>
      </x:c>
      <x:c r="K595" s="51" t="n">
        <x:v>4</x:v>
      </x:c>
      <x:c r="L595" s="51" t="n">
        <x:v>10</x:v>
      </x:c>
      <x:c r="M595" s="51" t="n">
        <x:v>15</x:v>
      </x:c>
      <x:c r="N595" s="51" t="n">
        <x:v>7</x:v>
      </x:c>
      <x:c r="O595" s="51" t="n">
        <x:v>5</x:v>
      </x:c>
      <x:c r="P595" s="51" t="n">
        <x:v>13</x:v>
      </x:c>
      <x:c r="Q595" s="51" t="n">
        <x:v>5</x:v>
      </x:c>
      <x:c r="R595" s="52" t="n">
        <x:f>SUM(J595:Q595)</x:f>
        <x:v>69</x:v>
      </x:c>
      <x:c r="S595" s="50" t="str">
        <x:f>IF(R595&gt;='Rubrik'!$B$17,"Öncelikli video",IF(R595&gt;='Rubrik'!$B$18,"Video kuyruğu",IF(R595&gt;='Rubrik'!$B$19,"Revize et",IF(R595&gt;='Rubrik'!$B$20,"Kartla test","Düşük öncelik"))))</x:f>
        <x:v>Düşük öncelik</x:v>
      </x:c>
      <x:c r="T595" s="50" t="str">
        <x:f>IF(AND(R595&gt;=85,P595&gt;=16,M595&gt;=12,L595&gt;=12),"Reel + Carousel",IF(AND(R595&gt;=85,P595&gt;=16,N595&gt;=8),"Soru odaklı Reel",IF(AND(R595&gt;=85,P595&gt;=16),"Reel / Short",IF(M595&gt;=11,"Carousel","Kart testi"))))</x:f>
        <x:v>Carousel</x:v>
      </x:c>
      <x:c r="U595" s="46" t="str">
        <x:v>Sıfır tabanlı bütçe her liraya görev vererek net sistem kuruyor; pratik ama anlatısal çekiciliği sınırlı.</x:v>
      </x:c>
      <x:c r="V595" s="46" t="str">
        <x:f>IF(Q595&lt;=3,"Kaynak kontrolü şart",IF(Q595=4,"Kaynak kontrolü önerilir","Standart doğrulama"))</x:f>
        <x:v>Standart doğrulama</x:v>
      </x:c>
    </x:row>
    <x:row r="596" ht="24" customHeight="1">
      <x:c r="A596" s="48" t="n">
        <x:f>COUNTIF($R$2:$R$751,"&gt;"&amp;R596)+COUNTIF($R$2:R596,R596)</x:f>
        <x:v>595</x:v>
      </x:c>
      <x:c r="B596" s="48" t="n">
        <x:v>1090</x:v>
      </x:c>
      <x:c r="C596" s="46" t="str">
        <x:v>Build-Measure-Learn döngüsü</x:v>
      </x:c>
      <x:c r="D596" s="34" t="str">
        <x:v>Verimlilik</x:v>
      </x:c>
      <x:c r="E596" s="34" t="str">
        <x:v>Girişimcilik</x:v>
      </x:c>
      <x:c r="F596" s="34" t="str">
        <x:v>Büyük Sıçrayış</x:v>
      </x:c>
      <x:c r="G596" s="34" t="str">
        <x:v>Eric Ries</x:v>
      </x:c>
      <x:c r="H596" s="50" t="str">
        <x:v>1</x:v>
      </x:c>
      <x:c r="I596" s="50" t="str">
        <x:v>Temel</x:v>
      </x:c>
      <x:c r="J596" s="51" t="n">
        <x:v>12</x:v>
      </x:c>
      <x:c r="K596" s="51" t="n">
        <x:v>6</x:v>
      </x:c>
      <x:c r="L596" s="51" t="n">
        <x:v>9</x:v>
      </x:c>
      <x:c r="M596" s="51" t="n">
        <x:v>13</x:v>
      </x:c>
      <x:c r="N596" s="51" t="n">
        <x:v>8</x:v>
      </x:c>
      <x:c r="O596" s="51" t="n">
        <x:v>6</x:v>
      </x:c>
      <x:c r="P596" s="51" t="n">
        <x:v>13</x:v>
      </x:c>
      <x:c r="Q596" s="51" t="n">
        <x:v>2</x:v>
      </x:c>
      <x:c r="R596" s="52" t="n">
        <x:f>SUM(J596:Q596)</x:f>
        <x:v>69</x:v>
      </x:c>
      <x:c r="S596" s="50" t="str">
        <x:f>IF(R596&gt;='Rubrik'!$B$17,"Öncelikli video",IF(R596&gt;='Rubrik'!$B$18,"Video kuyruğu",IF(R596&gt;='Rubrik'!$B$19,"Revize et",IF(R596&gt;='Rubrik'!$B$20,"Kartla test","Düşük öncelik"))))</x:f>
        <x:v>Düşük öncelik</x:v>
      </x:c>
      <x:c r="T596" s="50" t="str">
        <x:f>IF(AND(R596&gt;=85,P596&gt;=16,M596&gt;=12,L596&gt;=12),"Reel + Carousel",IF(AND(R596&gt;=85,P596&gt;=16,N596&gt;=8),"Soru odaklı Reel",IF(AND(R596&gt;=85,P596&gt;=16),"Reel / Short",IF(M596&gt;=11,"Carousel","Kart testi"))))</x:f>
        <x:v>Carousel</x:v>
      </x:c>
      <x:c r="U596" s="46" t="str">
        <x:v>Andon ipi güçlü bir açılış; Toyota'dan döngüye doğrudan soy bağı ve bazı genellemeler teyit istiyor.</x:v>
      </x:c>
      <x:c r="V596" s="46" t="str">
        <x:f>IF(Q596&lt;=3,"Kaynak kontrolü şart",IF(Q596=4,"Kaynak kontrolü önerilir","Standart doğrulama"))</x:f>
        <x:v>Kaynak kontrolü şart</x:v>
      </x:c>
    </x:row>
    <x:row r="597" ht="24" customHeight="1">
      <x:c r="A597" s="48" t="n">
        <x:f>COUNTIF($R$2:$R$751,"&gt;"&amp;R597)+COUNTIF($R$2:R597,R597)</x:f>
        <x:v>596</x:v>
      </x:c>
      <x:c r="B597" s="48" t="n">
        <x:v>1353</x:v>
      </x:c>
      <x:c r="C597" s="46" t="str">
        <x:v>İkiz döngüsü — kazanma ve öğrenme</x:v>
      </x:c>
      <x:c r="D597" s="34" t="str">
        <x:v>Sağlık</x:v>
      </x:c>
      <x:c r="E597" s="34" t="str">
        <x:v>Alışkanlıklar</x:v>
      </x:c>
      <x:c r="F597" s="34" t="str">
        <x:v>Bir Sonraki Seviye</x:v>
      </x:c>
      <x:c r="G597" s="34" t="str">
        <x:v>Robin Sharma</x:v>
      </x:c>
      <x:c r="H597" s="50" t="str">
        <x:v>1</x:v>
      </x:c>
      <x:c r="I597" s="50" t="str">
        <x:v>Temel</x:v>
      </x:c>
      <x:c r="J597" s="51" t="n">
        <x:v>10</x:v>
      </x:c>
      <x:c r="K597" s="51" t="n">
        <x:v>6</x:v>
      </x:c>
      <x:c r="L597" s="51" t="n">
        <x:v>9</x:v>
      </x:c>
      <x:c r="M597" s="51" t="n">
        <x:v>13</x:v>
      </x:c>
      <x:c r="N597" s="51" t="n">
        <x:v>9</x:v>
      </x:c>
      <x:c r="O597" s="51" t="n">
        <x:v>6</x:v>
      </x:c>
      <x:c r="P597" s="51" t="n">
        <x:v>13</x:v>
      </x:c>
      <x:c r="Q597" s="51" t="n">
        <x:v>3</x:v>
      </x:c>
      <x:c r="R597" s="52" t="n">
        <x:f>SUM(J597:Q597)</x:f>
        <x:v>69</x:v>
      </x:c>
      <x:c r="S597" s="50" t="str">
        <x:f>IF(R597&gt;='Rubrik'!$B$17,"Öncelikli video",IF(R597&gt;='Rubrik'!$B$18,"Video kuyruğu",IF(R597&gt;='Rubrik'!$B$19,"Revize et",IF(R597&gt;='Rubrik'!$B$20,"Kartla test","Düşük öncelik"))))</x:f>
        <x:v>Düşük öncelik</x:v>
      </x:c>
      <x:c r="T597" s="50" t="str">
        <x:f>IF(AND(R597&gt;=85,P597&gt;=16,M597&gt;=12,L597&gt;=12),"Reel + Carousel",IF(AND(R597&gt;=85,P597&gt;=16,N597&gt;=8),"Soru odaklı Reel",IF(AND(R597&gt;=85,P597&gt;=16),"Reel / Short",IF(M597&gt;=11,"Carousel","Kart testi"))))</x:f>
        <x:v>Carousel</x:v>
      </x:c>
      <x:c r="U597" s="46" t="str">
        <x:v>Kazanma ve öğrenme günlüğü yararlı bir rutin; somut kişi, olay ve sürpriz olmadığından anlatı enerjisi düşük.</x:v>
      </x:c>
      <x:c r="V597" s="46" t="str">
        <x:f>IF(Q597&lt;=3,"Kaynak kontrolü şart",IF(Q597=4,"Kaynak kontrolü önerilir","Standart doğrulama"))</x:f>
        <x:v>Kaynak kontrolü şart</x:v>
      </x:c>
    </x:row>
    <x:row r="598" ht="24" customHeight="1">
      <x:c r="A598" s="48" t="n">
        <x:f>COUNTIF($R$2:$R$751,"&gt;"&amp;R598)+COUNTIF($R$2:R598,R598)</x:f>
        <x:v>597</x:v>
      </x:c>
      <x:c r="B598" s="48" t="n">
        <x:v>1384</x:v>
      </x:c>
      <x:c r="C598" s="46" t="str">
        <x:v>Küçük sağlık kazanımlarının bileşimi</x:v>
      </x:c>
      <x:c r="D598" s="34" t="str">
        <x:v>Sağlık</x:v>
      </x:c>
      <x:c r="E598" s="34" t="str">
        <x:v>Sağlık</x:v>
      </x:c>
      <x:c r="F598" s="34" t="str">
        <x:v>Sağlıklı Olmak</x:v>
      </x:c>
      <x:c r="G598" s="34" t="str">
        <x:v>James Clear</x:v>
      </x:c>
      <x:c r="H598" s="50" t="str">
        <x:v>1</x:v>
      </x:c>
      <x:c r="I598" s="50" t="str">
        <x:v>Temel</x:v>
      </x:c>
      <x:c r="J598" s="51" t="n">
        <x:v>10</x:v>
      </x:c>
      <x:c r="K598" s="51" t="n">
        <x:v>7</x:v>
      </x:c>
      <x:c r="L598" s="51" t="n">
        <x:v>9</x:v>
      </x:c>
      <x:c r="M598" s="51" t="n">
        <x:v>13</x:v>
      </x:c>
      <x:c r="N598" s="51" t="n">
        <x:v>8</x:v>
      </x:c>
      <x:c r="O598" s="51" t="n">
        <x:v>6</x:v>
      </x:c>
      <x:c r="P598" s="51" t="n">
        <x:v>13</x:v>
      </x:c>
      <x:c r="Q598" s="51" t="n">
        <x:v>3</x:v>
      </x:c>
      <x:c r="R598" s="52" t="n">
        <x:f>SUM(J598:Q598)</x:f>
        <x:v>69</x:v>
      </x:c>
      <x:c r="S598" s="50" t="str">
        <x:f>IF(R598&gt;='Rubrik'!$B$17,"Öncelikli video",IF(R598&gt;='Rubrik'!$B$18,"Video kuyruğu",IF(R598&gt;='Rubrik'!$B$19,"Revize et",IF(R598&gt;='Rubrik'!$B$20,"Kartla test","Düşük öncelik"))))</x:f>
        <x:v>Düşük öncelik</x:v>
      </x:c>
      <x:c r="T598" s="50" t="str">
        <x:f>IF(AND(R598&gt;=85,P598&gt;=16,M598&gt;=12,L598&gt;=12),"Reel + Carousel",IF(AND(R598&gt;=85,P598&gt;=16,N598&gt;=8),"Soru odaklı Reel",IF(AND(R598&gt;=85,P598&gt;=16),"Reel / Short",IF(M598&gt;=11,"Carousel","Kart testi"))))</x:f>
        <x:v>Carousel</x:v>
      </x:c>
      <x:c r="U598" s="46" t="str">
        <x:v>Bir bardak su gibi küçük adım uygulanabilir; somut karakter ve özgün olay olmadığı için hikâye zayıf.</x:v>
      </x:c>
      <x:c r="V598" s="46" t="str">
        <x:f>IF(Q598&lt;=3,"Kaynak kontrolü şart",IF(Q598=4,"Kaynak kontrolü önerilir","Standart doğrulama"))</x:f>
        <x:v>Kaynak kontrolü şart</x:v>
      </x:c>
    </x:row>
    <x:row r="599" ht="24" customHeight="1">
      <x:c r="A599" s="48" t="n">
        <x:f>COUNTIF($R$2:$R$751,"&gt;"&amp;R599)+COUNTIF($R$2:R599,R599)</x:f>
        <x:v>598</x:v>
      </x:c>
      <x:c r="B599" s="48" t="n">
        <x:v>1391</x:v>
      </x:c>
      <x:c r="C599" s="46" t="str">
        <x:v>Hedefin altı P'si</x:v>
      </x:c>
      <x:c r="D599" s="34" t="str">
        <x:v>Liderlik</x:v>
      </x:c>
      <x:c r="E599" s="34" t="str">
        <x:v>Hedefler</x:v>
      </x:c>
      <x:c r="F599" s="34" t="str">
        <x:v>Hedeflere Ulaşmak</x:v>
      </x:c>
      <x:c r="G599" s="34" t="str">
        <x:v>Brian Tracy</x:v>
      </x:c>
      <x:c r="H599" s="50" t="str">
        <x:v>1</x:v>
      </x:c>
      <x:c r="I599" s="50" t="str">
        <x:v>Temel</x:v>
      </x:c>
      <x:c r="J599" s="51" t="n">
        <x:v>11</x:v>
      </x:c>
      <x:c r="K599" s="51" t="n">
        <x:v>6</x:v>
      </x:c>
      <x:c r="L599" s="51" t="n">
        <x:v>9</x:v>
      </x:c>
      <x:c r="M599" s="51" t="n">
        <x:v>14</x:v>
      </x:c>
      <x:c r="N599" s="51" t="n">
        <x:v>8</x:v>
      </x:c>
      <x:c r="O599" s="51" t="n">
        <x:v>6</x:v>
      </x:c>
      <x:c r="P599" s="51" t="n">
        <x:v>13</x:v>
      </x:c>
      <x:c r="Q599" s="51" t="n">
        <x:v>2</x:v>
      </x:c>
      <x:c r="R599" s="52" t="n">
        <x:f>SUM(J599:Q599)</x:f>
        <x:v>69</x:v>
      </x:c>
      <x:c r="S599" s="50" t="str">
        <x:f>IF(R599&gt;='Rubrik'!$B$17,"Öncelikli video",IF(R599&gt;='Rubrik'!$B$18,"Video kuyruğu",IF(R599&gt;='Rubrik'!$B$19,"Revize et",IF(R599&gt;='Rubrik'!$B$20,"Kartla test","Düşük öncelik"))))</x:f>
        <x:v>Düşük öncelik</x:v>
      </x:c>
      <x:c r="T599" s="50" t="str">
        <x:f>IF(AND(R599&gt;=85,P599&gt;=16,M599&gt;=12,L599&gt;=12),"Reel + Carousel",IF(AND(R599&gt;=85,P599&gt;=16,N599&gt;=8),"Soru odaklı Reel",IF(AND(R599&gt;=85,P599&gt;=16),"Reel / Short",IF(M599&gt;=11,"Carousel","Kart testi"))))</x:f>
        <x:v>Carousel</x:v>
      </x:c>
      <x:c r="U599" s="46" t="str">
        <x:v>Altı P pratik bir kontrol listesi; şimdiki zamanın beyni programladığı ve başarıyı kaçınılmaz kıldığı iddiası zayıf.</x:v>
      </x:c>
      <x:c r="V599" s="46" t="str">
        <x:f>IF(Q599&lt;=3,"Kaynak kontrolü şart",IF(Q599=4,"Kaynak kontrolü önerilir","Standart doğrulama"))</x:f>
        <x:v>Kaynak kontrolü şart</x:v>
      </x:c>
    </x:row>
    <x:row r="600" ht="24" customHeight="1">
      <x:c r="A600" s="48" t="n">
        <x:f>COUNTIF($R$2:$R$751,"&gt;"&amp;R600)+COUNTIF($R$2:R600,R600)</x:f>
        <x:v>599</x:v>
      </x:c>
      <x:c r="B600" s="48" t="n">
        <x:v>1126</x:v>
      </x:c>
      <x:c r="C600" s="46" t="str">
        <x:v>Soyut lider mi, somut lider mi?</x:v>
      </x:c>
      <x:c r="D600" s="34" t="str">
        <x:v>Liderlik</x:v>
      </x:c>
      <x:c r="E600" s="34" t="str">
        <x:v>Liderlik</x:v>
      </x:c>
      <x:c r="F600" s="34" t="str">
        <x:v>Liderlik Sanatı</x:v>
      </x:c>
      <x:c r="G600" s="34" t="str">
        <x:v>Simon Sinek</x:v>
      </x:c>
      <x:c r="H600" s="50" t="str">
        <x:v>1</x:v>
      </x:c>
      <x:c r="I600" s="50" t="str">
        <x:v>Temel</x:v>
      </x:c>
      <x:c r="J600" s="51" t="n">
        <x:v>11</x:v>
      </x:c>
      <x:c r="K600" s="51" t="n">
        <x:v>7</x:v>
      </x:c>
      <x:c r="L600" s="51" t="n">
        <x:v>9</x:v>
      </x:c>
      <x:c r="M600" s="51" t="n">
        <x:v>12</x:v>
      </x:c>
      <x:c r="N600" s="51" t="n">
        <x:v>9</x:v>
      </x:c>
      <x:c r="O600" s="51" t="n">
        <x:v>5</x:v>
      </x:c>
      <x:c r="P600" s="51" t="n">
        <x:v>12</x:v>
      </x:c>
      <x:c r="Q600" s="51" t="n">
        <x:v>4</x:v>
      </x:c>
      <x:c r="R600" s="52" t="n">
        <x:f>SUM(J600:Q600)</x:f>
        <x:v>69</x:v>
      </x:c>
      <x:c r="S600" s="50" t="str">
        <x:f>IF(R600&gt;='Rubrik'!$B$17,"Öncelikli video",IF(R600&gt;='Rubrik'!$B$18,"Video kuyruğu",IF(R600&gt;='Rubrik'!$B$19,"Revize et",IF(R600&gt;='Rubrik'!$B$20,"Kartla test","Düşük öncelik"))))</x:f>
        <x:v>Düşük öncelik</x:v>
      </x:c>
      <x:c r="T600" s="50" t="str">
        <x:f>IF(AND(R600&gt;=85,P600&gt;=16,M600&gt;=12,L600&gt;=12),"Reel + Carousel",IF(AND(R600&gt;=85,P600&gt;=16,N600&gt;=8),"Soru odaklı Reel",IF(AND(R600&gt;=85,P600&gt;=16),"Reel / Short",IF(M600&gt;=11,"Carousel","Kart testi"))))</x:f>
        <x:v>Carousel</x:v>
      </x:c>
      <x:c r="U600" s="46" t="str">
        <x:v>Unvan ve davranış ayrımı yararlı, ancak olay örgüsü ve özgün sürpriz az; daha çok kısa bir liderlik dersi.</x:v>
      </x:c>
      <x:c r="V600" s="46" t="str">
        <x:f>IF(Q600&lt;=3,"Kaynak kontrolü şart",IF(Q600=4,"Kaynak kontrolü önerilir","Standart doğrulama"))</x:f>
        <x:v>Kaynak kontrolü önerilir</x:v>
      </x:c>
    </x:row>
    <x:row r="601" ht="24" customHeight="1">
      <x:c r="A601" s="48" t="n">
        <x:f>COUNTIF($R$2:$R$751,"&gt;"&amp;R601)+COUNTIF($R$2:R601,R601)</x:f>
        <x:v>600</x:v>
      </x:c>
      <x:c r="B601" s="48" t="n">
        <x:v>1159</x:v>
      </x:c>
      <x:c r="C601" s="46" t="str">
        <x:v>Ortak zemin yaratma sanatı</x:v>
      </x:c>
      <x:c r="D601" s="34" t="str">
        <x:v>İletişim</x:v>
      </x:c>
      <x:c r="E601" s="34" t="str">
        <x:v>İletişim</x:v>
      </x:c>
      <x:c r="F601" s="34" t="str">
        <x:v>Dürüst Konuşmak</x:v>
      </x:c>
      <x:c r="G601" s="34" t="str">
        <x:v>Kerry Patterson</x:v>
      </x:c>
      <x:c r="H601" s="50" t="str">
        <x:v>1</x:v>
      </x:c>
      <x:c r="I601" s="50" t="str">
        <x:v>Temel</x:v>
      </x:c>
      <x:c r="J601" s="51" t="n">
        <x:v>11</x:v>
      </x:c>
      <x:c r="K601" s="51" t="n">
        <x:v>7</x:v>
      </x:c>
      <x:c r="L601" s="51" t="n">
        <x:v>8</x:v>
      </x:c>
      <x:c r="M601" s="51" t="n">
        <x:v>13</x:v>
      </x:c>
      <x:c r="N601" s="51" t="n">
        <x:v>10</x:v>
      </x:c>
      <x:c r="O601" s="51" t="n">
        <x:v>5</x:v>
      </x:c>
      <x:c r="P601" s="51" t="n">
        <x:v>11</x:v>
      </x:c>
      <x:c r="Q601" s="51" t="n">
        <x:v>4</x:v>
      </x:c>
      <x:c r="R601" s="52" t="n">
        <x:f>SUM(J601:Q601)</x:f>
        <x:v>69</x:v>
      </x:c>
      <x:c r="S601" s="50" t="str">
        <x:f>IF(R601&gt;='Rubrik'!$B$17,"Öncelikli video",IF(R601&gt;='Rubrik'!$B$18,"Video kuyruğu",IF(R601&gt;='Rubrik'!$B$19,"Revize et",IF(R601&gt;='Rubrik'!$B$20,"Kartla test","Düşük öncelik"))))</x:f>
        <x:v>Düşük öncelik</x:v>
      </x:c>
      <x:c r="T601" s="50" t="str">
        <x:f>IF(AND(R601&gt;=85,P601&gt;=16,M601&gt;=12,L601&gt;=12),"Reel + Carousel",IF(AND(R601&gt;=85,P601&gt;=16,N601&gt;=8),"Soru odaklı Reel",IF(AND(R601&gt;=85,P601&gt;=16),"Reel / Short",IF(M601&gt;=11,"Carousel","Kart testi"))))</x:f>
        <x:v>Carousel</x:v>
      </x:c>
      <x:c r="U601" s="46" t="str">
        <x:v>Ortak amaç cümlesi zor konuşmalar için kaydedilir; hikâye ve özgün görsel sahne bulunmuyor.</x:v>
      </x:c>
      <x:c r="V601" s="46" t="str">
        <x:f>IF(Q601&lt;=3,"Kaynak kontrolü şart",IF(Q601=4,"Kaynak kontrolü önerilir","Standart doğrulama"))</x:f>
        <x:v>Kaynak kontrolü önerilir</x:v>
      </x:c>
    </x:row>
    <x:row r="602" ht="24" customHeight="1">
      <x:c r="A602" s="48" t="n">
        <x:f>COUNTIF($R$2:$R$751,"&gt;"&amp;R602)+COUNTIF($R$2:R602,R602)</x:f>
        <x:v>601</x:v>
      </x:c>
      <x:c r="B602" s="48" t="n">
        <x:v>1638</x:v>
      </x:c>
      <x:c r="C602" s="46" t="str">
        <x:v>Şefkatin nörobilimi — bağlantı bağımlılığın panzehiri</x:v>
      </x:c>
      <x:c r="D602" s="34" t="str">
        <x:v>Finans</x:v>
      </x:c>
      <x:c r="E602" s="34" t="str">
        <x:v>Satış</x:v>
      </x:c>
      <x:c r="F602" s="34" t="str">
        <x:v>Her Şey Gerçek Olabilir</x:v>
      </x:c>
      <x:c r="G602" s="34" t="str">
        <x:v>Gabor Maté</x:v>
      </x:c>
      <x:c r="H602" s="50" t="str">
        <x:v>1</x:v>
      </x:c>
      <x:c r="I602" s="50" t="str">
        <x:v>Temel</x:v>
      </x:c>
      <x:c r="J602" s="51" t="n">
        <x:v>9</x:v>
      </x:c>
      <x:c r="K602" s="51" t="n">
        <x:v>9</x:v>
      </x:c>
      <x:c r="L602" s="51" t="n">
        <x:v>10</x:v>
      </x:c>
      <x:c r="M602" s="51" t="n">
        <x:v>9</x:v>
      </x:c>
      <x:c r="N602" s="51" t="n">
        <x:v>7</x:v>
      </x:c>
      <x:c r="O602" s="51" t="n">
        <x:v>6</x:v>
      </x:c>
      <x:c r="P602" s="51" t="n">
        <x:v>15</x:v>
      </x:c>
      <x:c r="Q602" s="51" t="n">
        <x:v>3</x:v>
      </x:c>
      <x:c r="R602" s="52" t="n">
        <x:f>SUM(J602:Q602)</x:f>
        <x:v>68</x:v>
      </x:c>
      <x:c r="S602" s="50" t="str">
        <x:f>IF(R602&gt;='Rubrik'!$B$17,"Öncelikli video",IF(R602&gt;='Rubrik'!$B$18,"Video kuyruğu",IF(R602&gt;='Rubrik'!$B$19,"Revize et",IF(R602&gt;='Rubrik'!$B$20,"Kartla test","Düşük öncelik"))))</x:f>
        <x:v>Düşük öncelik</x:v>
      </x:c>
      <x:c r="T602" s="50" t="str">
        <x:f>IF(AND(R602&gt;=85,P602&gt;=16,M602&gt;=12,L602&gt;=12),"Reel + Carousel",IF(AND(R602&gt;=85,P602&gt;=16,N602&gt;=8),"Soru odaklı Reel",IF(AND(R602&gt;=85,P602&gt;=16),"Reel / Short",IF(M602&gt;=11,"Carousel","Kart testi"))))</x:f>
        <x:v>Kart testi</x:v>
      </x:c>
      <x:c r="U602" s="46" t="str">
        <x:v>Duygusal karşıtlık paylaşma ve kişisel anlatma isteğini yükseltiyor; olay örgüsü geliştirilmeli.</x:v>
      </x:c>
      <x:c r="V602" s="46" t="str">
        <x:f>IF(Q602&lt;=3,"Kaynak kontrolü şart",IF(Q602=4,"Kaynak kontrolü önerilir","Standart doğrulama"))</x:f>
        <x:v>Kaynak kontrolü şart</x:v>
      </x:c>
    </x:row>
    <x:row r="603" ht="24" customHeight="1">
      <x:c r="A603" s="48" t="n">
        <x:f>COUNTIF($R$2:$R$751,"&gt;"&amp;R603)+COUNTIF($R$2:R603,R603)</x:f>
        <x:v>602</x:v>
      </x:c>
      <x:c r="B603" s="48" t="n">
        <x:v>1669</x:v>
      </x:c>
      <x:c r="C603" s="46" t="str">
        <x:v>Öfkeyi pişirmek — soğutma değil dönüştürme</x:v>
      </x:c>
      <x:c r="D603" s="34" t="str">
        <x:v>Psikoloji</x:v>
      </x:c>
      <x:c r="E603" s="34" t="str">
        <x:v>Psikoloji</x:v>
      </x:c>
      <x:c r="F603" s="34" t="str">
        <x:v>Öfke</x:v>
      </x:c>
      <x:c r="G603" s="34" t="str">
        <x:v>Thich Nhat Hanh</x:v>
      </x:c>
      <x:c r="H603" s="50" t="str">
        <x:v>1</x:v>
      </x:c>
      <x:c r="I603" s="50" t="str">
        <x:v>Temel</x:v>
      </x:c>
      <x:c r="J603" s="51" t="n">
        <x:v>9</x:v>
      </x:c>
      <x:c r="K603" s="51" t="n">
        <x:v>9</x:v>
      </x:c>
      <x:c r="L603" s="51" t="n">
        <x:v>10</x:v>
      </x:c>
      <x:c r="M603" s="51" t="n">
        <x:v>7</x:v>
      </x:c>
      <x:c r="N603" s="51" t="n">
        <x:v>7</x:v>
      </x:c>
      <x:c r="O603" s="51" t="n">
        <x:v>7</x:v>
      </x:c>
      <x:c r="P603" s="51" t="n">
        <x:v>15</x:v>
      </x:c>
      <x:c r="Q603" s="51" t="n">
        <x:v>4</x:v>
      </x:c>
      <x:c r="R603" s="52" t="n">
        <x:f>SUM(J603:Q603)</x:f>
        <x:v>68</x:v>
      </x:c>
      <x:c r="S603" s="50" t="str">
        <x:f>IF(R603&gt;='Rubrik'!$B$17,"Öncelikli video",IF(R603&gt;='Rubrik'!$B$18,"Video kuyruğu",IF(R603&gt;='Rubrik'!$B$19,"Revize et",IF(R603&gt;='Rubrik'!$B$20,"Kartla test","Düşük öncelik"))))</x:f>
        <x:v>Düşük öncelik</x:v>
      </x:c>
      <x:c r="T603" s="50" t="str">
        <x:f>IF(AND(R603&gt;=85,P603&gt;=16,M603&gt;=12,L603&gt;=12),"Reel + Carousel",IF(AND(R603&gt;=85,P603&gt;=16,N603&gt;=8),"Soru odaklı Reel",IF(AND(R603&gt;=85,P603&gt;=16),"Reel / Short",IF(M603&gt;=11,"Carousel","Kart testi"))))</x:f>
        <x:v>Kart testi</x:v>
      </x:c>
      <x:c r="U603" s="46" t="str">
        <x:v>Duygusal karşıtlık paylaşma ve kişisel anlatma isteğini yükseltiyor; ilk saniye etkisi geliştirilmeli.</x:v>
      </x:c>
      <x:c r="V603" s="46" t="str">
        <x:f>IF(Q603&lt;=3,"Kaynak kontrolü şart",IF(Q603=4,"Kaynak kontrolü önerilir","Standart doğrulama"))</x:f>
        <x:v>Kaynak kontrolü önerilir</x:v>
      </x:c>
    </x:row>
    <x:row r="604" ht="24" customHeight="1">
      <x:c r="A604" s="48" t="n">
        <x:f>COUNTIF($R$2:$R$751,"&gt;"&amp;R604)+COUNTIF($R$2:R604,R604)</x:f>
        <x:v>603</x:v>
      </x:c>
      <x:c r="B604" s="48" t="n">
        <x:v>1450</x:v>
      </x:c>
      <x:c r="C604" s="46" t="str">
        <x:v>Bilinçaltı ve otonom sinir sistemi</x:v>
      </x:c>
      <x:c r="D604" s="34" t="str">
        <x:v>Büyüme</x:v>
      </x:c>
      <x:c r="E604" s="34" t="str">
        <x:v>Motivasyon</x:v>
      </x:c>
      <x:c r="F604" s="34" t="str">
        <x:v>Bilinçaltının Gücü</x:v>
      </x:c>
      <x:c r="G604" s="34" t="str">
        <x:v>Joseph Murphy</x:v>
      </x:c>
      <x:c r="H604" s="50" t="str">
        <x:v>1</x:v>
      </x:c>
      <x:c r="I604" s="50" t="str">
        <x:v>Temel</x:v>
      </x:c>
      <x:c r="J604" s="51" t="n">
        <x:v>11</x:v>
      </x:c>
      <x:c r="K604" s="51" t="n">
        <x:v>6</x:v>
      </x:c>
      <x:c r="L604" s="51" t="n">
        <x:v>10</x:v>
      </x:c>
      <x:c r="M604" s="51" t="n">
        <x:v>11</x:v>
      </x:c>
      <x:c r="N604" s="51" t="n">
        <x:v>8</x:v>
      </x:c>
      <x:c r="O604" s="51" t="n">
        <x:v>6</x:v>
      </x:c>
      <x:c r="P604" s="51" t="n">
        <x:v>14</x:v>
      </x:c>
      <x:c r="Q604" s="51" t="n">
        <x:v>2</x:v>
      </x:c>
      <x:c r="R604" s="52" t="n">
        <x:f>SUM(J604:Q604)</x:f>
        <x:v>68</x:v>
      </x:c>
      <x:c r="S604" s="50" t="str">
        <x:f>IF(R604&gt;='Rubrik'!$B$17,"Öncelikli video",IF(R604&gt;='Rubrik'!$B$18,"Video kuyruğu",IF(R604&gt;='Rubrik'!$B$19,"Revize et",IF(R604&gt;='Rubrik'!$B$20,"Kartla test","Düşük öncelik"))))</x:f>
        <x:v>Düşük öncelik</x:v>
      </x:c>
      <x:c r="T604" s="50" t="str">
        <x:f>IF(AND(R604&gt;=85,P604&gt;=16,M604&gt;=12,L604&gt;=12),"Reel + Carousel",IF(AND(R604&gt;=85,P604&gt;=16,N604&gt;=8),"Soru odaklı Reel",IF(AND(R604&gt;=85,P604&gt;=16),"Reel / Short",IF(M604&gt;=11,"Carousel","Kart testi"))))</x:f>
        <x:v>Carousel</x:v>
      </x:c>
      <x:c r="U604" s="46" t="str">
        <x:v>Bilinçaltının bedeni yönetmesi çarpıcıdır; genelleyici bilim iddiaları güven puanını belirgin düşürüyor.</x:v>
      </x:c>
      <x:c r="V604" s="46" t="str">
        <x:f>IF(Q604&lt;=3,"Kaynak kontrolü şart",IF(Q604=4,"Kaynak kontrolü önerilir","Standart doğrulama"))</x:f>
        <x:v>Kaynak kontrolü şart</x:v>
      </x:c>
    </x:row>
    <x:row r="605" ht="24" customHeight="1">
      <x:c r="A605" s="48" t="n">
        <x:f>COUNTIF($R$2:$R$751,"&gt;"&amp;R605)+COUNTIF($R$2:R605,R605)</x:f>
        <x:v>604</x:v>
      </x:c>
      <x:c r="B605" s="48" t="n">
        <x:v>1626</x:v>
      </x:c>
      <x:c r="C605" s="46" t="str">
        <x:v>Yeniden ebeveynlik — kendini iyileştirmenin yolu</x:v>
      </x:c>
      <x:c r="D605" s="34" t="str">
        <x:v>Psikoloji</x:v>
      </x:c>
      <x:c r="E605" s="34" t="str">
        <x:v>Psikoloji</x:v>
      </x:c>
      <x:c r="F605" s="34" t="str">
        <x:v>Duygusal Olgunlaşmamış Ebeveynler</x:v>
      </x:c>
      <x:c r="G605" s="34" t="str">
        <x:v>Lindsay Gibson</x:v>
      </x:c>
      <x:c r="H605" s="50" t="str">
        <x:v>1</x:v>
      </x:c>
      <x:c r="I605" s="50" t="str">
        <x:v>Temel</x:v>
      </x:c>
      <x:c r="J605" s="51" t="n">
        <x:v>9</x:v>
      </x:c>
      <x:c r="K605" s="51" t="n">
        <x:v>7</x:v>
      </x:c>
      <x:c r="L605" s="51" t="n">
        <x:v>10</x:v>
      </x:c>
      <x:c r="M605" s="51" t="n">
        <x:v>9</x:v>
      </x:c>
      <x:c r="N605" s="51" t="n">
        <x:v>7</x:v>
      </x:c>
      <x:c r="O605" s="51" t="n">
        <x:v>8</x:v>
      </x:c>
      <x:c r="P605" s="51" t="n">
        <x:v>14</x:v>
      </x:c>
      <x:c r="Q605" s="51" t="n">
        <x:v>4</x:v>
      </x:c>
      <x:c r="R605" s="52" t="n">
        <x:f>SUM(J605:Q605)</x:f>
        <x:v>68</x:v>
      </x:c>
      <x:c r="S605" s="50" t="str">
        <x:f>IF(R605&gt;='Rubrik'!$B$17,"Öncelikli video",IF(R605&gt;='Rubrik'!$B$18,"Video kuyruğu",IF(R605&gt;='Rubrik'!$B$19,"Revize et",IF(R605&gt;='Rubrik'!$B$20,"Kartla test","Düşük öncelik"))))</x:f>
        <x:v>Düşük öncelik</x:v>
      </x:c>
      <x:c r="T605" s="50" t="str">
        <x:f>IF(AND(R605&gt;=85,P605&gt;=16,M605&gt;=12,L605&gt;=12),"Reel + Carousel",IF(AND(R605&gt;=85,P605&gt;=16,N605&gt;=8),"Soru odaklı Reel",IF(AND(R605&gt;=85,P605&gt;=16),"Reel / Short",IF(M605&gt;=11,"Carousel","Kart testi"))))</x:f>
        <x:v>Kart testi</x:v>
      </x:c>
      <x:c r="U605" s="46" t="str">
        <x:v>Duygusal karşıtlık paylaşma ve kişisel anlatma isteğini yükseltiyor; ilk saniye etkisi geliştirilmeli.</x:v>
      </x:c>
      <x:c r="V605" s="46" t="str">
        <x:f>IF(Q605&lt;=3,"Kaynak kontrolü şart",IF(Q605=4,"Kaynak kontrolü önerilir","Standart doğrulama"))</x:f>
        <x:v>Kaynak kontrolü önerilir</x:v>
      </x:c>
    </x:row>
    <x:row r="606" ht="24" customHeight="1">
      <x:c r="A606" s="48" t="n">
        <x:f>COUNTIF($R$2:$R$751,"&gt;"&amp;R606)+COUNTIF($R$2:R606,R606)</x:f>
        <x:v>605</x:v>
      </x:c>
      <x:c r="B606" s="48" t="n">
        <x:v>1635</x:v>
      </x:c>
      <x:c r="C606" s="46" t="str">
        <x:v>Utanç sarmalı — DEHB ve kimlik yarası</x:v>
      </x:c>
      <x:c r="D606" s="34" t="str">
        <x:v>Psikoloji</x:v>
      </x:c>
      <x:c r="E606" s="34" t="str">
        <x:v>Psikoloji</x:v>
      </x:c>
      <x:c r="F606" s="34" t="str">
        <x:v>Dağınık Beyin</x:v>
      </x:c>
      <x:c r="G606" s="34" t="str">
        <x:v>Gabor Maté</x:v>
      </x:c>
      <x:c r="H606" s="50" t="str">
        <x:v>1</x:v>
      </x:c>
      <x:c r="I606" s="50" t="str">
        <x:v>Temel</x:v>
      </x:c>
      <x:c r="J606" s="51" t="n">
        <x:v>9</x:v>
      </x:c>
      <x:c r="K606" s="51" t="n">
        <x:v>9</x:v>
      </x:c>
      <x:c r="L606" s="51" t="n">
        <x:v>10</x:v>
      </x:c>
      <x:c r="M606" s="51" t="n">
        <x:v>9</x:v>
      </x:c>
      <x:c r="N606" s="51" t="n">
        <x:v>7</x:v>
      </x:c>
      <x:c r="O606" s="51" t="n">
        <x:v>7</x:v>
      </x:c>
      <x:c r="P606" s="51" t="n">
        <x:v>14</x:v>
      </x:c>
      <x:c r="Q606" s="51" t="n">
        <x:v>3</x:v>
      </x:c>
      <x:c r="R606" s="52" t="n">
        <x:f>SUM(J606:Q606)</x:f>
        <x:v>68</x:v>
      </x:c>
      <x:c r="S606" s="50" t="str">
        <x:f>IF(R606&gt;='Rubrik'!$B$17,"Öncelikli video",IF(R606&gt;='Rubrik'!$B$18,"Video kuyruğu",IF(R606&gt;='Rubrik'!$B$19,"Revize et",IF(R606&gt;='Rubrik'!$B$20,"Kartla test","Düşük öncelik"))))</x:f>
        <x:v>Düşük öncelik</x:v>
      </x:c>
      <x:c r="T606" s="50" t="str">
        <x:f>IF(AND(R606&gt;=85,P606&gt;=16,M606&gt;=12,L606&gt;=12),"Reel + Carousel",IF(AND(R606&gt;=85,P606&gt;=16,N606&gt;=8),"Soru odaklı Reel",IF(AND(R606&gt;=85,P606&gt;=16),"Reel / Short",IF(M606&gt;=11,"Carousel","Kart testi"))))</x:f>
        <x:v>Kart testi</x:v>
      </x:c>
      <x:c r="U606" s="46" t="str">
        <x:v>Duygusal karşıtlık paylaşma ve kişisel anlatma isteğini yükseltiyor; ilk saniye etkisi geliştirilmeli.</x:v>
      </x:c>
      <x:c r="V606" s="46" t="str">
        <x:f>IF(Q606&lt;=3,"Kaynak kontrolü şart",IF(Q606=4,"Kaynak kontrolü önerilir","Standart doğrulama"))</x:f>
        <x:v>Kaynak kontrolü şart</x:v>
      </x:c>
    </x:row>
    <x:row r="607" ht="24" customHeight="1">
      <x:c r="A607" s="48" t="n">
        <x:f>COUNTIF($R$2:$R$751,"&gt;"&amp;R607)+COUNTIF($R$2:R607,R607)</x:f>
        <x:v>606</x:v>
      </x:c>
      <x:c r="B607" s="48" t="n">
        <x:v>1646</x:v>
      </x:c>
      <x:c r="C607" s="46" t="str">
        <x:v>Kutup yıldızı değerleri — kalabalığa rağmen yolunu bulmak</x:v>
      </x:c>
      <x:c r="D607" s="34" t="str">
        <x:v>Psikoloji</x:v>
      </x:c>
      <x:c r="E607" s="34" t="str">
        <x:v>Nörobilim</x:v>
      </x:c>
      <x:c r="F607" s="34" t="str">
        <x:v>Çölde Yürümek</x:v>
      </x:c>
      <x:c r="G607" s="34" t="str">
        <x:v>Brené Brown</x:v>
      </x:c>
      <x:c r="H607" s="50" t="str">
        <x:v>1</x:v>
      </x:c>
      <x:c r="I607" s="50" t="str">
        <x:v>Temel</x:v>
      </x:c>
      <x:c r="J607" s="51" t="n">
        <x:v>9</x:v>
      </x:c>
      <x:c r="K607" s="51" t="n">
        <x:v>7</x:v>
      </x:c>
      <x:c r="L607" s="51" t="n">
        <x:v>10</x:v>
      </x:c>
      <x:c r="M607" s="51" t="n">
        <x:v>10</x:v>
      </x:c>
      <x:c r="N607" s="51" t="n">
        <x:v>7</x:v>
      </x:c>
      <x:c r="O607" s="51" t="n">
        <x:v>7</x:v>
      </x:c>
      <x:c r="P607" s="51" t="n">
        <x:v>14</x:v>
      </x:c>
      <x:c r="Q607" s="51" t="n">
        <x:v>4</x:v>
      </x:c>
      <x:c r="R607" s="52" t="n">
        <x:f>SUM(J607:Q607)</x:f>
        <x:v>68</x:v>
      </x:c>
      <x:c r="S607" s="50" t="str">
        <x:f>IF(R607&gt;='Rubrik'!$B$17,"Öncelikli video",IF(R607&gt;='Rubrik'!$B$18,"Video kuyruğu",IF(R607&gt;='Rubrik'!$B$19,"Revize et",IF(R607&gt;='Rubrik'!$B$20,"Kartla test","Düşük öncelik"))))</x:f>
        <x:v>Düşük öncelik</x:v>
      </x:c>
      <x:c r="T607" s="50" t="str">
        <x:f>IF(AND(R607&gt;=85,P607&gt;=16,M607&gt;=12,L607&gt;=12),"Reel + Carousel",IF(AND(R607&gt;=85,P607&gt;=16,N607&gt;=8),"Soru odaklı Reel",IF(AND(R607&gt;=85,P607&gt;=16),"Reel / Short",IF(M607&gt;=11,"Carousel","Kart testi"))))</x:f>
        <x:v>Kart testi</x:v>
      </x:c>
      <x:c r="U607" s="46" t="str">
        <x:v>Duygusal karşıtlık paylaşma ve kişisel anlatma isteğini yükseltiyor; ilk saniye etkisi geliştirilmeli.</x:v>
      </x:c>
      <x:c r="V607" s="46" t="str">
        <x:f>IF(Q607&lt;=3,"Kaynak kontrolü şart",IF(Q607=4,"Kaynak kontrolü önerilir","Standart doğrulama"))</x:f>
        <x:v>Kaynak kontrolü önerilir</x:v>
      </x:c>
    </x:row>
    <x:row r="608" ht="24" customHeight="1">
      <x:c r="A608" s="48" t="n">
        <x:f>COUNTIF($R$2:$R$751,"&gt;"&amp;R608)+COUNTIF($R$2:R608,R608)</x:f>
        <x:v>607</x:v>
      </x:c>
      <x:c r="B608" s="48" t="n">
        <x:v>1652</x:v>
      </x:c>
      <x:c r="C608" s="46" t="str">
        <x:v>Günlük hayatta akış — sıradan anların dönüşümü</x:v>
      </x:c>
      <x:c r="D608" s="34" t="str">
        <x:v>Psikoloji</x:v>
      </x:c>
      <x:c r="E608" s="34" t="str">
        <x:v>Psikoloji</x:v>
      </x:c>
      <x:c r="F608" s="34" t="str">
        <x:v>Akış Bulmak</x:v>
      </x:c>
      <x:c r="G608" s="34" t="str">
        <x:v>Mihaly Csikszentmihalyi</x:v>
      </x:c>
      <x:c r="H608" s="50" t="str">
        <x:v>1</x:v>
      </x:c>
      <x:c r="I608" s="50" t="str">
        <x:v>Temel</x:v>
      </x:c>
      <x:c r="J608" s="51" t="n">
        <x:v>9</x:v>
      </x:c>
      <x:c r="K608" s="51" t="n">
        <x:v>7</x:v>
      </x:c>
      <x:c r="L608" s="51" t="n">
        <x:v>10</x:v>
      </x:c>
      <x:c r="M608" s="51" t="n">
        <x:v>9</x:v>
      </x:c>
      <x:c r="N608" s="51" t="n">
        <x:v>7</x:v>
      </x:c>
      <x:c r="O608" s="51" t="n">
        <x:v>8</x:v>
      </x:c>
      <x:c r="P608" s="51" t="n">
        <x:v>14</x:v>
      </x:c>
      <x:c r="Q608" s="51" t="n">
        <x:v>4</x:v>
      </x:c>
      <x:c r="R608" s="52" t="n">
        <x:f>SUM(J608:Q608)</x:f>
        <x:v>68</x:v>
      </x:c>
      <x:c r="S608" s="50" t="str">
        <x:f>IF(R608&gt;='Rubrik'!$B$17,"Öncelikli video",IF(R608&gt;='Rubrik'!$B$18,"Video kuyruğu",IF(R608&gt;='Rubrik'!$B$19,"Revize et",IF(R608&gt;='Rubrik'!$B$20,"Kartla test","Düşük öncelik"))))</x:f>
        <x:v>Düşük öncelik</x:v>
      </x:c>
      <x:c r="T608" s="50" t="str">
        <x:f>IF(AND(R608&gt;=85,P608&gt;=16,M608&gt;=12,L608&gt;=12),"Reel + Carousel",IF(AND(R608&gt;=85,P608&gt;=16,N608&gt;=8),"Soru odaklı Reel",IF(AND(R608&gt;=85,P608&gt;=16),"Reel / Short",IF(M608&gt;=11,"Carousel","Kart testi"))))</x:f>
        <x:v>Kart testi</x:v>
      </x:c>
      <x:c r="U608" s="46" t="str">
        <x:v>Duygusal karşıtlık paylaşma ve kişisel anlatma isteğini yükseltiyor; ilk saniye etkisi geliştirilmeli.</x:v>
      </x:c>
      <x:c r="V608" s="46" t="str">
        <x:f>IF(Q608&lt;=3,"Kaynak kontrolü şart",IF(Q608=4,"Kaynak kontrolü önerilir","Standart doğrulama"))</x:f>
        <x:v>Kaynak kontrolü önerilir</x:v>
      </x:c>
    </x:row>
    <x:row r="609" ht="24" customHeight="1">
      <x:c r="A609" s="48" t="n">
        <x:f>COUNTIF($R$2:$R$751,"&gt;"&amp;R609)+COUNTIF($R$2:R609,R609)</x:f>
        <x:v>608</x:v>
      </x:c>
      <x:c r="B609" s="48" t="n">
        <x:v>1667</x:v>
      </x:c>
      <x:c r="C609" s="46" t="str">
        <x:v>Öfkeli bir mektup göndermemek — duyguya alan tanımak</x:v>
      </x:c>
      <x:c r="D609" s="34" t="str">
        <x:v>Psikoloji</x:v>
      </x:c>
      <x:c r="E609" s="34" t="str">
        <x:v>Farkındalık</x:v>
      </x:c>
      <x:c r="F609" s="34" t="str">
        <x:v>İçsel Barış</x:v>
      </x:c>
      <x:c r="G609" s="34" t="str">
        <x:v>Thich Nhat Hanh</x:v>
      </x:c>
      <x:c r="H609" s="50" t="str">
        <x:v>1</x:v>
      </x:c>
      <x:c r="I609" s="50" t="str">
        <x:v>Temel</x:v>
      </x:c>
      <x:c r="J609" s="51" t="n">
        <x:v>9</x:v>
      </x:c>
      <x:c r="K609" s="51" t="n">
        <x:v>8</x:v>
      </x:c>
      <x:c r="L609" s="51" t="n">
        <x:v>10</x:v>
      </x:c>
      <x:c r="M609" s="51" t="n">
        <x:v>9</x:v>
      </x:c>
      <x:c r="N609" s="51" t="n">
        <x:v>7</x:v>
      </x:c>
      <x:c r="O609" s="51" t="n">
        <x:v>7</x:v>
      </x:c>
      <x:c r="P609" s="51" t="n">
        <x:v>14</x:v>
      </x:c>
      <x:c r="Q609" s="51" t="n">
        <x:v>4</x:v>
      </x:c>
      <x:c r="R609" s="52" t="n">
        <x:f>SUM(J609:Q609)</x:f>
        <x:v>68</x:v>
      </x:c>
      <x:c r="S609" s="50" t="str">
        <x:f>IF(R609&gt;='Rubrik'!$B$17,"Öncelikli video",IF(R609&gt;='Rubrik'!$B$18,"Video kuyruğu",IF(R609&gt;='Rubrik'!$B$19,"Revize et",IF(R609&gt;='Rubrik'!$B$20,"Kartla test","Düşük öncelik"))))</x:f>
        <x:v>Düşük öncelik</x:v>
      </x:c>
      <x:c r="T609" s="50" t="str">
        <x:f>IF(AND(R609&gt;=85,P609&gt;=16,M609&gt;=12,L609&gt;=12),"Reel + Carousel",IF(AND(R609&gt;=85,P609&gt;=16,N609&gt;=8),"Soru odaklı Reel",IF(AND(R609&gt;=85,P609&gt;=16),"Reel / Short",IF(M609&gt;=11,"Carousel","Kart testi"))))</x:f>
        <x:v>Kart testi</x:v>
      </x:c>
      <x:c r="U609" s="46" t="str">
        <x:v>Duygusal karşıtlık paylaşma ve kişisel anlatma isteğini yükseltiyor; ilk saniye etkisi geliştirilmeli.</x:v>
      </x:c>
      <x:c r="V609" s="46" t="str">
        <x:f>IF(Q609&lt;=3,"Kaynak kontrolü şart",IF(Q609=4,"Kaynak kontrolü önerilir","Standart doğrulama"))</x:f>
        <x:v>Kaynak kontrolü önerilir</x:v>
      </x:c>
    </x:row>
    <x:row r="610" ht="24" customHeight="1">
      <x:c r="A610" s="48" t="n">
        <x:f>COUNTIF($R$2:$R$751,"&gt;"&amp;R610)+COUNTIF($R$2:R610,R610)</x:f>
        <x:v>609</x:v>
      </x:c>
      <x:c r="B610" s="48" t="n">
        <x:v>1673</x:v>
      </x:c>
      <x:c r="C610" s="46" t="str">
        <x:v>Dikkat artığı — taşınan zihin maliyeti</x:v>
      </x:c>
      <x:c r="D610" s="34" t="str">
        <x:v>Verimlilik</x:v>
      </x:c>
      <x:c r="E610" s="34" t="str">
        <x:v>Verimlilik</x:v>
      </x:c>
      <x:c r="F610" s="34" t="str">
        <x:v>Konsantrasyon Gücü</x:v>
      </x:c>
      <x:c r="G610" s="34" t="str">
        <x:v>CNewport</x:v>
      </x:c>
      <x:c r="H610" s="50" t="str">
        <x:v>1</x:v>
      </x:c>
      <x:c r="I610" s="50" t="str">
        <x:v>Temel</x:v>
      </x:c>
      <x:c r="J610" s="51" t="n">
        <x:v>10</x:v>
      </x:c>
      <x:c r="K610" s="51" t="n">
        <x:v>7</x:v>
      </x:c>
      <x:c r="L610" s="51" t="n">
        <x:v>10</x:v>
      </x:c>
      <x:c r="M610" s="51" t="n">
        <x:v>9</x:v>
      </x:c>
      <x:c r="N610" s="51" t="n">
        <x:v>7</x:v>
      </x:c>
      <x:c r="O610" s="51" t="n">
        <x:v>6</x:v>
      </x:c>
      <x:c r="P610" s="51" t="n">
        <x:v>14</x:v>
      </x:c>
      <x:c r="Q610" s="51" t="n">
        <x:v>5</x:v>
      </x:c>
      <x:c r="R610" s="52" t="n">
        <x:f>SUM(J610:Q610)</x:f>
        <x:v>68</x:v>
      </x:c>
      <x:c r="S610" s="50" t="str">
        <x:f>IF(R610&gt;='Rubrik'!$B$17,"Öncelikli video",IF(R610&gt;='Rubrik'!$B$18,"Video kuyruğu",IF(R610&gt;='Rubrik'!$B$19,"Revize et",IF(R610&gt;='Rubrik'!$B$20,"Kartla test","Düşük öncelik"))))</x:f>
        <x:v>Düşük öncelik</x:v>
      </x:c>
      <x:c r="T610" s="50" t="str">
        <x:f>IF(AND(R610&gt;=85,P610&gt;=16,M610&gt;=12,L610&gt;=12),"Reel + Carousel",IF(AND(R610&gt;=85,P610&gt;=16,N610&gt;=8),"Soru odaklı Reel",IF(AND(R610&gt;=85,P610&gt;=16),"Reel / Short",IF(M610&gt;=11,"Carousel","Kart testi"))))</x:f>
        <x:v>Kart testi</x:v>
      </x:c>
      <x:c r="U610" s="46" t="str">
        <x:v>Somut sahne ve sayısal ayrıntı güçlü bir video açılışı sağlıyor; olay örgüsü geliştirilmeli.</x:v>
      </x:c>
      <x:c r="V610" s="46" t="str">
        <x:f>IF(Q610&lt;=3,"Kaynak kontrolü şart",IF(Q610=4,"Kaynak kontrolü önerilir","Standart doğrulama"))</x:f>
        <x:v>Standart doğrulama</x:v>
      </x:c>
    </x:row>
    <x:row r="611" ht="24" customHeight="1">
      <x:c r="A611" s="48" t="n">
        <x:f>COUNTIF($R$2:$R$751,"&gt;"&amp;R611)+COUNTIF($R$2:R611,R611)</x:f>
        <x:v>610</x:v>
      </x:c>
      <x:c r="B611" s="48" t="n">
        <x:v>1677</x:v>
      </x:c>
      <x:c r="C611" s="46" t="str">
        <x:v>Yüzde bir daha iyi — bileşik büyümenin alışkanlık versiyonu</x:v>
      </x:c>
      <x:c r="D611" s="34" t="str">
        <x:v>Liderlik</x:v>
      </x:c>
      <x:c r="E611" s="34" t="str">
        <x:v>Yönetim</x:v>
      </x:c>
      <x:c r="F611" s="34" t="str">
        <x:v>Başarılı Değişim</x:v>
      </x:c>
      <x:c r="G611" s="34" t="str">
        <x:v>James Clear</x:v>
      </x:c>
      <x:c r="H611" s="50" t="str">
        <x:v>1</x:v>
      </x:c>
      <x:c r="I611" s="50" t="str">
        <x:v>Temel</x:v>
      </x:c>
      <x:c r="J611" s="51" t="n">
        <x:v>10</x:v>
      </x:c>
      <x:c r="K611" s="51" t="n">
        <x:v>6</x:v>
      </x:c>
      <x:c r="L611" s="51" t="n">
        <x:v>10</x:v>
      </x:c>
      <x:c r="M611" s="51" t="n">
        <x:v>10</x:v>
      </x:c>
      <x:c r="N611" s="51" t="n">
        <x:v>6</x:v>
      </x:c>
      <x:c r="O611" s="51" t="n">
        <x:v>7</x:v>
      </x:c>
      <x:c r="P611" s="51" t="n">
        <x:v>14</x:v>
      </x:c>
      <x:c r="Q611" s="51" t="n">
        <x:v>5</x:v>
      </x:c>
      <x:c r="R611" s="52" t="n">
        <x:f>SUM(J611:Q611)</x:f>
        <x:v>68</x:v>
      </x:c>
      <x:c r="S611" s="50" t="str">
        <x:f>IF(R611&gt;='Rubrik'!$B$17,"Öncelikli video",IF(R611&gt;='Rubrik'!$B$18,"Video kuyruğu",IF(R611&gt;='Rubrik'!$B$19,"Revize et",IF(R611&gt;='Rubrik'!$B$20,"Kartla test","Düşük öncelik"))))</x:f>
        <x:v>Düşük öncelik</x:v>
      </x:c>
      <x:c r="T611" s="50" t="str">
        <x:f>IF(AND(R611&gt;=85,P611&gt;=16,M611&gt;=12,L611&gt;=12),"Reel + Carousel",IF(AND(R611&gt;=85,P611&gt;=16,N611&gt;=8),"Soru odaklı Reel",IF(AND(R611&gt;=85,P611&gt;=16),"Reel / Short",IF(M611&gt;=11,"Carousel","Kart testi"))))</x:f>
        <x:v>Kart testi</x:v>
      </x:c>
      <x:c r="U611" s="46" t="str">
        <x:v>Somut sahne ve sayısal ayrıntı güçlü bir video açılışı sağlıyor; paylaşılabilirlik geliştirilmeli.</x:v>
      </x:c>
      <x:c r="V611" s="46" t="str">
        <x:f>IF(Q611&lt;=3,"Kaynak kontrolü şart",IF(Q611=4,"Kaynak kontrolü önerilir","Standart doğrulama"))</x:f>
        <x:v>Standart doğrulama</x:v>
      </x:c>
    </x:row>
    <x:row r="612" ht="24" customHeight="1">
      <x:c r="A612" s="48" t="n">
        <x:f>COUNTIF($R$2:$R$751,"&gt;"&amp;R612)+COUNTIF($R$2:R612,R612)</x:f>
        <x:v>611</x:v>
      </x:c>
      <x:c r="B612" s="48" t="n">
        <x:v>1681</x:v>
      </x:c>
      <x:c r="C612" s="46" t="str">
        <x:v>İnternet ve derin okuma — kaybedilen bir beceri</x:v>
      </x:c>
      <x:c r="D612" s="34" t="str">
        <x:v>Bilim</x:v>
      </x:c>
      <x:c r="E612" s="34" t="str">
        <x:v>Teknoloji</x:v>
      </x:c>
      <x:c r="F612" s="34" t="str">
        <x:v>The Shallows</x:v>
      </x:c>
      <x:c r="G612" s="34" t="str">
        <x:v>Nicholas Carr</x:v>
      </x:c>
      <x:c r="H612" s="50" t="str">
        <x:v>1</x:v>
      </x:c>
      <x:c r="I612" s="50" t="str">
        <x:v>Temel</x:v>
      </x:c>
      <x:c r="J612" s="51" t="n">
        <x:v>10</x:v>
      </x:c>
      <x:c r="K612" s="51" t="n">
        <x:v>7</x:v>
      </x:c>
      <x:c r="L612" s="51" t="n">
        <x:v>10</x:v>
      </x:c>
      <x:c r="M612" s="51" t="n">
        <x:v>10</x:v>
      </x:c>
      <x:c r="N612" s="51" t="n">
        <x:v>7</x:v>
      </x:c>
      <x:c r="O612" s="51" t="n">
        <x:v>7</x:v>
      </x:c>
      <x:c r="P612" s="51" t="n">
        <x:v>14</x:v>
      </x:c>
      <x:c r="Q612" s="51" t="n">
        <x:v>3</x:v>
      </x:c>
      <x:c r="R612" s="52" t="n">
        <x:f>SUM(J612:Q612)</x:f>
        <x:v>68</x:v>
      </x:c>
      <x:c r="S612" s="50" t="str">
        <x:f>IF(R612&gt;='Rubrik'!$B$17,"Öncelikli video",IF(R612&gt;='Rubrik'!$B$18,"Video kuyruğu",IF(R612&gt;='Rubrik'!$B$19,"Revize et",IF(R612&gt;='Rubrik'!$B$20,"Kartla test","Düşük öncelik"))))</x:f>
        <x:v>Düşük öncelik</x:v>
      </x:c>
      <x:c r="T612" s="50" t="str">
        <x:f>IF(AND(R612&gt;=85,P612&gt;=16,M612&gt;=12,L612&gt;=12),"Reel + Carousel",IF(AND(R612&gt;=85,P612&gt;=16,N612&gt;=8),"Soru odaklı Reel",IF(AND(R612&gt;=85,P612&gt;=16),"Reel / Short",IF(M612&gt;=11,"Carousel","Kart testi"))))</x:f>
        <x:v>Kart testi</x:v>
      </x:c>
      <x:c r="U612" s="46" t="str">
        <x:v>Somut sahne ve sayısal ayrıntı güçlü bir video açılışı sağlıyor; paylaşılabilirlik geliştirilmeli.</x:v>
      </x:c>
      <x:c r="V612" s="46" t="str">
        <x:f>IF(Q612&lt;=3,"Kaynak kontrolü şart",IF(Q612=4,"Kaynak kontrolü önerilir","Standart doğrulama"))</x:f>
        <x:v>Kaynak kontrolü şart</x:v>
      </x:c>
    </x:row>
    <x:row r="613" ht="24" customHeight="1">
      <x:c r="A613" s="48" t="n">
        <x:f>COUNTIF($R$2:$R$751,"&gt;"&amp;R613)+COUNTIF($R$2:R613,R613)</x:f>
        <x:v>612</x:v>
      </x:c>
      <x:c r="B613" s="48" t="n">
        <x:v>1688</x:v>
      </x:c>
      <x:c r="C613" s="46" t="str">
        <x:v>Bilişsel ayrışma — düşüncelerden mesafe almanın ACT yöntemi</x:v>
      </x:c>
      <x:c r="D613" s="34" t="str">
        <x:v>Psikoloji</x:v>
      </x:c>
      <x:c r="E613" s="34" t="str">
        <x:v>Psikoloji</x:v>
      </x:c>
      <x:c r="F613" s="34" t="str">
        <x:v>Psikolojik Esneklik</x:v>
      </x:c>
      <x:c r="G613" s="34" t="str">
        <x:v>Russ Harris</x:v>
      </x:c>
      <x:c r="H613" s="50" t="str">
        <x:v>1</x:v>
      </x:c>
      <x:c r="I613" s="50" t="str">
        <x:v>Temel</x:v>
      </x:c>
      <x:c r="J613" s="51" t="n">
        <x:v>9</x:v>
      </x:c>
      <x:c r="K613" s="51" t="n">
        <x:v>8</x:v>
      </x:c>
      <x:c r="L613" s="51" t="n">
        <x:v>10</x:v>
      </x:c>
      <x:c r="M613" s="51" t="n">
        <x:v>10</x:v>
      </x:c>
      <x:c r="N613" s="51" t="n">
        <x:v>7</x:v>
      </x:c>
      <x:c r="O613" s="51" t="n">
        <x:v>6</x:v>
      </x:c>
      <x:c r="P613" s="51" t="n">
        <x:v>14</x:v>
      </x:c>
      <x:c r="Q613" s="51" t="n">
        <x:v>4</x:v>
      </x:c>
      <x:c r="R613" s="52" t="n">
        <x:f>SUM(J613:Q613)</x:f>
        <x:v>68</x:v>
      </x:c>
      <x:c r="S613" s="50" t="str">
        <x:f>IF(R613&gt;='Rubrik'!$B$17,"Öncelikli video",IF(R613&gt;='Rubrik'!$B$18,"Video kuyruğu",IF(R613&gt;='Rubrik'!$B$19,"Revize et",IF(R613&gt;='Rubrik'!$B$20,"Kartla test","Düşük öncelik"))))</x:f>
        <x:v>Düşük öncelik</x:v>
      </x:c>
      <x:c r="T613" s="50" t="str">
        <x:f>IF(AND(R613&gt;=85,P613&gt;=16,M613&gt;=12,L613&gt;=12),"Reel + Carousel",IF(AND(R613&gt;=85,P613&gt;=16,N613&gt;=8),"Soru odaklı Reel",IF(AND(R613&gt;=85,P613&gt;=16),"Reel / Short",IF(M613&gt;=11,"Carousel","Kart testi"))))</x:f>
        <x:v>Kart testi</x:v>
      </x:c>
      <x:c r="U613" s="46" t="str">
        <x:v>Duygusal karşıtlık paylaşma ve kişisel anlatma isteğini yükseltiyor; olay örgüsü geliştirilmeli.</x:v>
      </x:c>
      <x:c r="V613" s="46" t="str">
        <x:f>IF(Q613&lt;=3,"Kaynak kontrolü şart",IF(Q613=4,"Kaynak kontrolü önerilir","Standart doğrulama"))</x:f>
        <x:v>Kaynak kontrolü önerilir</x:v>
      </x:c>
    </x:row>
    <x:row r="614" ht="24" customHeight="1">
      <x:c r="A614" s="48" t="n">
        <x:f>COUNTIF($R$2:$R$751,"&gt;"&amp;R614)+COUNTIF($R$2:R614,R614)</x:f>
        <x:v>613</x:v>
      </x:c>
      <x:c r="B614" s="48" t="n">
        <x:v>1189</x:v>
      </x:c>
      <x:c r="C614" s="46" t="str">
        <x:v>Büyük İskender'in hareketsizliği</x:v>
      </x:c>
      <x:c r="D614" s="34" t="str">
        <x:v>Felsefe</x:v>
      </x:c>
      <x:c r="E614" s="34" t="str">
        <x:v>Felsefe</x:v>
      </x:c>
      <x:c r="F614" s="34" t="str">
        <x:v>Stillness Is the Key</x:v>
      </x:c>
      <x:c r="G614" s="34" t="str">
        <x:v>Ryan Holiday</x:v>
      </x:c>
      <x:c r="H614" s="50" t="str">
        <x:v>1</x:v>
      </x:c>
      <x:c r="I614" s="50" t="str">
        <x:v>Temel</x:v>
      </x:c>
      <x:c r="J614" s="51" t="n">
        <x:v>13</x:v>
      </x:c>
      <x:c r="K614" s="51" t="n">
        <x:v>7</x:v>
      </x:c>
      <x:c r="L614" s="51" t="n">
        <x:v>9</x:v>
      </x:c>
      <x:c r="M614" s="51" t="n">
        <x:v>9</x:v>
      </x:c>
      <x:c r="N614" s="51" t="n">
        <x:v>9</x:v>
      </x:c>
      <x:c r="O614" s="51" t="n">
        <x:v>6</x:v>
      </x:c>
      <x:c r="P614" s="51" t="n">
        <x:v>14</x:v>
      </x:c>
      <x:c r="Q614" s="51" t="n">
        <x:v>1</x:v>
      </x:c>
      <x:c r="R614" s="52" t="n">
        <x:f>SUM(J614:Q614)</x:f>
        <x:v>68</x:v>
      </x:c>
      <x:c r="S614" s="50" t="str">
        <x:f>IF(R614&gt;='Rubrik'!$B$17,"Öncelikli video",IF(R614&gt;='Rubrik'!$B$18,"Video kuyruğu",IF(R614&gt;='Rubrik'!$B$19,"Revize et",IF(R614&gt;='Rubrik'!$B$20,"Kartla test","Düşük öncelik"))))</x:f>
        <x:v>Düşük öncelik</x:v>
      </x:c>
      <x:c r="T614" s="50" t="str">
        <x:f>IF(AND(R614&gt;=85,P614&gt;=16,M614&gt;=12,L614&gt;=12),"Reel + Carousel",IF(AND(R614&gt;=85,P614&gt;=16,N614&gt;=8),"Soru odaklı Reel",IF(AND(R614&gt;=85,P614&gt;=16),"Reel / Short",IF(M614&gt;=11,"Carousel","Kart testi"))))</x:f>
        <x:v>Kart testi</x:v>
      </x:c>
      <x:c r="U614" s="46" t="str">
        <x:v>Sessiz bekleyişten ezici hamleye geçiş sinematik; İskender örneği olay ve kaynak olmadan soyut kalıyor.</x:v>
      </x:c>
      <x:c r="V614" s="46" t="str">
        <x:f>IF(Q614&lt;=3,"Kaynak kontrolü şart",IF(Q614=4,"Kaynak kontrolü önerilir","Standart doğrulama"))</x:f>
        <x:v>Kaynak kontrolü şart</x:v>
      </x:c>
    </x:row>
    <x:row r="615" ht="24" customHeight="1">
      <x:c r="A615" s="48" t="n">
        <x:f>COUNTIF($R$2:$R$751,"&gt;"&amp;R615)+COUNTIF($R$2:R615,R615)</x:f>
        <x:v>614</x:v>
      </x:c>
      <x:c r="B615" s="48" t="n">
        <x:v>1485</x:v>
      </x:c>
      <x:c r="C615" s="46" t="str">
        <x:v>Lider davranışı ve güvenlik iklimi</x:v>
      </x:c>
      <x:c r="D615" s="34" t="str">
        <x:v>Liderlik</x:v>
      </x:c>
      <x:c r="E615" s="34" t="str">
        <x:v>Yönetim</x:v>
      </x:c>
      <x:c r="F615" s="34" t="str">
        <x:v>The Fearless Organization</x:v>
      </x:c>
      <x:c r="G615" s="34" t="str">
        <x:v>Amy Edmondson</x:v>
      </x:c>
      <x:c r="H615" s="50" t="str">
        <x:v>1</x:v>
      </x:c>
      <x:c r="I615" s="50" t="str">
        <x:v>Temel</x:v>
      </x:c>
      <x:c r="J615" s="51" t="n">
        <x:v>10</x:v>
      </x:c>
      <x:c r="K615" s="51" t="n">
        <x:v>5</x:v>
      </x:c>
      <x:c r="L615" s="51" t="n">
        <x:v>10</x:v>
      </x:c>
      <x:c r="M615" s="51" t="n">
        <x:v>14</x:v>
      </x:c>
      <x:c r="N615" s="51" t="n">
        <x:v>7</x:v>
      </x:c>
      <x:c r="O615" s="51" t="n">
        <x:v>5</x:v>
      </x:c>
      <x:c r="P615" s="51" t="n">
        <x:v>13</x:v>
      </x:c>
      <x:c r="Q615" s="51" t="n">
        <x:v>4</x:v>
      </x:c>
      <x:c r="R615" s="52" t="n">
        <x:f>SUM(J615:Q615)</x:f>
        <x:v>68</x:v>
      </x:c>
      <x:c r="S615" s="50" t="str">
        <x:f>IF(R615&gt;='Rubrik'!$B$17,"Öncelikli video",IF(R615&gt;='Rubrik'!$B$18,"Video kuyruğu",IF(R615&gt;='Rubrik'!$B$19,"Revize et",IF(R615&gt;='Rubrik'!$B$20,"Kartla test","Düşük öncelik"))))</x:f>
        <x:v>Düşük öncelik</x:v>
      </x:c>
      <x:c r="T615" s="50" t="str">
        <x:f>IF(AND(R615&gt;=85,P615&gt;=16,M615&gt;=12,L615&gt;=12),"Reel + Carousel",IF(AND(R615&gt;=85,P615&gt;=16,N615&gt;=8),"Soru odaklı Reel",IF(AND(R615&gt;=85,P615&gt;=16),"Reel / Short",IF(M615&gt;=11,"Carousel","Kart testi"))))</x:f>
        <x:v>Carousel</x:v>
      </x:c>
      <x:c r="U615" s="46" t="str">
        <x:v>Liderin küçük tepkilerinin kültürü şekillendirmesi uygulanabilir; gözlem soruları sesli not kullanımını destekler.</x:v>
      </x:c>
      <x:c r="V615" s="46" t="str">
        <x:f>IF(Q615&lt;=3,"Kaynak kontrolü şart",IF(Q615=4,"Kaynak kontrolü önerilir","Standart doğrulama"))</x:f>
        <x:v>Kaynak kontrolü önerilir</x:v>
      </x:c>
    </x:row>
    <x:row r="616" ht="24" customHeight="1">
      <x:c r="A616" s="48" t="n">
        <x:f>COUNTIF($R$2:$R$751,"&gt;"&amp;R616)+COUNTIF($R$2:R616,R616)</x:f>
        <x:v>615</x:v>
      </x:c>
      <x:c r="B616" s="48" t="n">
        <x:v>1488</x:v>
      </x:c>
      <x:c r="C616" s="46" t="str">
        <x:v>Odaklanmanın gerçek düşmanları</x:v>
      </x:c>
      <x:c r="D616" s="34" t="str">
        <x:v>Verimlilik</x:v>
      </x:c>
      <x:c r="E616" s="34" t="str">
        <x:v>Verimlilik</x:v>
      </x:c>
      <x:c r="F616" s="34" t="str">
        <x:v>Çalınan Dikkat</x:v>
      </x:c>
      <x:c r="G616" s="34" t="str">
        <x:v>Johann Hari</x:v>
      </x:c>
      <x:c r="H616" s="50" t="str">
        <x:v>1</x:v>
      </x:c>
      <x:c r="I616" s="50" t="str">
        <x:v>Temel</x:v>
      </x:c>
      <x:c r="J616" s="51" t="n">
        <x:v>10</x:v>
      </x:c>
      <x:c r="K616" s="51" t="n">
        <x:v>4</x:v>
      </x:c>
      <x:c r="L616" s="51" t="n">
        <x:v>10</x:v>
      </x:c>
      <x:c r="M616" s="51" t="n">
        <x:v>15</x:v>
      </x:c>
      <x:c r="N616" s="51" t="n">
        <x:v>7</x:v>
      </x:c>
      <x:c r="O616" s="51" t="n">
        <x:v>5</x:v>
      </x:c>
      <x:c r="P616" s="51" t="n">
        <x:v>13</x:v>
      </x:c>
      <x:c r="Q616" s="51" t="n">
        <x:v>4</x:v>
      </x:c>
      <x:c r="R616" s="52" t="n">
        <x:f>SUM(J616:Q616)</x:f>
        <x:v>68</x:v>
      </x:c>
      <x:c r="S616" s="50" t="str">
        <x:f>IF(R616&gt;='Rubrik'!$B$17,"Öncelikli video",IF(R616&gt;='Rubrik'!$B$18,"Video kuyruğu",IF(R616&gt;='Rubrik'!$B$19,"Revize et",IF(R616&gt;='Rubrik'!$B$20,"Kartla test","Düşük öncelik"))))</x:f>
        <x:v>Düşük öncelik</x:v>
      </x:c>
      <x:c r="T616" s="50" t="str">
        <x:f>IF(AND(R616&gt;=85,P616&gt;=16,M616&gt;=12,L616&gt;=12),"Reel + Carousel",IF(AND(R616&gt;=85,P616&gt;=16,N616&gt;=8),"Soru odaklı Reel",IF(AND(R616&gt;=85,P616&gt;=16),"Reel / Short",IF(M616&gt;=11,"Carousel","Kart testi"))))</x:f>
        <x:v>Carousel</x:v>
      </x:c>
      <x:c r="U616" s="46" t="str">
        <x:v>Odağın üç düşmanı pratik ve kaydetmelik; liste formatı güçlü duygu ve özgün hikâye etkisini azaltıyor.</x:v>
      </x:c>
      <x:c r="V616" s="46" t="str">
        <x:f>IF(Q616&lt;=3,"Kaynak kontrolü şart",IF(Q616=4,"Kaynak kontrolü önerilir","Standart doğrulama"))</x:f>
        <x:v>Kaynak kontrolü önerilir</x:v>
      </x:c>
    </x:row>
    <x:row r="617" ht="24" customHeight="1">
      <x:c r="A617" s="48" t="n">
        <x:f>COUNTIF($R$2:$R$751,"&gt;"&amp;R617)+COUNTIF($R$2:R617,R617)</x:f>
        <x:v>616</x:v>
      </x:c>
      <x:c r="B617" s="48" t="n">
        <x:v>1495</x:v>
      </x:c>
      <x:c r="C617" s="46" t="str">
        <x:v>Zayıfları düzeltmek değil güçlüleri geliştirmek</x:v>
      </x:c>
      <x:c r="D617" s="34" t="str">
        <x:v>Finans</x:v>
      </x:c>
      <x:c r="E617" s="34" t="str">
        <x:v>Kariyer</x:v>
      </x:c>
      <x:c r="F617" s="34" t="str">
        <x:v>Güçlü Yönler Bulma</x:v>
      </x:c>
      <x:c r="G617" s="34" t="str">
        <x:v>Marcus Buckingham</x:v>
      </x:c>
      <x:c r="H617" s="50" t="str">
        <x:v>1</x:v>
      </x:c>
      <x:c r="I617" s="50" t="str">
        <x:v>Temel</x:v>
      </x:c>
      <x:c r="J617" s="51" t="n">
        <x:v>10</x:v>
      </x:c>
      <x:c r="K617" s="51" t="n">
        <x:v>5</x:v>
      </x:c>
      <x:c r="L617" s="51" t="n">
        <x:v>10</x:v>
      </x:c>
      <x:c r="M617" s="51" t="n">
        <x:v>14</x:v>
      </x:c>
      <x:c r="N617" s="51" t="n">
        <x:v>7</x:v>
      </x:c>
      <x:c r="O617" s="51" t="n">
        <x:v>5</x:v>
      </x:c>
      <x:c r="P617" s="51" t="n">
        <x:v>13</x:v>
      </x:c>
      <x:c r="Q617" s="51" t="n">
        <x:v>4</x:v>
      </x:c>
      <x:c r="R617" s="52" t="n">
        <x:f>SUM(J617:Q617)</x:f>
        <x:v>68</x:v>
      </x:c>
      <x:c r="S617" s="50" t="str">
        <x:f>IF(R617&gt;='Rubrik'!$B$17,"Öncelikli video",IF(R617&gt;='Rubrik'!$B$18,"Video kuyruğu",IF(R617&gt;='Rubrik'!$B$19,"Revize et",IF(R617&gt;='Rubrik'!$B$20,"Kartla test","Düşük öncelik"))))</x:f>
        <x:v>Düşük öncelik</x:v>
      </x:c>
      <x:c r="T617" s="50" t="str">
        <x:f>IF(AND(R617&gt;=85,P617&gt;=16,M617&gt;=12,L617&gt;=12),"Reel + Carousel",IF(AND(R617&gt;=85,P617&gt;=16,N617&gt;=8),"Soru odaklı Reel",IF(AND(R617&gt;=85,P617&gt;=16),"Reel / Short",IF(M617&gt;=11,"Carousel","Kart testi"))))</x:f>
        <x:v>Carousel</x:v>
      </x:c>
      <x:c r="U617" s="46" t="str">
        <x:v>Zayıflık yerine güce yatırım mesajı motive eder ve kaydedilir; daha özgün bir karakter öyküsüyle güçlenir.</x:v>
      </x:c>
      <x:c r="V617" s="46" t="str">
        <x:f>IF(Q617&lt;=3,"Kaynak kontrolü şart",IF(Q617=4,"Kaynak kontrolü önerilir","Standart doğrulama"))</x:f>
        <x:v>Kaynak kontrolü önerilir</x:v>
      </x:c>
    </x:row>
    <x:row r="618" ht="24" customHeight="1">
      <x:c r="A618" s="48" t="n">
        <x:f>COUNTIF($R$2:$R$751,"&gt;"&amp;R618)+COUNTIF($R$2:R618,R618)</x:f>
        <x:v>617</x:v>
      </x:c>
      <x:c r="B618" s="48" t="n">
        <x:v>1515</x:v>
      </x:c>
      <x:c r="C618" s="46" t="str">
        <x:v>Kaynak dağıtımı ve strateji icra uçurumu</x:v>
      </x:c>
      <x:c r="D618" s="34" t="str">
        <x:v>Verimlilik</x:v>
      </x:c>
      <x:c r="E618" s="34" t="str">
        <x:v>İş Dünyası</x:v>
      </x:c>
      <x:c r="F618" s="34" t="str">
        <x:v>Yıkıcı İnovasyon</x:v>
      </x:c>
      <x:c r="G618" s="34" t="str">
        <x:v>Clayton Christensen</x:v>
      </x:c>
      <x:c r="H618" s="50" t="str">
        <x:v>1</x:v>
      </x:c>
      <x:c r="I618" s="50" t="str">
        <x:v>Temel</x:v>
      </x:c>
      <x:c r="J618" s="51" t="n">
        <x:v>10</x:v>
      </x:c>
      <x:c r="K618" s="51" t="n">
        <x:v>4</x:v>
      </x:c>
      <x:c r="L618" s="51" t="n">
        <x:v>10</x:v>
      </x:c>
      <x:c r="M618" s="51" t="n">
        <x:v>14</x:v>
      </x:c>
      <x:c r="N618" s="51" t="n">
        <x:v>7</x:v>
      </x:c>
      <x:c r="O618" s="51" t="n">
        <x:v>5</x:v>
      </x:c>
      <x:c r="P618" s="51" t="n">
        <x:v>13</x:v>
      </x:c>
      <x:c r="Q618" s="51" t="n">
        <x:v>5</x:v>
      </x:c>
      <x:c r="R618" s="52" t="n">
        <x:f>SUM(J618:Q618)</x:f>
        <x:v>68</x:v>
      </x:c>
      <x:c r="S618" s="50" t="str">
        <x:f>IF(R618&gt;='Rubrik'!$B$17,"Öncelikli video",IF(R618&gt;='Rubrik'!$B$18,"Video kuyruğu",IF(R618&gt;='Rubrik'!$B$19,"Revize et",IF(R618&gt;='Rubrik'!$B$20,"Kartla test","Düşük öncelik"))))</x:f>
        <x:v>Düşük öncelik</x:v>
      </x:c>
      <x:c r="T618" s="50" t="str">
        <x:f>IF(AND(R618&gt;=85,P618&gt;=16,M618&gt;=12,L618&gt;=12),"Reel + Carousel",IF(AND(R618&gt;=85,P618&gt;=16,N618&gt;=8),"Soru odaklı Reel",IF(AND(R618&gt;=85,P618&gt;=16),"Reel / Short",IF(M618&gt;=11,"Carousel","Kart testi"))))</x:f>
        <x:v>Carousel</x:v>
      </x:c>
      <x:c r="U618" s="46" t="str">
        <x:v>Kaynak dağılımının gerçek strateji olması liderlere net bir teşhis sunuyor; tablo ve örnekle iyi kaydedilir.</x:v>
      </x:c>
      <x:c r="V618" s="46" t="str">
        <x:f>IF(Q618&lt;=3,"Kaynak kontrolü şart",IF(Q618=4,"Kaynak kontrolü önerilir","Standart doğrulama"))</x:f>
        <x:v>Standart doğrulama</x:v>
      </x:c>
    </x:row>
    <x:row r="619" ht="24" customHeight="1">
      <x:c r="A619" s="48" t="n">
        <x:f>COUNTIF($R$2:$R$751,"&gt;"&amp;R619)+COUNTIF($R$2:R619,R619)</x:f>
        <x:v>618</x:v>
      </x:c>
      <x:c r="B619" s="48" t="n">
        <x:v>1557</x:v>
      </x:c>
      <x:c r="C619" s="46" t="str">
        <x:v>İş modeli inovasyonu — rakibi taklit etmek değil yeniden tasarlamak</x:v>
      </x:c>
      <x:c r="D619" s="34" t="str">
        <x:v>Verimlilik</x:v>
      </x:c>
      <x:c r="E619" s="34" t="str">
        <x:v>Girişimcilik</x:v>
      </x:c>
      <x:c r="F619" s="34" t="str">
        <x:v>İş Modeli Üretimi</x:v>
      </x:c>
      <x:c r="G619" s="34" t="str">
        <x:v>Alexander Osterwalder</x:v>
      </x:c>
      <x:c r="H619" s="50" t="str">
        <x:v>1</x:v>
      </x:c>
      <x:c r="I619" s="50" t="str">
        <x:v>Temel</x:v>
      </x:c>
      <x:c r="J619" s="51" t="n">
        <x:v>10</x:v>
      </x:c>
      <x:c r="K619" s="51" t="n">
        <x:v>4</x:v>
      </x:c>
      <x:c r="L619" s="51" t="n">
        <x:v>10</x:v>
      </x:c>
      <x:c r="M619" s="51" t="n">
        <x:v>14</x:v>
      </x:c>
      <x:c r="N619" s="51" t="n">
        <x:v>7</x:v>
      </x:c>
      <x:c r="O619" s="51" t="n">
        <x:v>5</x:v>
      </x:c>
      <x:c r="P619" s="51" t="n">
        <x:v>13</x:v>
      </x:c>
      <x:c r="Q619" s="51" t="n">
        <x:v>5</x:v>
      </x:c>
      <x:c r="R619" s="52" t="n">
        <x:f>SUM(J619:Q619)</x:f>
        <x:v>68</x:v>
      </x:c>
      <x:c r="S619" s="50" t="str">
        <x:f>IF(R619&gt;='Rubrik'!$B$17,"Öncelikli video",IF(R619&gt;='Rubrik'!$B$18,"Video kuyruğu",IF(R619&gt;='Rubrik'!$B$19,"Revize et",IF(R619&gt;='Rubrik'!$B$20,"Kartla test","Düşük öncelik"))))</x:f>
        <x:v>Düşük öncelik</x:v>
      </x:c>
      <x:c r="T619" s="50" t="str">
        <x:f>IF(AND(R619&gt;=85,P619&gt;=16,M619&gt;=12,L619&gt;=12),"Reel + Carousel",IF(AND(R619&gt;=85,P619&gt;=16,N619&gt;=8),"Soru odaklı Reel",IF(AND(R619&gt;=85,P619&gt;=16),"Reel / Short",IF(M619&gt;=11,"Carousel","Kart testi"))))</x:f>
        <x:v>Carousel</x:v>
      </x:c>
      <x:c r="U619" s="46" t="str">
        <x:v>IKEA, Nespresso ve Zipcar örnekleri model çeşitlerini öğretir; yoğun bilgi kısa videoda sadeleştirilmeli.</x:v>
      </x:c>
      <x:c r="V619" s="46" t="str">
        <x:f>IF(Q619&lt;=3,"Kaynak kontrolü şart",IF(Q619=4,"Kaynak kontrolü önerilir","Standart doğrulama"))</x:f>
        <x:v>Standart doğrulama</x:v>
      </x:c>
    </x:row>
    <x:row r="620" ht="24" customHeight="1">
      <x:c r="A620" s="48" t="n">
        <x:f>COUNTIF($R$2:$R$751,"&gt;"&amp;R620)+COUNTIF($R$2:R620,R620)</x:f>
        <x:v>619</x:v>
      </x:c>
      <x:c r="B620" s="48" t="n">
        <x:v>1068</x:v>
      </x:c>
      <x:c r="C620" s="46" t="str">
        <x:v>İtalyan ressam ve gevşeme paradoksu</x:v>
      </x:c>
      <x:c r="D620" s="34" t="str">
        <x:v>Verimlilik</x:v>
      </x:c>
      <x:c r="E620" s="34" t="str">
        <x:v>Verimlilik</x:v>
      </x:c>
      <x:c r="F620" s="34" t="str">
        <x:v>Şimdi Başla</x:v>
      </x:c>
      <x:c r="G620" s="34" t="str">
        <x:v>Neil Fiore</x:v>
      </x:c>
      <x:c r="H620" s="50" t="str">
        <x:v>1</x:v>
      </x:c>
      <x:c r="I620" s="50" t="str">
        <x:v>Temel</x:v>
      </x:c>
      <x:c r="J620" s="51" t="n">
        <x:v>12</x:v>
      </x:c>
      <x:c r="K620" s="51" t="n">
        <x:v>7</x:v>
      </x:c>
      <x:c r="L620" s="51" t="n">
        <x:v>9</x:v>
      </x:c>
      <x:c r="M620" s="51" t="n">
        <x:v>12</x:v>
      </x:c>
      <x:c r="N620" s="51" t="n">
        <x:v>8</x:v>
      </x:c>
      <x:c r="O620" s="51" t="n">
        <x:v>6</x:v>
      </x:c>
      <x:c r="P620" s="51" t="n">
        <x:v>13</x:v>
      </x:c>
      <x:c r="Q620" s="51" t="n">
        <x:v>1</x:v>
      </x:c>
      <x:c r="R620" s="52" t="n">
        <x:f>SUM(J620:Q620)</x:f>
        <x:v>68</x:v>
      </x:c>
      <x:c r="S620" s="50" t="str">
        <x:f>IF(R620&gt;='Rubrik'!$B$17,"Öncelikli video",IF(R620&gt;='Rubrik'!$B$18,"Video kuyruğu",IF(R620&gt;='Rubrik'!$B$19,"Revize et",IF(R620&gt;='Rubrik'!$B$20,"Kartla test","Düşük öncelik"))))</x:f>
        <x:v>Düşük öncelik</x:v>
      </x:c>
      <x:c r="T620" s="50" t="str">
        <x:f>IF(AND(R620&gt;=85,P620&gt;=16,M620&gt;=12,L620&gt;=12),"Reel + Carousel",IF(AND(R620&gt;=85,P620&gt;=16,N620&gt;=8),"Soru odaklı Reel",IF(AND(R620&gt;=85,P620&gt;=16),"Reel / Short",IF(M620&gt;=11,"Carousel","Kart testi"))))</x:f>
        <x:v>Carousel</x:v>
      </x:c>
      <x:c r="U620" s="46" t="str">
        <x:v>Dinlenmeyle gelen fikirler sıcak ve görselleştirilebilir; isimsiz ressam öyküsü kaynak desteği taşımıyor.</x:v>
      </x:c>
      <x:c r="V620" s="46" t="str">
        <x:f>IF(Q620&lt;=3,"Kaynak kontrolü şart",IF(Q620=4,"Kaynak kontrolü önerilir","Standart doğrulama"))</x:f>
        <x:v>Kaynak kontrolü şart</x:v>
      </x:c>
    </x:row>
    <x:row r="621" ht="24" customHeight="1">
      <x:c r="A621" s="48" t="n">
        <x:f>COUNTIF($R$2:$R$751,"&gt;"&amp;R621)+COUNTIF($R$2:R621,R621)</x:f>
        <x:v>620</x:v>
      </x:c>
      <x:c r="B621" s="48" t="n">
        <x:v>1184</x:v>
      </x:c>
      <x:c r="C621" s="46" t="str">
        <x:v>Risk asimetrisi ve kayıptan kaçınma</x:v>
      </x:c>
      <x:c r="D621" s="34" t="str">
        <x:v>Finans</x:v>
      </x:c>
      <x:c r="E621" s="34" t="str">
        <x:v>Finans</x:v>
      </x:c>
      <x:c r="F621" s="34" t="str">
        <x:v>Money: Master the Game</x:v>
      </x:c>
      <x:c r="G621" s="34" t="str">
        <x:v>Tony Robbins</x:v>
      </x:c>
      <x:c r="H621" s="50" t="str">
        <x:v>1</x:v>
      </x:c>
      <x:c r="I621" s="50" t="str">
        <x:v>Temel</x:v>
      </x:c>
      <x:c r="J621" s="51" t="n">
        <x:v>12</x:v>
      </x:c>
      <x:c r="K621" s="51" t="n">
        <x:v>6</x:v>
      </x:c>
      <x:c r="L621" s="51" t="n">
        <x:v>9</x:v>
      </x:c>
      <x:c r="M621" s="51" t="n">
        <x:v>13</x:v>
      </x:c>
      <x:c r="N621" s="51" t="n">
        <x:v>8</x:v>
      </x:c>
      <x:c r="O621" s="51" t="n">
        <x:v>5</x:v>
      </x:c>
      <x:c r="P621" s="51" t="n">
        <x:v>13</x:v>
      </x:c>
      <x:c r="Q621" s="51" t="n">
        <x:v>2</x:v>
      </x:c>
      <x:c r="R621" s="52" t="n">
        <x:f>SUM(J621:Q621)</x:f>
        <x:v>68</x:v>
      </x:c>
      <x:c r="S621" s="50" t="str">
        <x:f>IF(R621&gt;='Rubrik'!$B$17,"Öncelikli video",IF(R621&gt;='Rubrik'!$B$18,"Video kuyruğu",IF(R621&gt;='Rubrik'!$B$19,"Revize et",IF(R621&gt;='Rubrik'!$B$20,"Kartla test","Düşük öncelik"))))</x:f>
        <x:v>Düşük öncelik</x:v>
      </x:c>
      <x:c r="T621" s="50" t="str">
        <x:f>IF(AND(R621&gt;=85,P621&gt;=16,M621&gt;=12,L621&gt;=12),"Reel + Carousel",IF(AND(R621&gt;=85,P621&gt;=16,N621&gt;=8),"Soru odaklı Reel",IF(AND(R621&gt;=85,P621&gt;=16),"Reel / Short",IF(M621&gt;=11,"Carousel","Kart testi"))))</x:f>
        <x:v>Carousel</x:v>
      </x:c>
      <x:c r="U621" s="46" t="str">
        <x:v>Beşe karşı yüz örneği net; yatırım stratejisi ve kayıptan kaçınma fazla basit reçeteye dönüşüyor.</x:v>
      </x:c>
      <x:c r="V621" s="46" t="str">
        <x:f>IF(Q621&lt;=3,"Kaynak kontrolü şart",IF(Q621=4,"Kaynak kontrolü önerilir","Standart doğrulama"))</x:f>
        <x:v>Kaynak kontrolü şart</x:v>
      </x:c>
    </x:row>
    <x:row r="622" ht="24" customHeight="1">
      <x:c r="A622" s="48" t="n">
        <x:f>COUNTIF($R$2:$R$751,"&gt;"&amp;R622)+COUNTIF($R$2:R622,R622)</x:f>
        <x:v>621</x:v>
      </x:c>
      <x:c r="B622" s="48" t="n">
        <x:v>1186</x:v>
      </x:c>
      <x:c r="C622" s="46" t="str">
        <x:v>Bir sayfada bir kitap</x:v>
      </x:c>
      <x:c r="D622" s="34" t="str">
        <x:v>Felsefe</x:v>
      </x:c>
      <x:c r="E622" s="34" t="str">
        <x:v>Öğrenme</x:v>
      </x:c>
      <x:c r="F622" s="34" t="str">
        <x:v>Zihin Haritası</x:v>
      </x:c>
      <x:c r="G622" s="34" t="str">
        <x:v>Tony Buzan</x:v>
      </x:c>
      <x:c r="H622" s="50" t="str">
        <x:v>1</x:v>
      </x:c>
      <x:c r="I622" s="50" t="str">
        <x:v>Temel</x:v>
      </x:c>
      <x:c r="J622" s="51" t="n">
        <x:v>12</x:v>
      </x:c>
      <x:c r="K622" s="51" t="n">
        <x:v>6</x:v>
      </x:c>
      <x:c r="L622" s="51" t="n">
        <x:v>9</x:v>
      </x:c>
      <x:c r="M622" s="51" t="n">
        <x:v>14</x:v>
      </x:c>
      <x:c r="N622" s="51" t="n">
        <x:v>8</x:v>
      </x:c>
      <x:c r="O622" s="51" t="n">
        <x:v>5</x:v>
      </x:c>
      <x:c r="P622" s="51" t="n">
        <x:v>13</x:v>
      </x:c>
      <x:c r="Q622" s="51" t="n">
        <x:v>1</x:v>
      </x:c>
      <x:c r="R622" s="52" t="n">
        <x:f>SUM(J622:Q622)</x:f>
        <x:v>68</x:v>
      </x:c>
      <x:c r="S622" s="50" t="str">
        <x:f>IF(R622&gt;='Rubrik'!$B$17,"Öncelikli video",IF(R622&gt;='Rubrik'!$B$18,"Video kuyruğu",IF(R622&gt;='Rubrik'!$B$19,"Revize et",IF(R622&gt;='Rubrik'!$B$20,"Kartla test","Düşük öncelik"))))</x:f>
        <x:v>Düşük öncelik</x:v>
      </x:c>
      <x:c r="T622" s="50" t="str">
        <x:f>IF(AND(R622&gt;=85,P622&gt;=16,M622&gt;=12,L622&gt;=12),"Reel + Carousel",IF(AND(R622&gt;=85,P622&gt;=16,N622&gt;=8),"Soru odaklı Reel",IF(AND(R622&gt;=85,P622&gt;=16),"Reel / Short",IF(M622&gt;=11,"Carousel","Kart testi"))))</x:f>
        <x:v>Carousel</x:v>
      </x:c>
      <x:c r="U622" s="46" t="str">
        <x:v>Bir kitabı tek sayfaya indirmek kaydedilebilir; üç kat hatırlama sonucu kaynak olmadan güven vermiyor.</x:v>
      </x:c>
      <x:c r="V622" s="46" t="str">
        <x:f>IF(Q622&lt;=3,"Kaynak kontrolü şart",IF(Q622=4,"Kaynak kontrolü önerilir","Standart doğrulama"))</x:f>
        <x:v>Kaynak kontrolü şart</x:v>
      </x:c>
    </x:row>
    <x:row r="623" ht="24" customHeight="1">
      <x:c r="A623" s="48" t="n">
        <x:f>COUNTIF($R$2:$R$751,"&gt;"&amp;R623)+COUNTIF($R$2:R623,R623)</x:f>
        <x:v>622</x:v>
      </x:c>
      <x:c r="B623" s="48" t="n">
        <x:v>1227</x:v>
      </x:c>
      <x:c r="C623" s="46" t="str">
        <x:v>Geçmiş ve şimdiki an</x:v>
      </x:c>
      <x:c r="D623" s="34" t="str">
        <x:v>Felsefe</x:v>
      </x:c>
      <x:c r="E623" s="34" t="str">
        <x:v>Felsefe</x:v>
      </x:c>
      <x:c r="F623" s="34" t="str">
        <x:v>Cesur Olmak</x:v>
      </x:c>
      <x:c r="G623" s="34" t="str">
        <x:v>Ichiro Kishimi</x:v>
      </x:c>
      <x:c r="H623" s="50" t="str">
        <x:v>1</x:v>
      </x:c>
      <x:c r="I623" s="50" t="str">
        <x:v>Temel</x:v>
      </x:c>
      <x:c r="J623" s="51" t="n">
        <x:v>12</x:v>
      </x:c>
      <x:c r="K623" s="51" t="n">
        <x:v>8</x:v>
      </x:c>
      <x:c r="L623" s="51" t="n">
        <x:v>9</x:v>
      </x:c>
      <x:c r="M623" s="51" t="n">
        <x:v>10</x:v>
      </x:c>
      <x:c r="N623" s="51" t="n">
        <x:v>9</x:v>
      </x:c>
      <x:c r="O623" s="51" t="n">
        <x:v>6</x:v>
      </x:c>
      <x:c r="P623" s="51" t="n">
        <x:v>13</x:v>
      </x:c>
      <x:c r="Q623" s="51" t="n">
        <x:v>1</x:v>
      </x:c>
      <x:c r="R623" s="52" t="n">
        <x:f>SUM(J623:Q623)</x:f>
        <x:v>68</x:v>
      </x:c>
      <x:c r="S623" s="50" t="str">
        <x:f>IF(R623&gt;='Rubrik'!$B$17,"Öncelikli video",IF(R623&gt;='Rubrik'!$B$18,"Video kuyruğu",IF(R623&gt;='Rubrik'!$B$19,"Revize et",IF(R623&gt;='Rubrik'!$B$20,"Kartla test","Düşük öncelik"))))</x:f>
        <x:v>Düşük öncelik</x:v>
      </x:c>
      <x:c r="T623" s="50" t="str">
        <x:f>IF(AND(R623&gt;=85,P623&gt;=16,M623&gt;=12,L623&gt;=12),"Reel + Carousel",IF(AND(R623&gt;=85,P623&gt;=16,N623&gt;=8),"Soru odaklı Reel",IF(AND(R623&gt;=85,P623&gt;=16),"Reel / Short",IF(M623&gt;=11,"Carousel","Kart testi"))))</x:f>
        <x:v>Kart testi</x:v>
      </x:c>
      <x:c r="U623" s="46" t="str">
        <x:v>Geçmişe verilen anlam fikri özgürleştirici olabilir; travmayı şimdiki seçim diye sunmak zarar riski taşır.</x:v>
      </x:c>
      <x:c r="V623" s="46" t="str">
        <x:f>IF(Q623&lt;=3,"Kaynak kontrolü şart",IF(Q623=4,"Kaynak kontrolü önerilir","Standart doğrulama"))</x:f>
        <x:v>Kaynak kontrolü şart</x:v>
      </x:c>
    </x:row>
    <x:row r="624" ht="24" customHeight="1">
      <x:c r="A624" s="48" t="n">
        <x:f>COUNTIF($R$2:$R$751,"&gt;"&amp;R624)+COUNTIF($R$2:R624,R624)</x:f>
        <x:v>623</x:v>
      </x:c>
      <x:c r="B624" s="48" t="n">
        <x:v>1259</x:v>
      </x:c>
      <x:c r="C624" s="46" t="str">
        <x:v>Çınar ağacı ve fırtına</x:v>
      </x:c>
      <x:c r="D624" s="34" t="str">
        <x:v>Felsefe</x:v>
      </x:c>
      <x:c r="E624" s="34" t="str">
        <x:v>Felsefe</x:v>
      </x:c>
      <x:c r="F624" s="34" t="str">
        <x:v>Stillness Is the Key</x:v>
      </x:c>
      <x:c r="G624" s="34" t="str">
        <x:v>Ryan Holiday</x:v>
      </x:c>
      <x:c r="H624" s="50" t="str">
        <x:v>1</x:v>
      </x:c>
      <x:c r="I624" s="50" t="str">
        <x:v>Temel</x:v>
      </x:c>
      <x:c r="J624" s="51" t="n">
        <x:v>10</x:v>
      </x:c>
      <x:c r="K624" s="51" t="n">
        <x:v>7</x:v>
      </x:c>
      <x:c r="L624" s="51" t="n">
        <x:v>9</x:v>
      </x:c>
      <x:c r="M624" s="51" t="n">
        <x:v>11</x:v>
      </x:c>
      <x:c r="N624" s="51" t="n">
        <x:v>8</x:v>
      </x:c>
      <x:c r="O624" s="51" t="n">
        <x:v>6</x:v>
      </x:c>
      <x:c r="P624" s="51" t="n">
        <x:v>13</x:v>
      </x:c>
      <x:c r="Q624" s="51" t="n">
        <x:v>4</x:v>
      </x:c>
      <x:c r="R624" s="52" t="n">
        <x:f>SUM(J624:Q624)</x:f>
        <x:v>68</x:v>
      </x:c>
      <x:c r="S624" s="50" t="str">
        <x:f>IF(R624&gt;='Rubrik'!$B$17,"Öncelikli video",IF(R624&gt;='Rubrik'!$B$18,"Video kuyruğu",IF(R624&gt;='Rubrik'!$B$19,"Revize et",IF(R624&gt;='Rubrik'!$B$20,"Kartla test","Düşük öncelik"))))</x:f>
        <x:v>Düşük öncelik</x:v>
      </x:c>
      <x:c r="T624" s="50" t="str">
        <x:f>IF(AND(R624&gt;=85,P624&gt;=16,M624&gt;=12,L624&gt;=12),"Reel + Carousel",IF(AND(R624&gt;=85,P624&gt;=16,N624&gt;=8),"Soru odaklı Reel",IF(AND(R624&gt;=85,P624&gt;=16),"Reel / Short",IF(M624&gt;=11,"Carousel","Kart testi"))))</x:f>
        <x:v>Carousel</x:v>
      </x:c>
      <x:c r="U624" s="46" t="str">
        <x:v>Fırtına ve kök metaforu kolay anlaşılır, ancak oldukça tanıdık olduğu için güçlü bir yenilik hissi üretmiyor.</x:v>
      </x:c>
      <x:c r="V624" s="46" t="str">
        <x:f>IF(Q624&lt;=3,"Kaynak kontrolü şart",IF(Q624=4,"Kaynak kontrolü önerilir","Standart doğrulama"))</x:f>
        <x:v>Kaynak kontrolü önerilir</x:v>
      </x:c>
    </x:row>
    <x:row r="625" ht="24" customHeight="1">
      <x:c r="A625" s="48" t="n">
        <x:f>COUNTIF($R$2:$R$751,"&gt;"&amp;R625)+COUNTIF($R$2:R625,R625)</x:f>
        <x:v>624</x:v>
      </x:c>
      <x:c r="B625" s="48" t="n">
        <x:v>1454</x:v>
      </x:c>
      <x:c r="C625" s="46" t="str">
        <x:v>Sekiz neşe sütunu</x:v>
      </x:c>
      <x:c r="D625" s="34" t="str">
        <x:v>Psikoloji</x:v>
      </x:c>
      <x:c r="E625" s="34" t="str">
        <x:v>Mutluluk</x:v>
      </x:c>
      <x:c r="F625" s="34" t="str">
        <x:v>Neşeyi Seç</x:v>
      </x:c>
      <x:c r="G625" s="34" t="str">
        <x:v>Dalai Lama</x:v>
      </x:c>
      <x:c r="H625" s="50" t="str">
        <x:v>1</x:v>
      </x:c>
      <x:c r="I625" s="50" t="str">
        <x:v>Temel</x:v>
      </x:c>
      <x:c r="J625" s="51" t="n">
        <x:v>9</x:v>
      </x:c>
      <x:c r="K625" s="51" t="n">
        <x:v>5</x:v>
      </x:c>
      <x:c r="L625" s="51" t="n">
        <x:v>10</x:v>
      </x:c>
      <x:c r="M625" s="51" t="n">
        <x:v>15</x:v>
      </x:c>
      <x:c r="N625" s="51" t="n">
        <x:v>7</x:v>
      </x:c>
      <x:c r="O625" s="51" t="n">
        <x:v>5</x:v>
      </x:c>
      <x:c r="P625" s="51" t="n">
        <x:v>12</x:v>
      </x:c>
      <x:c r="Q625" s="51" t="n">
        <x:v>5</x:v>
      </x:c>
      <x:c r="R625" s="52" t="n">
        <x:f>SUM(J625:Q625)</x:f>
        <x:v>68</x:v>
      </x:c>
      <x:c r="S625" s="50" t="str">
        <x:f>IF(R625&gt;='Rubrik'!$B$17,"Öncelikli video",IF(R625&gt;='Rubrik'!$B$18,"Video kuyruğu",IF(R625&gt;='Rubrik'!$B$19,"Revize et",IF(R625&gt;='Rubrik'!$B$20,"Kartla test","Düşük öncelik"))))</x:f>
        <x:v>Düşük öncelik</x:v>
      </x:c>
      <x:c r="T625" s="50" t="str">
        <x:f>IF(AND(R625&gt;=85,P625&gt;=16,M625&gt;=12,L625&gt;=12),"Reel + Carousel",IF(AND(R625&gt;=85,P625&gt;=16,N625&gt;=8),"Soru odaklı Reel",IF(AND(R625&gt;=85,P625&gt;=16),"Reel / Short",IF(M625&gt;=11,"Carousel","Kart testi"))))</x:f>
        <x:v>Carousel</x:v>
      </x:c>
      <x:c r="U625" s="46" t="str">
        <x:v>Neşenin sekiz sütunu çok kaydedilebilir bir çerçeve; liste yapısı videoda özgün hikâye etkisini azaltıyor.</x:v>
      </x:c>
      <x:c r="V625" s="46" t="str">
        <x:f>IF(Q625&lt;=3,"Kaynak kontrolü şart",IF(Q625=4,"Kaynak kontrolü önerilir","Standart doğrulama"))</x:f>
        <x:v>Standart doğrulama</x:v>
      </x:c>
    </x:row>
    <x:row r="626" ht="24" customHeight="1">
      <x:c r="A626" s="48" t="n">
        <x:f>COUNTIF($R$2:$R$751,"&gt;"&amp;R626)+COUNTIF($R$2:R626,R626)</x:f>
        <x:v>625</x:v>
      </x:c>
      <x:c r="B626" s="48" t="n">
        <x:v>1098</x:v>
      </x:c>
      <x:c r="C626" s="46" t="str">
        <x:v>Sabit ve büyüme zihniyeti farkı</x:v>
      </x:c>
      <x:c r="D626" s="34" t="str">
        <x:v>Psikoloji</x:v>
      </x:c>
      <x:c r="E626" s="34" t="str">
        <x:v>Psikoloji</x:v>
      </x:c>
      <x:c r="F626" s="34" t="str">
        <x:v>Zihin Gücü</x:v>
      </x:c>
      <x:c r="G626" s="34" t="str">
        <x:v>Carol Dweck</x:v>
      </x:c>
      <x:c r="H626" s="50" t="str">
        <x:v>1</x:v>
      </x:c>
      <x:c r="I626" s="50" t="str">
        <x:v>Temel</x:v>
      </x:c>
      <x:c r="J626" s="51" t="n">
        <x:v>11</x:v>
      </x:c>
      <x:c r="K626" s="51" t="n">
        <x:v>7</x:v>
      </x:c>
      <x:c r="L626" s="51" t="n">
        <x:v>9</x:v>
      </x:c>
      <x:c r="M626" s="51" t="n">
        <x:v>14</x:v>
      </x:c>
      <x:c r="N626" s="51" t="n">
        <x:v>8</x:v>
      </x:c>
      <x:c r="O626" s="51" t="n">
        <x:v>5</x:v>
      </x:c>
      <x:c r="P626" s="51" t="n">
        <x:v>12</x:v>
      </x:c>
      <x:c r="Q626" s="51" t="n">
        <x:v>2</x:v>
      </x:c>
      <x:c r="R626" s="52" t="n">
        <x:f>SUM(J626:Q626)</x:f>
        <x:v>68</x:v>
      </x:c>
      <x:c r="S626" s="50" t="str">
        <x:f>IF(R626&gt;='Rubrik'!$B$17,"Öncelikli video",IF(R626&gt;='Rubrik'!$B$18,"Video kuyruğu",IF(R626&gt;='Rubrik'!$B$19,"Revize et",IF(R626&gt;='Rubrik'!$B$20,"Kartla test","Düşük öncelik"))))</x:f>
        <x:v>Düşük öncelik</x:v>
      </x:c>
      <x:c r="T626" s="50" t="str">
        <x:f>IF(AND(R626&gt;=85,P626&gt;=16,M626&gt;=12,L626&gt;=12),"Reel + Carousel",IF(AND(R626&gt;=85,P626&gt;=16,N626&gt;=8),"Soru odaklı Reel",IF(AND(R626&gt;=85,P626&gt;=16),"Reel / Short",IF(M626&gt;=11,"Carousel","Kart testi"))))</x:f>
        <x:v>Carousel</x:v>
      </x:c>
      <x:c r="U626" s="46" t="str">
        <x:v>İki zihniyet ayrımı uygulanabilir; on yıllık takip ve sonuçlar kaynak verilmeden fazla kesin anlatılıyor.</x:v>
      </x:c>
      <x:c r="V626" s="46" t="str">
        <x:f>IF(Q626&lt;=3,"Kaynak kontrolü şart",IF(Q626=4,"Kaynak kontrolü önerilir","Standart doğrulama"))</x:f>
        <x:v>Kaynak kontrolü şart</x:v>
      </x:c>
    </x:row>
    <x:row r="627" ht="24" customHeight="1">
      <x:c r="A627" s="48" t="n">
        <x:f>COUNTIF($R$2:$R$751,"&gt;"&amp;R627)+COUNTIF($R$2:R627,R627)</x:f>
        <x:v>626</x:v>
      </x:c>
      <x:c r="B627" s="48" t="n">
        <x:v>1242</x:v>
      </x:c>
      <x:c r="C627" s="46" t="str">
        <x:v>Eleştiri yapmadan değiştirme sanatı</x:v>
      </x:c>
      <x:c r="D627" s="34" t="str">
        <x:v>İletişim</x:v>
      </x:c>
      <x:c r="E627" s="34" t="str">
        <x:v>İletişim</x:v>
      </x:c>
      <x:c r="F627" s="34" t="str">
        <x:v>İkna Sanatı</x:v>
      </x:c>
      <x:c r="G627" s="34" t="str">
        <x:v>Dale Carnegie</x:v>
      </x:c>
      <x:c r="H627" s="50" t="str">
        <x:v>1</x:v>
      </x:c>
      <x:c r="I627" s="50" t="str">
        <x:v>Temel</x:v>
      </x:c>
      <x:c r="J627" s="51" t="n">
        <x:v>12</x:v>
      </x:c>
      <x:c r="K627" s="51" t="n">
        <x:v>7</x:v>
      </x:c>
      <x:c r="L627" s="51" t="n">
        <x:v>9</x:v>
      </x:c>
      <x:c r="M627" s="51" t="n">
        <x:v>12</x:v>
      </x:c>
      <x:c r="N627" s="51" t="n">
        <x:v>9</x:v>
      </x:c>
      <x:c r="O627" s="51" t="n">
        <x:v>5</x:v>
      </x:c>
      <x:c r="P627" s="51" t="n">
        <x:v>12</x:v>
      </x:c>
      <x:c r="Q627" s="51" t="n">
        <x:v>2</x:v>
      </x:c>
      <x:c r="R627" s="52" t="n">
        <x:f>SUM(J627:Q627)</x:f>
        <x:v>68</x:v>
      </x:c>
      <x:c r="S627" s="50" t="str">
        <x:f>IF(R627&gt;='Rubrik'!$B$17,"Öncelikli video",IF(R627&gt;='Rubrik'!$B$18,"Video kuyruğu",IF(R627&gt;='Rubrik'!$B$19,"Revize et",IF(R627&gt;='Rubrik'!$B$20,"Kartla test","Düşük öncelik"))))</x:f>
        <x:v>Düşük öncelik</x:v>
      </x:c>
      <x:c r="T627" s="50" t="str">
        <x:f>IF(AND(R627&gt;=85,P627&gt;=16,M627&gt;=12,L627&gt;=12),"Reel + Carousel",IF(AND(R627&gt;=85,P627&gt;=16,N627&gt;=8),"Soru odaklı Reel",IF(AND(R627&gt;=85,P627&gt;=16),"Reel / Short",IF(M627&gt;=11,"Carousel","Kart testi"))))</x:f>
        <x:v>Carousel</x:v>
      </x:c>
      <x:c r="U627" s="46" t="str">
        <x:v>Eleştiri yerine kimliği güçlendirmek yararlı; eleştiri asla işe yaramaz iddiası aşırı ve bağlamdan yoksun.</x:v>
      </x:c>
      <x:c r="V627" s="46" t="str">
        <x:f>IF(Q627&lt;=3,"Kaynak kontrolü şart",IF(Q627=4,"Kaynak kontrolü önerilir","Standart doğrulama"))</x:f>
        <x:v>Kaynak kontrolü şart</x:v>
      </x:c>
    </x:row>
    <x:row r="628" ht="24" customHeight="1">
      <x:c r="A628" s="48" t="n">
        <x:f>COUNTIF($R$2:$R$751,"&gt;"&amp;R628)+COUNTIF($R$2:R628,R628)</x:f>
        <x:v>627</x:v>
      </x:c>
      <x:c r="B628" s="48" t="n">
        <x:v>1651</x:v>
      </x:c>
      <x:c r="C628" s="46" t="str">
        <x:v>Akış deneyimi — zamanın eridiği bilinç hali</x:v>
      </x:c>
      <x:c r="D628" s="34" t="str">
        <x:v>Psikoloji</x:v>
      </x:c>
      <x:c r="E628" s="34" t="str">
        <x:v>Psikoloji</x:v>
      </x:c>
      <x:c r="F628" s="34" t="str">
        <x:v>Akış Bulmak</x:v>
      </x:c>
      <x:c r="G628" s="34" t="str">
        <x:v>Mihaly Csikszentmihalyi</x:v>
      </x:c>
      <x:c r="H628" s="50" t="str">
        <x:v>1</x:v>
      </x:c>
      <x:c r="I628" s="50" t="str">
        <x:v>Temel</x:v>
      </x:c>
      <x:c r="J628" s="51" t="n">
        <x:v>9</x:v>
      </x:c>
      <x:c r="K628" s="51" t="n">
        <x:v>6</x:v>
      </x:c>
      <x:c r="L628" s="51" t="n">
        <x:v>10</x:v>
      </x:c>
      <x:c r="M628" s="51" t="n">
        <x:v>10</x:v>
      </x:c>
      <x:c r="N628" s="51" t="n">
        <x:v>7</x:v>
      </x:c>
      <x:c r="O628" s="51" t="n">
        <x:v>6</x:v>
      </x:c>
      <x:c r="P628" s="51" t="n">
        <x:v>15</x:v>
      </x:c>
      <x:c r="Q628" s="51" t="n">
        <x:v>4</x:v>
      </x:c>
      <x:c r="R628" s="52" t="n">
        <x:f>SUM(J628:Q628)</x:f>
        <x:v>67</x:v>
      </x:c>
      <x:c r="S628" s="50" t="str">
        <x:f>IF(R628&gt;='Rubrik'!$B$17,"Öncelikli video",IF(R628&gt;='Rubrik'!$B$18,"Video kuyruğu",IF(R628&gt;='Rubrik'!$B$19,"Revize et",IF(R628&gt;='Rubrik'!$B$20,"Kartla test","Düşük öncelik"))))</x:f>
        <x:v>Düşük öncelik</x:v>
      </x:c>
      <x:c r="T628" s="50" t="str">
        <x:f>IF(AND(R628&gt;=85,P628&gt;=16,M628&gt;=12,L628&gt;=12),"Reel + Carousel",IF(AND(R628&gt;=85,P628&gt;=16,N628&gt;=8),"Soru odaklı Reel",IF(AND(R628&gt;=85,P628&gt;=16),"Reel / Short",IF(M628&gt;=11,"Carousel","Kart testi"))))</x:f>
        <x:v>Kart testi</x:v>
      </x:c>
      <x:c r="U628" s="46" t="str">
        <x:v>Duygusal karşıtlık paylaşma ve kişisel anlatma isteğini yükseltiyor; olay örgüsü geliştirilmeli.</x:v>
      </x:c>
      <x:c r="V628" s="46" t="str">
        <x:f>IF(Q628&lt;=3,"Kaynak kontrolü şart",IF(Q628=4,"Kaynak kontrolü önerilir","Standart doğrulama"))</x:f>
        <x:v>Kaynak kontrolü önerilir</x:v>
      </x:c>
    </x:row>
    <x:row r="629" ht="24" customHeight="1">
      <x:c r="A629" s="48" t="n">
        <x:f>COUNTIF($R$2:$R$751,"&gt;"&amp;R629)+COUNTIF($R$2:R629,R629)</x:f>
        <x:v>628</x:v>
      </x:c>
      <x:c r="B629" s="48" t="n">
        <x:v>1690</x:v>
      </x:c>
      <x:c r="C629" s="46" t="str">
        <x:v>Öz farkındalık — duygusal zekanın temeli</x:v>
      </x:c>
      <x:c r="D629" s="34" t="str">
        <x:v>Psikoloji</x:v>
      </x:c>
      <x:c r="E629" s="34" t="str">
        <x:v>Psikoloji</x:v>
      </x:c>
      <x:c r="F629" s="34" t="str">
        <x:v>Bütünleşik Zekanın Gücü</x:v>
      </x:c>
      <x:c r="G629" s="34" t="str">
        <x:v>Travis Bradberry</x:v>
      </x:c>
      <x:c r="H629" s="50" t="str">
        <x:v>1</x:v>
      </x:c>
      <x:c r="I629" s="50" t="str">
        <x:v>Temel</x:v>
      </x:c>
      <x:c r="J629" s="51" t="n">
        <x:v>10</x:v>
      </x:c>
      <x:c r="K629" s="51" t="n">
        <x:v>4</x:v>
      </x:c>
      <x:c r="L629" s="51" t="n">
        <x:v>10</x:v>
      </x:c>
      <x:c r="M629" s="51" t="n">
        <x:v>11</x:v>
      </x:c>
      <x:c r="N629" s="51" t="n">
        <x:v>6</x:v>
      </x:c>
      <x:c r="O629" s="51" t="n">
        <x:v>6</x:v>
      </x:c>
      <x:c r="P629" s="51" t="n">
        <x:v>15</x:v>
      </x:c>
      <x:c r="Q629" s="51" t="n">
        <x:v>5</x:v>
      </x:c>
      <x:c r="R629" s="52" t="n">
        <x:f>SUM(J629:Q629)</x:f>
        <x:v>67</x:v>
      </x:c>
      <x:c r="S629" s="50" t="str">
        <x:f>IF(R629&gt;='Rubrik'!$B$17,"Öncelikli video",IF(R629&gt;='Rubrik'!$B$18,"Video kuyruğu",IF(R629&gt;='Rubrik'!$B$19,"Revize et",IF(R629&gt;='Rubrik'!$B$20,"Kartla test","Düşük öncelik"))))</x:f>
        <x:v>Düşük öncelik</x:v>
      </x:c>
      <x:c r="T629" s="50" t="str">
        <x:f>IF(AND(R629&gt;=85,P629&gt;=16,M629&gt;=12,L629&gt;=12),"Reel + Carousel",IF(AND(R629&gt;=85,P629&gt;=16,N629&gt;=8),"Soru odaklı Reel",IF(AND(R629&gt;=85,P629&gt;=16),"Reel / Short",IF(M629&gt;=11,"Carousel","Kart testi"))))</x:f>
        <x:v>Carousel</x:v>
      </x:c>
      <x:c r="U629" s="46" t="str">
        <x:v>Somut sahne ve sayısal ayrıntı güçlü bir video açılışı sağlıyor; olay örgüsü geliştirilmeli.</x:v>
      </x:c>
      <x:c r="V629" s="46" t="str">
        <x:f>IF(Q629&lt;=3,"Kaynak kontrolü şart",IF(Q629=4,"Kaynak kontrolü önerilir","Standart doğrulama"))</x:f>
        <x:v>Standart doğrulama</x:v>
      </x:c>
    </x:row>
    <x:row r="630" ht="24" customHeight="1">
      <x:c r="A630" s="48" t="n">
        <x:f>COUNTIF($R$2:$R$751,"&gt;"&amp;R630)+COUNTIF($R$2:R630,R630)</x:f>
        <x:v>629</x:v>
      </x:c>
      <x:c r="B630" s="48" t="n">
        <x:v>1620</x:v>
      </x:c>
      <x:c r="C630" s="46" t="str">
        <x:v>Hold me tight anı — yeniden bağlanmanın kapısı</x:v>
      </x:c>
      <x:c r="D630" s="34" t="str">
        <x:v>İletişim</x:v>
      </x:c>
      <x:c r="E630" s="34" t="str">
        <x:v>İlişkiler</x:v>
      </x:c>
      <x:c r="F630" s="34" t="str">
        <x:v>İlişki Psikolojisi</x:v>
      </x:c>
      <x:c r="G630" s="34" t="str">
        <x:v>Sue Johnson</x:v>
      </x:c>
      <x:c r="H630" s="50" t="str">
        <x:v>1</x:v>
      </x:c>
      <x:c r="I630" s="50" t="str">
        <x:v>Temel</x:v>
      </x:c>
      <x:c r="J630" s="51" t="n">
        <x:v>9</x:v>
      </x:c>
      <x:c r="K630" s="51" t="n">
        <x:v>8</x:v>
      </x:c>
      <x:c r="L630" s="51" t="n">
        <x:v>10</x:v>
      </x:c>
      <x:c r="M630" s="51" t="n">
        <x:v>8</x:v>
      </x:c>
      <x:c r="N630" s="51" t="n">
        <x:v>7</x:v>
      </x:c>
      <x:c r="O630" s="51" t="n">
        <x:v>7</x:v>
      </x:c>
      <x:c r="P630" s="51" t="n">
        <x:v>14</x:v>
      </x:c>
      <x:c r="Q630" s="51" t="n">
        <x:v>4</x:v>
      </x:c>
      <x:c r="R630" s="52" t="n">
        <x:f>SUM(J630:Q630)</x:f>
        <x:v>67</x:v>
      </x:c>
      <x:c r="S630" s="50" t="str">
        <x:f>IF(R630&gt;='Rubrik'!$B$17,"Öncelikli video",IF(R630&gt;='Rubrik'!$B$18,"Video kuyruğu",IF(R630&gt;='Rubrik'!$B$19,"Revize et",IF(R630&gt;='Rubrik'!$B$20,"Kartla test","Düşük öncelik"))))</x:f>
        <x:v>Düşük öncelik</x:v>
      </x:c>
      <x:c r="T630" s="50" t="str">
        <x:f>IF(AND(R630&gt;=85,P630&gt;=16,M630&gt;=12,L630&gt;=12),"Reel + Carousel",IF(AND(R630&gt;=85,P630&gt;=16,N630&gt;=8),"Soru odaklı Reel",IF(AND(R630&gt;=85,P630&gt;=16),"Reel / Short",IF(M630&gt;=11,"Carousel","Kart testi"))))</x:f>
        <x:v>Kart testi</x:v>
      </x:c>
      <x:c r="U630" s="46" t="str">
        <x:v>Duygusal karşıtlık paylaşma ve kişisel anlatma isteğini yükseltiyor; ilk saniye etkisi geliştirilmeli.</x:v>
      </x:c>
      <x:c r="V630" s="46" t="str">
        <x:f>IF(Q630&lt;=3,"Kaynak kontrolü şart",IF(Q630=4,"Kaynak kontrolü önerilir","Standart doğrulama"))</x:f>
        <x:v>Kaynak kontrolü önerilir</x:v>
      </x:c>
    </x:row>
    <x:row r="631" ht="24" customHeight="1">
      <x:c r="A631" s="48" t="n">
        <x:f>COUNTIF($R$2:$R$751,"&gt;"&amp;R631)+COUNTIF($R$2:R631,R631)</x:f>
        <x:v>630</x:v>
      </x:c>
      <x:c r="B631" s="48" t="n">
        <x:v>1621</x:v>
      </x:c>
      <x:c r="C631" s="46" t="str">
        <x:v>Üç bağlanma stili — güvenli, kaygılı, kaçıngan</x:v>
      </x:c>
      <x:c r="D631" s="34" t="str">
        <x:v>İletişim</x:v>
      </x:c>
      <x:c r="E631" s="34" t="str">
        <x:v>İlişkiler</x:v>
      </x:c>
      <x:c r="F631" s="34" t="str">
        <x:v>Bağlanma Teorisi</x:v>
      </x:c>
      <x:c r="G631" s="34" t="str">
        <x:v>Amir Levine</x:v>
      </x:c>
      <x:c r="H631" s="50" t="str">
        <x:v>1</x:v>
      </x:c>
      <x:c r="I631" s="50" t="str">
        <x:v>Temel</x:v>
      </x:c>
      <x:c r="J631" s="51" t="n">
        <x:v>9</x:v>
      </x:c>
      <x:c r="K631" s="51" t="n">
        <x:v>7</x:v>
      </x:c>
      <x:c r="L631" s="51" t="n">
        <x:v>10</x:v>
      </x:c>
      <x:c r="M631" s="51" t="n">
        <x:v>9</x:v>
      </x:c>
      <x:c r="N631" s="51" t="n">
        <x:v>7</x:v>
      </x:c>
      <x:c r="O631" s="51" t="n">
        <x:v>7</x:v>
      </x:c>
      <x:c r="P631" s="51" t="n">
        <x:v>14</x:v>
      </x:c>
      <x:c r="Q631" s="51" t="n">
        <x:v>4</x:v>
      </x:c>
      <x:c r="R631" s="52" t="n">
        <x:f>SUM(J631:Q631)</x:f>
        <x:v>67</x:v>
      </x:c>
      <x:c r="S631" s="50" t="str">
        <x:f>IF(R631&gt;='Rubrik'!$B$17,"Öncelikli video",IF(R631&gt;='Rubrik'!$B$18,"Video kuyruğu",IF(R631&gt;='Rubrik'!$B$19,"Revize et",IF(R631&gt;='Rubrik'!$B$20,"Kartla test","Düşük öncelik"))))</x:f>
        <x:v>Düşük öncelik</x:v>
      </x:c>
      <x:c r="T631" s="50" t="str">
        <x:f>IF(AND(R631&gt;=85,P631&gt;=16,M631&gt;=12,L631&gt;=12),"Reel + Carousel",IF(AND(R631&gt;=85,P631&gt;=16,N631&gt;=8),"Soru odaklı Reel",IF(AND(R631&gt;=85,P631&gt;=16),"Reel / Short",IF(M631&gt;=11,"Carousel","Kart testi"))))</x:f>
        <x:v>Kart testi</x:v>
      </x:c>
      <x:c r="U631" s="46" t="str">
        <x:v>Duygusal karşıtlık paylaşma ve kişisel anlatma isteğini yükseltiyor; ilk saniye etkisi geliştirilmeli.</x:v>
      </x:c>
      <x:c r="V631" s="46" t="str">
        <x:f>IF(Q631&lt;=3,"Kaynak kontrolü şart",IF(Q631=4,"Kaynak kontrolü önerilir","Standart doğrulama"))</x:f>
        <x:v>Kaynak kontrolü önerilir</x:v>
      </x:c>
    </x:row>
    <x:row r="632" ht="24" customHeight="1">
      <x:c r="A632" s="48" t="n">
        <x:f>COUNTIF($R$2:$R$751,"&gt;"&amp;R632)+COUNTIF($R$2:R632,R632)</x:f>
        <x:v>631</x:v>
      </x:c>
      <x:c r="B632" s="48" t="n">
        <x:v>1622</x:v>
      </x:c>
      <x:c r="C632" s="46" t="str">
        <x:v>Kaçıngan paradoksu — yakınlık isteyen ama uzaklaşan</x:v>
      </x:c>
      <x:c r="D632" s="34" t="str">
        <x:v>İletişim</x:v>
      </x:c>
      <x:c r="E632" s="34" t="str">
        <x:v>İlişkiler</x:v>
      </x:c>
      <x:c r="F632" s="34" t="str">
        <x:v>Bağlanma Teorisi</x:v>
      </x:c>
      <x:c r="G632" s="34" t="str">
        <x:v>Amir Levine</x:v>
      </x:c>
      <x:c r="H632" s="50" t="str">
        <x:v>1</x:v>
      </x:c>
      <x:c r="I632" s="50" t="str">
        <x:v>Temel</x:v>
      </x:c>
      <x:c r="J632" s="51" t="n">
        <x:v>9</x:v>
      </x:c>
      <x:c r="K632" s="51" t="n">
        <x:v>6</x:v>
      </x:c>
      <x:c r="L632" s="51" t="n">
        <x:v>10</x:v>
      </x:c>
      <x:c r="M632" s="51" t="n">
        <x:v>10</x:v>
      </x:c>
      <x:c r="N632" s="51" t="n">
        <x:v>7</x:v>
      </x:c>
      <x:c r="O632" s="51" t="n">
        <x:v>7</x:v>
      </x:c>
      <x:c r="P632" s="51" t="n">
        <x:v>14</x:v>
      </x:c>
      <x:c r="Q632" s="51" t="n">
        <x:v>4</x:v>
      </x:c>
      <x:c r="R632" s="52" t="n">
        <x:f>SUM(J632:Q632)</x:f>
        <x:v>67</x:v>
      </x:c>
      <x:c r="S632" s="50" t="str">
        <x:f>IF(R632&gt;='Rubrik'!$B$17,"Öncelikli video",IF(R632&gt;='Rubrik'!$B$18,"Video kuyruğu",IF(R632&gt;='Rubrik'!$B$19,"Revize et",IF(R632&gt;='Rubrik'!$B$20,"Kartla test","Düşük öncelik"))))</x:f>
        <x:v>Düşük öncelik</x:v>
      </x:c>
      <x:c r="T632" s="50" t="str">
        <x:f>IF(AND(R632&gt;=85,P632&gt;=16,M632&gt;=12,L632&gt;=12),"Reel + Carousel",IF(AND(R632&gt;=85,P632&gt;=16,N632&gt;=8),"Soru odaklı Reel",IF(AND(R632&gt;=85,P632&gt;=16),"Reel / Short",IF(M632&gt;=11,"Carousel","Kart testi"))))</x:f>
        <x:v>Kart testi</x:v>
      </x:c>
      <x:c r="U632" s="46" t="str">
        <x:v>Duygusal karşıtlık paylaşma ve kişisel anlatma isteğini yükseltiyor; ilk saniye etkisi geliştirilmeli.</x:v>
      </x:c>
      <x:c r="V632" s="46" t="str">
        <x:f>IF(Q632&lt;=3,"Kaynak kontrolü şart",IF(Q632=4,"Kaynak kontrolü önerilir","Standart doğrulama"))</x:f>
        <x:v>Kaynak kontrolü önerilir</x:v>
      </x:c>
    </x:row>
    <x:row r="633" ht="24" customHeight="1">
      <x:c r="A633" s="48" t="n">
        <x:f>COUNTIF($R$2:$R$751,"&gt;"&amp;R633)+COUNTIF($R$2:R633,R633)</x:f>
        <x:v>632</x:v>
      </x:c>
      <x:c r="B633" s="48" t="n">
        <x:v>1627</x:v>
      </x:c>
      <x:c r="C633" s="46" t="str">
        <x:v>Travmanın dili — sözsüz yaranın kökeni</x:v>
      </x:c>
      <x:c r="D633" s="34" t="str">
        <x:v>Psikoloji</x:v>
      </x:c>
      <x:c r="E633" s="34" t="str">
        <x:v>Psikoloji</x:v>
      </x:c>
      <x:c r="F633" s="34" t="str">
        <x:v>Travma ve İyileşme</x:v>
      </x:c>
      <x:c r="G633" s="34" t="str">
        <x:v>Judith Herman</x:v>
      </x:c>
      <x:c r="H633" s="50" t="str">
        <x:v>1</x:v>
      </x:c>
      <x:c r="I633" s="50" t="str">
        <x:v>Temel</x:v>
      </x:c>
      <x:c r="J633" s="51" t="n">
        <x:v>9</x:v>
      </x:c>
      <x:c r="K633" s="51" t="n">
        <x:v>9</x:v>
      </x:c>
      <x:c r="L633" s="51" t="n">
        <x:v>10</x:v>
      </x:c>
      <x:c r="M633" s="51" t="n">
        <x:v>7</x:v>
      </x:c>
      <x:c r="N633" s="51" t="n">
        <x:v>7</x:v>
      </x:c>
      <x:c r="O633" s="51" t="n">
        <x:v>7</x:v>
      </x:c>
      <x:c r="P633" s="51" t="n">
        <x:v>14</x:v>
      </x:c>
      <x:c r="Q633" s="51" t="n">
        <x:v>4</x:v>
      </x:c>
      <x:c r="R633" s="52" t="n">
        <x:f>SUM(J633:Q633)</x:f>
        <x:v>67</x:v>
      </x:c>
      <x:c r="S633" s="50" t="str">
        <x:f>IF(R633&gt;='Rubrik'!$B$17,"Öncelikli video",IF(R633&gt;='Rubrik'!$B$18,"Video kuyruğu",IF(R633&gt;='Rubrik'!$B$19,"Revize et",IF(R633&gt;='Rubrik'!$B$20,"Kartla test","Düşük öncelik"))))</x:f>
        <x:v>Düşük öncelik</x:v>
      </x:c>
      <x:c r="T633" s="50" t="str">
        <x:f>IF(AND(R633&gt;=85,P633&gt;=16,M633&gt;=12,L633&gt;=12),"Reel + Carousel",IF(AND(R633&gt;=85,P633&gt;=16,N633&gt;=8),"Soru odaklı Reel",IF(AND(R633&gt;=85,P633&gt;=16),"Reel / Short",IF(M633&gt;=11,"Carousel","Kart testi"))))</x:f>
        <x:v>Kart testi</x:v>
      </x:c>
      <x:c r="U633" s="46" t="str">
        <x:v>Duygusal karşıtlık paylaşma ve kişisel anlatma isteğini yükseltiyor; ilk saniye etkisi geliştirilmeli.</x:v>
      </x:c>
      <x:c r="V633" s="46" t="str">
        <x:f>IF(Q633&lt;=3,"Kaynak kontrolü şart",IF(Q633=4,"Kaynak kontrolü önerilir","Standart doğrulama"))</x:f>
        <x:v>Kaynak kontrolü önerilir</x:v>
      </x:c>
    </x:row>
    <x:row r="634" ht="24" customHeight="1">
      <x:c r="A634" s="48" t="n">
        <x:f>COUNTIF($R$2:$R$751,"&gt;"&amp;R634)+COUNTIF($R$2:R634,R634)</x:f>
        <x:v>633</x:v>
      </x:c>
      <x:c r="B634" s="48" t="n">
        <x:v>1631</x:v>
      </x:c>
      <x:c r="C634" s="46" t="str">
        <x:v>Stres ve bağışıklık — neden duygular fizyoloji değiştirir</x:v>
      </x:c>
      <x:c r="D634" s="34" t="str">
        <x:v>Sağlık</x:v>
      </x:c>
      <x:c r="E634" s="34" t="str">
        <x:v>Sağlık</x:v>
      </x:c>
      <x:c r="F634" s="34" t="str">
        <x:v>Bedenin Hayır Demesi</x:v>
      </x:c>
      <x:c r="G634" s="34" t="str">
        <x:v>Gabor Maté</x:v>
      </x:c>
      <x:c r="H634" s="50" t="str">
        <x:v>1</x:v>
      </x:c>
      <x:c r="I634" s="50" t="str">
        <x:v>Temel</x:v>
      </x:c>
      <x:c r="J634" s="51" t="n">
        <x:v>9</x:v>
      </x:c>
      <x:c r="K634" s="51" t="n">
        <x:v>8</x:v>
      </x:c>
      <x:c r="L634" s="51" t="n">
        <x:v>10</x:v>
      </x:c>
      <x:c r="M634" s="51" t="n">
        <x:v>9</x:v>
      </x:c>
      <x:c r="N634" s="51" t="n">
        <x:v>7</x:v>
      </x:c>
      <x:c r="O634" s="51" t="n">
        <x:v>7</x:v>
      </x:c>
      <x:c r="P634" s="51" t="n">
        <x:v>14</x:v>
      </x:c>
      <x:c r="Q634" s="51" t="n">
        <x:v>3</x:v>
      </x:c>
      <x:c r="R634" s="52" t="n">
        <x:f>SUM(J634:Q634)</x:f>
        <x:v>67</x:v>
      </x:c>
      <x:c r="S634" s="50" t="str">
        <x:f>IF(R634&gt;='Rubrik'!$B$17,"Öncelikli video",IF(R634&gt;='Rubrik'!$B$18,"Video kuyruğu",IF(R634&gt;='Rubrik'!$B$19,"Revize et",IF(R634&gt;='Rubrik'!$B$20,"Kartla test","Düşük öncelik"))))</x:f>
        <x:v>Düşük öncelik</x:v>
      </x:c>
      <x:c r="T634" s="50" t="str">
        <x:f>IF(AND(R634&gt;=85,P634&gt;=16,M634&gt;=12,L634&gt;=12),"Reel + Carousel",IF(AND(R634&gt;=85,P634&gt;=16,N634&gt;=8),"Soru odaklı Reel",IF(AND(R634&gt;=85,P634&gt;=16),"Reel / Short",IF(M634&gt;=11,"Carousel","Kart testi"))))</x:f>
        <x:v>Kart testi</x:v>
      </x:c>
      <x:c r="U634" s="46" t="str">
        <x:v>Duygusal karşıtlık paylaşma ve kişisel anlatma isteğini yükseltiyor; ilk saniye etkisi geliştirilmeli.</x:v>
      </x:c>
      <x:c r="V634" s="46" t="str">
        <x:f>IF(Q634&lt;=3,"Kaynak kontrolü şart",IF(Q634=4,"Kaynak kontrolü önerilir","Standart doğrulama"))</x:f>
        <x:v>Kaynak kontrolü şart</x:v>
      </x:c>
    </x:row>
    <x:row r="635" ht="24" customHeight="1">
      <x:c r="A635" s="48" t="n">
        <x:f>COUNTIF($R$2:$R$751,"&gt;"&amp;R635)+COUNTIF($R$2:R635,R635)</x:f>
        <x:v>634</x:v>
      </x:c>
      <x:c r="B635" s="48" t="n">
        <x:v>1636</x:v>
      </x:c>
      <x:c r="C635" s="46" t="str">
        <x:v>Bağımlılık bir seçim değil — acının dili</x:v>
      </x:c>
      <x:c r="D635" s="34" t="str">
        <x:v>Finans</x:v>
      </x:c>
      <x:c r="E635" s="34" t="str">
        <x:v>Satış</x:v>
      </x:c>
      <x:c r="F635" s="34" t="str">
        <x:v>Her Şey Gerçek Olabilir</x:v>
      </x:c>
      <x:c r="G635" s="34" t="str">
        <x:v>Gabor Maté</x:v>
      </x:c>
      <x:c r="H635" s="50" t="str">
        <x:v>1</x:v>
      </x:c>
      <x:c r="I635" s="50" t="str">
        <x:v>Temel</x:v>
      </x:c>
      <x:c r="J635" s="51" t="n">
        <x:v>9</x:v>
      </x:c>
      <x:c r="K635" s="51" t="n">
        <x:v>8</x:v>
      </x:c>
      <x:c r="L635" s="51" t="n">
        <x:v>10</x:v>
      </x:c>
      <x:c r="M635" s="51" t="n">
        <x:v>9</x:v>
      </x:c>
      <x:c r="N635" s="51" t="n">
        <x:v>7</x:v>
      </x:c>
      <x:c r="O635" s="51" t="n">
        <x:v>6</x:v>
      </x:c>
      <x:c r="P635" s="51" t="n">
        <x:v>14</x:v>
      </x:c>
      <x:c r="Q635" s="51" t="n">
        <x:v>4</x:v>
      </x:c>
      <x:c r="R635" s="52" t="n">
        <x:f>SUM(J635:Q635)</x:f>
        <x:v>67</x:v>
      </x:c>
      <x:c r="S635" s="50" t="str">
        <x:f>IF(R635&gt;='Rubrik'!$B$17,"Öncelikli video",IF(R635&gt;='Rubrik'!$B$18,"Video kuyruğu",IF(R635&gt;='Rubrik'!$B$19,"Revize et",IF(R635&gt;='Rubrik'!$B$20,"Kartla test","Düşük öncelik"))))</x:f>
        <x:v>Düşük öncelik</x:v>
      </x:c>
      <x:c r="T635" s="50" t="str">
        <x:f>IF(AND(R635&gt;=85,P635&gt;=16,M635&gt;=12,L635&gt;=12),"Reel + Carousel",IF(AND(R635&gt;=85,P635&gt;=16,N635&gt;=8),"Soru odaklı Reel",IF(AND(R635&gt;=85,P635&gt;=16),"Reel / Short",IF(M635&gt;=11,"Carousel","Kart testi"))))</x:f>
        <x:v>Kart testi</x:v>
      </x:c>
      <x:c r="U635" s="46" t="str">
        <x:v>Duygusal karşıtlık paylaşma ve kişisel anlatma isteğini yükseltiyor; olay örgüsü geliştirilmeli.</x:v>
      </x:c>
      <x:c r="V635" s="46" t="str">
        <x:f>IF(Q635&lt;=3,"Kaynak kontrolü şart",IF(Q635=4,"Kaynak kontrolü önerilir","Standart doğrulama"))</x:f>
        <x:v>Kaynak kontrolü önerilir</x:v>
      </x:c>
    </x:row>
    <x:row r="636" ht="24" customHeight="1">
      <x:c r="A636" s="48" t="n">
        <x:f>COUNTIF($R$2:$R$751,"&gt;"&amp;R636)+COUNTIF($R$2:R636,R636)</x:f>
        <x:v>635</x:v>
      </x:c>
      <x:c r="B636" s="48" t="n">
        <x:v>1648</x:v>
      </x:c>
      <x:c r="C636" s="46" t="str">
        <x:v>Duygu dili — adlandıramadığınızı yönetemezsiniz</x:v>
      </x:c>
      <x:c r="D636" s="34" t="str">
        <x:v>Psikoloji</x:v>
      </x:c>
      <x:c r="E636" s="34" t="str">
        <x:v>Duygular</x:v>
      </x:c>
      <x:c r="F636" s="34" t="str">
        <x:v>Kalbin Haritası</x:v>
      </x:c>
      <x:c r="G636" s="34" t="str">
        <x:v>Brené Brown</x:v>
      </x:c>
      <x:c r="H636" s="50" t="str">
        <x:v>1</x:v>
      </x:c>
      <x:c r="I636" s="50" t="str">
        <x:v>Temel</x:v>
      </x:c>
      <x:c r="J636" s="51" t="n">
        <x:v>10</x:v>
      </x:c>
      <x:c r="K636" s="51" t="n">
        <x:v>7</x:v>
      </x:c>
      <x:c r="L636" s="51" t="n">
        <x:v>10</x:v>
      </x:c>
      <x:c r="M636" s="51" t="n">
        <x:v>9</x:v>
      </x:c>
      <x:c r="N636" s="51" t="n">
        <x:v>7</x:v>
      </x:c>
      <x:c r="O636" s="51" t="n">
        <x:v>5</x:v>
      </x:c>
      <x:c r="P636" s="51" t="n">
        <x:v>14</x:v>
      </x:c>
      <x:c r="Q636" s="51" t="n">
        <x:v>5</x:v>
      </x:c>
      <x:c r="R636" s="52" t="n">
        <x:f>SUM(J636:Q636)</x:f>
        <x:v>67</x:v>
      </x:c>
      <x:c r="S636" s="50" t="str">
        <x:f>IF(R636&gt;='Rubrik'!$B$17,"Öncelikli video",IF(R636&gt;='Rubrik'!$B$18,"Video kuyruğu",IF(R636&gt;='Rubrik'!$B$19,"Revize et",IF(R636&gt;='Rubrik'!$B$20,"Kartla test","Düşük öncelik"))))</x:f>
        <x:v>Düşük öncelik</x:v>
      </x:c>
      <x:c r="T636" s="50" t="str">
        <x:f>IF(AND(R636&gt;=85,P636&gt;=16,M636&gt;=12,L636&gt;=12),"Reel + Carousel",IF(AND(R636&gt;=85,P636&gt;=16,N636&gt;=8),"Soru odaklı Reel",IF(AND(R636&gt;=85,P636&gt;=16),"Reel / Short",IF(M636&gt;=11,"Carousel","Kart testi"))))</x:f>
        <x:v>Kart testi</x:v>
      </x:c>
      <x:c r="U636" s="46" t="str">
        <x:v>Somut sahne ve sayısal ayrıntı güçlü bir video açılışı sağlıyor; olay örgüsü geliştirilmeli.</x:v>
      </x:c>
      <x:c r="V636" s="46" t="str">
        <x:f>IF(Q636&lt;=3,"Kaynak kontrolü şart",IF(Q636=4,"Kaynak kontrolü önerilir","Standart doğrulama"))</x:f>
        <x:v>Standart doğrulama</x:v>
      </x:c>
    </x:row>
    <x:row r="637" ht="24" customHeight="1">
      <x:c r="A637" s="48" t="n">
        <x:f>COUNTIF($R$2:$R$751,"&gt;"&amp;R637)+COUNTIF($R$2:R637,R637)</x:f>
        <x:v>636</x:v>
      </x:c>
      <x:c r="B637" s="48" t="n">
        <x:v>1657</x:v>
      </x:c>
      <x:c r="C637" s="46" t="str">
        <x:v>Diyet kültürünün reddi — besinleri ahlaki kategoriden çıkarmak</x:v>
      </x:c>
      <x:c r="D637" s="34" t="str">
        <x:v>Sağlık</x:v>
      </x:c>
      <x:c r="E637" s="34" t="str">
        <x:v>Sağlık</x:v>
      </x:c>
      <x:c r="F637" s="34" t="str">
        <x:v>İçgüdüsel Yeme</x:v>
      </x:c>
      <x:c r="G637" s="34" t="str">
        <x:v>Evelyn Tribole</x:v>
      </x:c>
      <x:c r="H637" s="50" t="str">
        <x:v>1</x:v>
      </x:c>
      <x:c r="I637" s="50" t="str">
        <x:v>Temel</x:v>
      </x:c>
      <x:c r="J637" s="51" t="n">
        <x:v>9</x:v>
      </x:c>
      <x:c r="K637" s="51" t="n">
        <x:v>7</x:v>
      </x:c>
      <x:c r="L637" s="51" t="n">
        <x:v>10</x:v>
      </x:c>
      <x:c r="M637" s="51" t="n">
        <x:v>10</x:v>
      </x:c>
      <x:c r="N637" s="51" t="n">
        <x:v>7</x:v>
      </x:c>
      <x:c r="O637" s="51" t="n">
        <x:v>6</x:v>
      </x:c>
      <x:c r="P637" s="51" t="n">
        <x:v>14</x:v>
      </x:c>
      <x:c r="Q637" s="51" t="n">
        <x:v>4</x:v>
      </x:c>
      <x:c r="R637" s="52" t="n">
        <x:f>SUM(J637:Q637)</x:f>
        <x:v>67</x:v>
      </x:c>
      <x:c r="S637" s="50" t="str">
        <x:f>IF(R637&gt;='Rubrik'!$B$17,"Öncelikli video",IF(R637&gt;='Rubrik'!$B$18,"Video kuyruğu",IF(R637&gt;='Rubrik'!$B$19,"Revize et",IF(R637&gt;='Rubrik'!$B$20,"Kartla test","Düşük öncelik"))))</x:f>
        <x:v>Düşük öncelik</x:v>
      </x:c>
      <x:c r="T637" s="50" t="str">
        <x:f>IF(AND(R637&gt;=85,P637&gt;=16,M637&gt;=12,L637&gt;=12),"Reel + Carousel",IF(AND(R637&gt;=85,P637&gt;=16,N637&gt;=8),"Soru odaklı Reel",IF(AND(R637&gt;=85,P637&gt;=16),"Reel / Short",IF(M637&gt;=11,"Carousel","Kart testi"))))</x:f>
        <x:v>Kart testi</x:v>
      </x:c>
      <x:c r="U637" s="46" t="str">
        <x:v>Duygusal karşıtlık paylaşma ve kişisel anlatma isteğini yükseltiyor; olay örgüsü geliştirilmeli.</x:v>
      </x:c>
      <x:c r="V637" s="46" t="str">
        <x:f>IF(Q637&lt;=3,"Kaynak kontrolü şart",IF(Q637=4,"Kaynak kontrolü önerilir","Standart doğrulama"))</x:f>
        <x:v>Kaynak kontrolü önerilir</x:v>
      </x:c>
    </x:row>
    <x:row r="638" ht="24" customHeight="1">
      <x:c r="A638" s="48" t="n">
        <x:f>COUNTIF($R$2:$R$751,"&gt;"&amp;R638)+COUNTIF($R$2:R638,R638)</x:f>
        <x:v>637</x:v>
      </x:c>
      <x:c r="B638" s="48" t="n">
        <x:v>1661</x:v>
      </x:c>
      <x:c r="C638" s="46" t="str">
        <x:v>Taahhüt kültürü — seçenekler çağında derinliği bulmak</x:v>
      </x:c>
      <x:c r="D638" s="34" t="str">
        <x:v>Felsefe</x:v>
      </x:c>
      <x:c r="E638" s="34" t="str">
        <x:v>Felsefe</x:v>
      </x:c>
      <x:c r="F638" s="34" t="str">
        <x:v>Yeniden Doğmak</x:v>
      </x:c>
      <x:c r="G638" s="34" t="str">
        <x:v>David Brooks</x:v>
      </x:c>
      <x:c r="H638" s="50" t="str">
        <x:v>1</x:v>
      </x:c>
      <x:c r="I638" s="50" t="str">
        <x:v>Temel</x:v>
      </x:c>
      <x:c r="J638" s="51" t="n">
        <x:v>9</x:v>
      </x:c>
      <x:c r="K638" s="51" t="n">
        <x:v>9</x:v>
      </x:c>
      <x:c r="L638" s="51" t="n">
        <x:v>10</x:v>
      </x:c>
      <x:c r="M638" s="51" t="n">
        <x:v>8</x:v>
      </x:c>
      <x:c r="N638" s="51" t="n">
        <x:v>7</x:v>
      </x:c>
      <x:c r="O638" s="51" t="n">
        <x:v>6</x:v>
      </x:c>
      <x:c r="P638" s="51" t="n">
        <x:v>14</x:v>
      </x:c>
      <x:c r="Q638" s="51" t="n">
        <x:v>4</x:v>
      </x:c>
      <x:c r="R638" s="52" t="n">
        <x:f>SUM(J638:Q638)</x:f>
        <x:v>67</x:v>
      </x:c>
      <x:c r="S638" s="50" t="str">
        <x:f>IF(R638&gt;='Rubrik'!$B$17,"Öncelikli video",IF(R638&gt;='Rubrik'!$B$18,"Video kuyruğu",IF(R638&gt;='Rubrik'!$B$19,"Revize et",IF(R638&gt;='Rubrik'!$B$20,"Kartla test","Düşük öncelik"))))</x:f>
        <x:v>Düşük öncelik</x:v>
      </x:c>
      <x:c r="T638" s="50" t="str">
        <x:f>IF(AND(R638&gt;=85,P638&gt;=16,M638&gt;=12,L638&gt;=12),"Reel + Carousel",IF(AND(R638&gt;=85,P638&gt;=16,N638&gt;=8),"Soru odaklı Reel",IF(AND(R638&gt;=85,P638&gt;=16),"Reel / Short",IF(M638&gt;=11,"Carousel","Kart testi"))))</x:f>
        <x:v>Kart testi</x:v>
      </x:c>
      <x:c r="U638" s="46" t="str">
        <x:v>Duygusal karşıtlık paylaşma ve kişisel anlatma isteğini yükseltiyor; olay örgüsü geliştirilmeli.</x:v>
      </x:c>
      <x:c r="V638" s="46" t="str">
        <x:f>IF(Q638&lt;=3,"Kaynak kontrolü şart",IF(Q638=4,"Kaynak kontrolü önerilir","Standart doğrulama"))</x:f>
        <x:v>Kaynak kontrolü önerilir</x:v>
      </x:c>
    </x:row>
    <x:row r="639" ht="24" customHeight="1">
      <x:c r="A639" s="48" t="n">
        <x:f>COUNTIF($R$2:$R$751,"&gt;"&amp;R639)+COUNTIF($R$2:R639,R639)</x:f>
        <x:v>638</x:v>
      </x:c>
      <x:c r="B639" s="48" t="n">
        <x:v>1665</x:v>
      </x:c>
      <x:c r="C639" s="46" t="str">
        <x:v>Şimdiki an — tek gerçek ev</x:v>
      </x:c>
      <x:c r="D639" s="34" t="str">
        <x:v>Psikoloji</x:v>
      </x:c>
      <x:c r="E639" s="34" t="str">
        <x:v>Farkındalık</x:v>
      </x:c>
      <x:c r="F639" s="34" t="str">
        <x:v>Yeni Toprak</x:v>
      </x:c>
      <x:c r="G639" s="34" t="str">
        <x:v>Eckhart Tolle</x:v>
      </x:c>
      <x:c r="H639" s="50" t="str">
        <x:v>1</x:v>
      </x:c>
      <x:c r="I639" s="50" t="str">
        <x:v>Temel</x:v>
      </x:c>
      <x:c r="J639" s="51" t="n">
        <x:v>9</x:v>
      </x:c>
      <x:c r="K639" s="51" t="n">
        <x:v>8</x:v>
      </x:c>
      <x:c r="L639" s="51" t="n">
        <x:v>10</x:v>
      </x:c>
      <x:c r="M639" s="51" t="n">
        <x:v>9</x:v>
      </x:c>
      <x:c r="N639" s="51" t="n">
        <x:v>7</x:v>
      </x:c>
      <x:c r="O639" s="51" t="n">
        <x:v>6</x:v>
      </x:c>
      <x:c r="P639" s="51" t="n">
        <x:v>14</x:v>
      </x:c>
      <x:c r="Q639" s="51" t="n">
        <x:v>4</x:v>
      </x:c>
      <x:c r="R639" s="52" t="n">
        <x:f>SUM(J639:Q639)</x:f>
        <x:v>67</x:v>
      </x:c>
      <x:c r="S639" s="50" t="str">
        <x:f>IF(R639&gt;='Rubrik'!$B$17,"Öncelikli video",IF(R639&gt;='Rubrik'!$B$18,"Video kuyruğu",IF(R639&gt;='Rubrik'!$B$19,"Revize et",IF(R639&gt;='Rubrik'!$B$20,"Kartla test","Düşük öncelik"))))</x:f>
        <x:v>Düşük öncelik</x:v>
      </x:c>
      <x:c r="T639" s="50" t="str">
        <x:f>IF(AND(R639&gt;=85,P639&gt;=16,M639&gt;=12,L639&gt;=12),"Reel + Carousel",IF(AND(R639&gt;=85,P639&gt;=16,N639&gt;=8),"Soru odaklı Reel",IF(AND(R639&gt;=85,P639&gt;=16),"Reel / Short",IF(M639&gt;=11,"Carousel","Kart testi"))))</x:f>
        <x:v>Kart testi</x:v>
      </x:c>
      <x:c r="U639" s="46" t="str">
        <x:v>Duygusal karşıtlık paylaşma ve kişisel anlatma isteğini yükseltiyor; olay örgüsü geliştirilmeli.</x:v>
      </x:c>
      <x:c r="V639" s="46" t="str">
        <x:f>IF(Q639&lt;=3,"Kaynak kontrolü şart",IF(Q639=4,"Kaynak kontrolü önerilir","Standart doğrulama"))</x:f>
        <x:v>Kaynak kontrolü önerilir</x:v>
      </x:c>
    </x:row>
    <x:row r="640" ht="24" customHeight="1">
      <x:c r="A640" s="48" t="n">
        <x:f>COUNTIF($R$2:$R$751,"&gt;"&amp;R640)+COUNTIF($R$2:R640,R640)</x:f>
        <x:v>639</x:v>
      </x:c>
      <x:c r="B640" s="48" t="n">
        <x:v>1679</x:v>
      </x:c>
      <x:c r="C640" s="46" t="str">
        <x:v>On dakika — küçük bir pratiğin büyük dönüşümü</x:v>
      </x:c>
      <x:c r="D640" s="34" t="str">
        <x:v>Psikoloji</x:v>
      </x:c>
      <x:c r="E640" s="34" t="str">
        <x:v>Farkındalık</x:v>
      </x:c>
      <x:c r="F640" s="34" t="str">
        <x:v>Yeni Başlayanlar İçin Meditasyon</x:v>
      </x:c>
      <x:c r="G640" s="34" t="str">
        <x:v>Andy Puddicombe</x:v>
      </x:c>
      <x:c r="H640" s="50" t="str">
        <x:v>1</x:v>
      </x:c>
      <x:c r="I640" s="50" t="str">
        <x:v>Temel</x:v>
      </x:c>
      <x:c r="J640" s="51" t="n">
        <x:v>9</x:v>
      </x:c>
      <x:c r="K640" s="51" t="n">
        <x:v>8</x:v>
      </x:c>
      <x:c r="L640" s="51" t="n">
        <x:v>10</x:v>
      </x:c>
      <x:c r="M640" s="51" t="n">
        <x:v>9</x:v>
      </x:c>
      <x:c r="N640" s="51" t="n">
        <x:v>7</x:v>
      </x:c>
      <x:c r="O640" s="51" t="n">
        <x:v>6</x:v>
      </x:c>
      <x:c r="P640" s="51" t="n">
        <x:v>14</x:v>
      </x:c>
      <x:c r="Q640" s="51" t="n">
        <x:v>4</x:v>
      </x:c>
      <x:c r="R640" s="52" t="n">
        <x:f>SUM(J640:Q640)</x:f>
        <x:v>67</x:v>
      </x:c>
      <x:c r="S640" s="50" t="str">
        <x:f>IF(R640&gt;='Rubrik'!$B$17,"Öncelikli video",IF(R640&gt;='Rubrik'!$B$18,"Video kuyruğu",IF(R640&gt;='Rubrik'!$B$19,"Revize et",IF(R640&gt;='Rubrik'!$B$20,"Kartla test","Düşük öncelik"))))</x:f>
        <x:v>Düşük öncelik</x:v>
      </x:c>
      <x:c r="T640" s="50" t="str">
        <x:f>IF(AND(R640&gt;=85,P640&gt;=16,M640&gt;=12,L640&gt;=12),"Reel + Carousel",IF(AND(R640&gt;=85,P640&gt;=16,N640&gt;=8),"Soru odaklı Reel",IF(AND(R640&gt;=85,P640&gt;=16),"Reel / Short",IF(M640&gt;=11,"Carousel","Kart testi"))))</x:f>
        <x:v>Kart testi</x:v>
      </x:c>
      <x:c r="U640" s="46" t="str">
        <x:v>Duygusal karşıtlık paylaşma ve kişisel anlatma isteğini yükseltiyor; olay örgüsü geliştirilmeli.</x:v>
      </x:c>
      <x:c r="V640" s="46" t="str">
        <x:f>IF(Q640&lt;=3,"Kaynak kontrolü şart",IF(Q640=4,"Kaynak kontrolü önerilir","Standart doğrulama"))</x:f>
        <x:v>Kaynak kontrolü önerilir</x:v>
      </x:c>
    </x:row>
    <x:row r="641" ht="24" customHeight="1">
      <x:c r="A641" s="48" t="n">
        <x:f>COUNTIF($R$2:$R$751,"&gt;"&amp;R641)+COUNTIF($R$2:R641,R641)</x:f>
        <x:v>640</x:v>
      </x:c>
      <x:c r="B641" s="48" t="n">
        <x:v>1081</x:v>
      </x:c>
      <x:c r="C641" s="46" t="str">
        <x:v>Kıtlık ve sınırlı üretim yanılsaması</x:v>
      </x:c>
      <x:c r="D641" s="34" t="str">
        <x:v>Psikoloji</x:v>
      </x:c>
      <x:c r="E641" s="34" t="str">
        <x:v>Psikoloji</x:v>
      </x:c>
      <x:c r="F641" s="34" t="str">
        <x:v>Influence</x:v>
      </x:c>
      <x:c r="G641" s="34" t="str">
        <x:v>Robert Cialdini</x:v>
      </x:c>
      <x:c r="H641" s="50" t="str">
        <x:v>1</x:v>
      </x:c>
      <x:c r="I641" s="50" t="str">
        <x:v>Temel</x:v>
      </x:c>
      <x:c r="J641" s="51" t="n">
        <x:v>12</x:v>
      </x:c>
      <x:c r="K641" s="51" t="n">
        <x:v>6</x:v>
      </x:c>
      <x:c r="L641" s="51" t="n">
        <x:v>10</x:v>
      </x:c>
      <x:c r="M641" s="51" t="n">
        <x:v>12</x:v>
      </x:c>
      <x:c r="N641" s="51" t="n">
        <x:v>8</x:v>
      </x:c>
      <x:c r="O641" s="51" t="n">
        <x:v>5</x:v>
      </x:c>
      <x:c r="P641" s="51" t="n">
        <x:v>13</x:v>
      </x:c>
      <x:c r="Q641" s="51" t="n">
        <x:v>1</x:v>
      </x:c>
      <x:c r="R641" s="52" t="n">
        <x:f>SUM(J641:Q641)</x:f>
        <x:v>67</x:v>
      </x:c>
      <x:c r="S641" s="50" t="str">
        <x:f>IF(R641&gt;='Rubrik'!$B$17,"Öncelikli video",IF(R641&gt;='Rubrik'!$B$18,"Video kuyruğu",IF(R641&gt;='Rubrik'!$B$19,"Revize et",IF(R641&gt;='Rubrik'!$B$20,"Kartla test","Düşük öncelik"))))</x:f>
        <x:v>Düşük öncelik</x:v>
      </x:c>
      <x:c r="T641" s="50" t="str">
        <x:f>IF(AND(R641&gt;=85,P641&gt;=16,M641&gt;=12,L641&gt;=12),"Reel + Carousel",IF(AND(R641&gt;=85,P641&gt;=16,N641&gt;=8),"Soru odaklı Reel",IF(AND(R641&gt;=85,P641&gt;=16),"Reel / Short",IF(M641&gt;=11,"Carousel","Kart testi"))))</x:f>
        <x:v>Carousel</x:v>
      </x:c>
      <x:c r="U641" s="46" t="str">
        <x:v>Son üç ürün mesajı tanıdık ve yararlı; Amazon'a bağlanan satış artışı kanıtsız ve fazla kesin.</x:v>
      </x:c>
      <x:c r="V641" s="46" t="str">
        <x:f>IF(Q641&lt;=3,"Kaynak kontrolü şart",IF(Q641=4,"Kaynak kontrolü önerilir","Standart doğrulama"))</x:f>
        <x:v>Kaynak kontrolü şart</x:v>
      </x:c>
    </x:row>
    <x:row r="642" ht="24" customHeight="1">
      <x:c r="A642" s="48" t="n">
        <x:f>COUNTIF($R$2:$R$751,"&gt;"&amp;R642)+COUNTIF($R$2:R642,R642)</x:f>
        <x:v>641</x:v>
      </x:c>
      <x:c r="B642" s="48" t="n">
        <x:v>1465</x:v>
      </x:c>
      <x:c r="C642" s="46" t="str">
        <x:v>TED sahnesindeki üç sır</x:v>
      </x:c>
      <x:c r="D642" s="34" t="str">
        <x:v>İletişim</x:v>
      </x:c>
      <x:c r="E642" s="34" t="str">
        <x:v>İletişim</x:v>
      </x:c>
      <x:c r="F642" s="34" t="str">
        <x:v>Etkileyici Konuşma</x:v>
      </x:c>
      <x:c r="G642" s="34" t="str">
        <x:v>Carmine Gallo</x:v>
      </x:c>
      <x:c r="H642" s="50" t="str">
        <x:v>1</x:v>
      </x:c>
      <x:c r="I642" s="50" t="str">
        <x:v>Temel</x:v>
      </x:c>
      <x:c r="J642" s="51" t="n">
        <x:v>10</x:v>
      </x:c>
      <x:c r="K642" s="51" t="n">
        <x:v>4</x:v>
      </x:c>
      <x:c r="L642" s="51" t="n">
        <x:v>10</x:v>
      </x:c>
      <x:c r="M642" s="51" t="n">
        <x:v>14</x:v>
      </x:c>
      <x:c r="N642" s="51" t="n">
        <x:v>7</x:v>
      </x:c>
      <x:c r="O642" s="51" t="n">
        <x:v>5</x:v>
      </x:c>
      <x:c r="P642" s="51" t="n">
        <x:v>13</x:v>
      </x:c>
      <x:c r="Q642" s="51" t="n">
        <x:v>4</x:v>
      </x:c>
      <x:c r="R642" s="52" t="n">
        <x:f>SUM(J642:Q642)</x:f>
        <x:v>67</x:v>
      </x:c>
      <x:c r="S642" s="50" t="str">
        <x:f>IF(R642&gt;='Rubrik'!$B$17,"Öncelikli video",IF(R642&gt;='Rubrik'!$B$18,"Video kuyruğu",IF(R642&gt;='Rubrik'!$B$19,"Revize et",IF(R642&gt;='Rubrik'!$B$20,"Kartla test","Düşük öncelik"))))</x:f>
        <x:v>Düşük öncelik</x:v>
      </x:c>
      <x:c r="T642" s="50" t="str">
        <x:f>IF(AND(R642&gt;=85,P642&gt;=16,M642&gt;=12,L642&gt;=12),"Reel + Carousel",IF(AND(R642&gt;=85,P642&gt;=16,N642&gt;=8),"Soru odaklı Reel",IF(AND(R642&gt;=85,P642&gt;=16),"Reel / Short",IF(M642&gt;=11,"Carousel","Kart testi"))))</x:f>
        <x:v>Carousel</x:v>
      </x:c>
      <x:c r="U642" s="46" t="str">
        <x:v>Üç TED sırrı üreticilere hazır kontrol listesi verir; bilinirliği nedeniyle özgünlük ve duygu orta kalıyor.</x:v>
      </x:c>
      <x:c r="V642" s="46" t="str">
        <x:f>IF(Q642&lt;=3,"Kaynak kontrolü şart",IF(Q642=4,"Kaynak kontrolü önerilir","Standart doğrulama"))</x:f>
        <x:v>Kaynak kontrolü önerilir</x:v>
      </x:c>
    </x:row>
    <x:row r="643" ht="24" customHeight="1">
      <x:c r="A643" s="48" t="n">
        <x:f>COUNTIF($R$2:$R$751,"&gt;"&amp;R643)+COUNTIF($R$2:R643,R643)</x:f>
        <x:v>642</x:v>
      </x:c>
      <x:c r="B643" s="48" t="n">
        <x:v>1554</x:v>
      </x:c>
      <x:c r="C643" s="46" t="str">
        <x:v>Sonuçlara odaklanma — ego mu yoksa ekip mi kazansın</x:v>
      </x:c>
      <x:c r="D643" s="34" t="str">
        <x:v>Liderlik</x:v>
      </x:c>
      <x:c r="E643" s="34" t="str">
        <x:v>Liderlik</x:v>
      </x:c>
      <x:c r="F643" s="34" t="str">
        <x:v>The Five Dysfunctions of a Team</x:v>
      </x:c>
      <x:c r="G643" s="34" t="str">
        <x:v>Patrick Lencioni</x:v>
      </x:c>
      <x:c r="H643" s="50" t="str">
        <x:v>1</x:v>
      </x:c>
      <x:c r="I643" s="50" t="str">
        <x:v>Temel</x:v>
      </x:c>
      <x:c r="J643" s="51" t="n">
        <x:v>10</x:v>
      </x:c>
      <x:c r="K643" s="51" t="n">
        <x:v>4</x:v>
      </x:c>
      <x:c r="L643" s="51" t="n">
        <x:v>10</x:v>
      </x:c>
      <x:c r="M643" s="51" t="n">
        <x:v>13</x:v>
      </x:c>
      <x:c r="N643" s="51" t="n">
        <x:v>7</x:v>
      </x:c>
      <x:c r="O643" s="51" t="n">
        <x:v>5</x:v>
      </x:c>
      <x:c r="P643" s="51" t="n">
        <x:v>13</x:v>
      </x:c>
      <x:c r="Q643" s="51" t="n">
        <x:v>5</x:v>
      </x:c>
      <x:c r="R643" s="52" t="n">
        <x:f>SUM(J643:Q643)</x:f>
        <x:v>67</x:v>
      </x:c>
      <x:c r="S643" s="50" t="str">
        <x:f>IF(R643&gt;='Rubrik'!$B$17,"Öncelikli video",IF(R643&gt;='Rubrik'!$B$18,"Video kuyruğu",IF(R643&gt;='Rubrik'!$B$19,"Revize et",IF(R643&gt;='Rubrik'!$B$20,"Kartla test","Düşük öncelik"))))</x:f>
        <x:v>Düşük öncelik</x:v>
      </x:c>
      <x:c r="T643" s="50" t="str">
        <x:f>IF(AND(R643&gt;=85,P643&gt;=16,M643&gt;=12,L643&gt;=12),"Reel + Carousel",IF(AND(R643&gt;=85,P643&gt;=16,N643&gt;=8),"Soru odaklı Reel",IF(AND(R643&gt;=85,P643&gt;=16),"Reel / Short",IF(M643&gt;=11,"Carousel","Kart testi"))))</x:f>
        <x:v>Carousel</x:v>
      </x:c>
      <x:c r="U643" s="46" t="str">
        <x:v>Ego yerine takım sonucu mesajı net ve yararlı; özgün olay örgüsü olmadan klasik liderlik tavsiyesi gibi kalıyor.</x:v>
      </x:c>
      <x:c r="V643" s="46" t="str">
        <x:f>IF(Q643&lt;=3,"Kaynak kontrolü şart",IF(Q643=4,"Kaynak kontrolü önerilir","Standart doğrulama"))</x:f>
        <x:v>Standart doğrulama</x:v>
      </x:c>
    </x:row>
    <x:row r="644" ht="24" customHeight="1">
      <x:c r="A644" s="48" t="n">
        <x:f>COUNTIF($R$2:$R$751,"&gt;"&amp;R644)+COUNTIF($R$2:R644,R644)</x:f>
        <x:v>643</x:v>
      </x:c>
      <x:c r="B644" s="48" t="n">
        <x:v>1564</x:v>
      </x:c>
      <x:c r="C644" s="46" t="str">
        <x:v>Çizginin altında ya da üstünde — iki liderlik hali</x:v>
      </x:c>
      <x:c r="D644" s="34" t="str">
        <x:v>Liderlik</x:v>
      </x:c>
      <x:c r="E644" s="34" t="str">
        <x:v>Liderlik</x:v>
      </x:c>
      <x:c r="F644" s="34" t="str">
        <x:v>Bilinçli Liderlik</x:v>
      </x:c>
      <x:c r="G644" s="34" t="str">
        <x:v>Jim Dethmer</x:v>
      </x:c>
      <x:c r="H644" s="50" t="str">
        <x:v>1</x:v>
      </x:c>
      <x:c r="I644" s="50" t="str">
        <x:v>Temel</x:v>
      </x:c>
      <x:c r="J644" s="51" t="n">
        <x:v>10</x:v>
      </x:c>
      <x:c r="K644" s="51" t="n">
        <x:v>4</x:v>
      </x:c>
      <x:c r="L644" s="51" t="n">
        <x:v>10</x:v>
      </x:c>
      <x:c r="M644" s="51" t="n">
        <x:v>14</x:v>
      </x:c>
      <x:c r="N644" s="51" t="n">
        <x:v>7</x:v>
      </x:c>
      <x:c r="O644" s="51" t="n">
        <x:v>5</x:v>
      </x:c>
      <x:c r="P644" s="51" t="n">
        <x:v>13</x:v>
      </x:c>
      <x:c r="Q644" s="51" t="n">
        <x:v>4</x:v>
      </x:c>
      <x:c r="R644" s="52" t="n">
        <x:f>SUM(J644:Q644)</x:f>
        <x:v>67</x:v>
      </x:c>
      <x:c r="S644" s="50" t="str">
        <x:f>IF(R644&gt;='Rubrik'!$B$17,"Öncelikli video",IF(R644&gt;='Rubrik'!$B$18,"Video kuyruğu",IF(R644&gt;='Rubrik'!$B$19,"Revize et",IF(R644&gt;='Rubrik'!$B$20,"Kartla test","Düşük öncelik"))))</x:f>
        <x:v>Düşük öncelik</x:v>
      </x:c>
      <x:c r="T644" s="50" t="str">
        <x:f>IF(AND(R644&gt;=85,P644&gt;=16,M644&gt;=12,L644&gt;=12),"Reel + Carousel",IF(AND(R644&gt;=85,P644&gt;=16,N644&gt;=8),"Soru odaklı Reel",IF(AND(R644&gt;=85,P644&gt;=16),"Reel / Short",IF(M644&gt;=11,"Carousel","Kart testi"))))</x:f>
        <x:v>Carousel</x:v>
      </x:c>
      <x:c r="U644" s="46" t="str">
        <x:v>Çizginin üstü-altı ayrımı hızlı öz değerlendirme sağlar; iş koçluğu çerçevesi olduğu için kitlesi daha dar.</x:v>
      </x:c>
      <x:c r="V644" s="46" t="str">
        <x:f>IF(Q644&lt;=3,"Kaynak kontrolü şart",IF(Q644=4,"Kaynak kontrolü önerilir","Standart doğrulama"))</x:f>
        <x:v>Kaynak kontrolü önerilir</x:v>
      </x:c>
    </x:row>
    <x:row r="645" ht="24" customHeight="1">
      <x:c r="A645" s="48" t="n">
        <x:f>COUNTIF($R$2:$R$751,"&gt;"&amp;R645)+COUNTIF($R$2:R645,R645)</x:f>
        <x:v>644</x:v>
      </x:c>
      <x:c r="B645" s="48" t="n">
        <x:v>1440</x:v>
      </x:c>
      <x:c r="C645" s="46" t="str">
        <x:v>Tükenme ve empatinin bedeli</x:v>
      </x:c>
      <x:c r="D645" s="34" t="str">
        <x:v>Psikoloji</x:v>
      </x:c>
      <x:c r="E645" s="34" t="str">
        <x:v>Psikoloji</x:v>
      </x:c>
      <x:c r="F645" s="34" t="str">
        <x:v>Against Empathy</x:v>
      </x:c>
      <x:c r="G645" s="34" t="str">
        <x:v>Paul Bloom</x:v>
      </x:c>
      <x:c r="H645" s="50" t="str">
        <x:v>1</x:v>
      </x:c>
      <x:c r="I645" s="50" t="str">
        <x:v>Temel</x:v>
      </x:c>
      <x:c r="J645" s="51" t="n">
        <x:v>10</x:v>
      </x:c>
      <x:c r="K645" s="51" t="n">
        <x:v>6</x:v>
      </x:c>
      <x:c r="L645" s="51" t="n">
        <x:v>10</x:v>
      </x:c>
      <x:c r="M645" s="51" t="n">
        <x:v>13</x:v>
      </x:c>
      <x:c r="N645" s="51" t="n">
        <x:v>7</x:v>
      </x:c>
      <x:c r="O645" s="51" t="n">
        <x:v>5</x:v>
      </x:c>
      <x:c r="P645" s="51" t="n">
        <x:v>12</x:v>
      </x:c>
      <x:c r="Q645" s="51" t="n">
        <x:v>4</x:v>
      </x:c>
      <x:c r="R645" s="52" t="n">
        <x:f>SUM(J645:Q645)</x:f>
        <x:v>67</x:v>
      </x:c>
      <x:c r="S645" s="50" t="str">
        <x:f>IF(R645&gt;='Rubrik'!$B$17,"Öncelikli video",IF(R645&gt;='Rubrik'!$B$18,"Video kuyruğu",IF(R645&gt;='Rubrik'!$B$19,"Revize et",IF(R645&gt;='Rubrik'!$B$20,"Kartla test","Düşük öncelik"))))</x:f>
        <x:v>Düşük öncelik</x:v>
      </x:c>
      <x:c r="T645" s="50" t="str">
        <x:f>IF(AND(R645&gt;=85,P645&gt;=16,M645&gt;=12,L645&gt;=12),"Reel + Carousel",IF(AND(R645&gt;=85,P645&gt;=16,N645&gt;=8),"Soru odaklı Reel",IF(AND(R645&gt;=85,P645&gt;=16),"Reel / Short",IF(M645&gt;=11,"Carousel","Kart testi"))))</x:f>
        <x:v>Carousel</x:v>
      </x:c>
      <x:c r="U645" s="46" t="str">
        <x:v>Empati yorgunluğu sağlık çalışanlarıyla duygusal bağ kuruyor; çözüm bölümü kaydetmeyi destekliyor.</x:v>
      </x:c>
      <x:c r="V645" s="46" t="str">
        <x:f>IF(Q645&lt;=3,"Kaynak kontrolü şart",IF(Q645=4,"Kaynak kontrolü önerilir","Standart doğrulama"))</x:f>
        <x:v>Kaynak kontrolü önerilir</x:v>
      </x:c>
    </x:row>
    <x:row r="646" ht="24" customHeight="1">
      <x:c r="A646" s="48" t="n">
        <x:f>COUNTIF($R$2:$R$751,"&gt;"&amp;R646)+COUNTIF($R$2:R646,R646)</x:f>
        <x:v>645</x:v>
      </x:c>
      <x:c r="B646" s="48" t="n">
        <x:v>1133</x:v>
      </x:c>
      <x:c r="C646" s="46" t="str">
        <x:v>Şimdiki anın kapısı</x:v>
      </x:c>
      <x:c r="D646" s="34" t="str">
        <x:v>Psikoloji</x:v>
      </x:c>
      <x:c r="E646" s="34" t="str">
        <x:v>Farkındalık</x:v>
      </x:c>
      <x:c r="F646" s="34" t="str">
        <x:v>Şimdi ve Burada</x:v>
      </x:c>
      <x:c r="G646" s="34" t="str">
        <x:v>Eckhart Tolle</x:v>
      </x:c>
      <x:c r="H646" s="50" t="str">
        <x:v>1</x:v>
      </x:c>
      <x:c r="I646" s="50" t="str">
        <x:v>Temel</x:v>
      </x:c>
      <x:c r="J646" s="51" t="n">
        <x:v>11</x:v>
      </x:c>
      <x:c r="K646" s="51" t="n">
        <x:v>7</x:v>
      </x:c>
      <x:c r="L646" s="51" t="n">
        <x:v>8</x:v>
      </x:c>
      <x:c r="M646" s="51" t="n">
        <x:v>12</x:v>
      </x:c>
      <x:c r="N646" s="51" t="n">
        <x:v>9</x:v>
      </x:c>
      <x:c r="O646" s="51" t="n">
        <x:v>5</x:v>
      </x:c>
      <x:c r="P646" s="51" t="n">
        <x:v>11</x:v>
      </x:c>
      <x:c r="Q646" s="51" t="n">
        <x:v>4</x:v>
      </x:c>
      <x:c r="R646" s="52" t="n">
        <x:f>SUM(J646:Q646)</x:f>
        <x:v>67</x:v>
      </x:c>
      <x:c r="S646" s="50" t="str">
        <x:f>IF(R646&gt;='Rubrik'!$B$17,"Öncelikli video",IF(R646&gt;='Rubrik'!$B$18,"Video kuyruğu",IF(R646&gt;='Rubrik'!$B$19,"Revize et",IF(R646&gt;='Rubrik'!$B$20,"Kartla test","Düşük öncelik"))))</x:f>
        <x:v>Düşük öncelik</x:v>
      </x:c>
      <x:c r="T646" s="50" t="str">
        <x:f>IF(AND(R646&gt;=85,P646&gt;=16,M646&gt;=12,L646&gt;=12),"Reel + Carousel",IF(AND(R646&gt;=85,P646&gt;=16,N646&gt;=8),"Soru odaklı Reel",IF(AND(R646&gt;=85,P646&gt;=16),"Reel / Short",IF(M646&gt;=11,"Carousel","Kart testi"))))</x:f>
        <x:v>Carousel</x:v>
      </x:c>
      <x:c r="U646" s="46" t="str">
        <x:v>Şimdi mesajı evrensel ve sesli düşünmeye açık; somut olay ve yeni bir ters köşe az olduğu için video gücü orta.</x:v>
      </x:c>
      <x:c r="V646" s="46" t="str">
        <x:f>IF(Q646&lt;=3,"Kaynak kontrolü şart",IF(Q646=4,"Kaynak kontrolü önerilir","Standart doğrulama"))</x:f>
        <x:v>Kaynak kontrolü önerilir</x:v>
      </x:c>
    </x:row>
    <x:row r="647" ht="24" customHeight="1">
      <x:c r="A647" s="48" t="n">
        <x:f>COUNTIF($R$2:$R$751,"&gt;"&amp;R647)+COUNTIF($R$2:R647,R647)</x:f>
        <x:v>646</x:v>
      </x:c>
      <x:c r="B647" s="48" t="n">
        <x:v>1362</x:v>
      </x:c>
      <x:c r="C647" s="46" t="str">
        <x:v>Topluluk niyeti ve dalgalanma etkisi</x:v>
      </x:c>
      <x:c r="D647" s="34" t="str">
        <x:v>Psikoloji</x:v>
      </x:c>
      <x:c r="E647" s="34" t="str">
        <x:v>Farkındalık</x:v>
      </x:c>
      <x:c r="F647" s="34" t="str">
        <x:v>Niyet</x:v>
      </x:c>
      <x:c r="G647" s="34" t="str">
        <x:v>Lynne McTaggart</x:v>
      </x:c>
      <x:c r="H647" s="50" t="str">
        <x:v>1</x:v>
      </x:c>
      <x:c r="I647" s="50" t="str">
        <x:v>Temel</x:v>
      </x:c>
      <x:c r="J647" s="51" t="n">
        <x:v>13</x:v>
      </x:c>
      <x:c r="K647" s="51" t="n">
        <x:v>7</x:v>
      </x:c>
      <x:c r="L647" s="51" t="n">
        <x:v>11</x:v>
      </x:c>
      <x:c r="M647" s="51" t="n">
        <x:v>5</x:v>
      </x:c>
      <x:c r="N647" s="51" t="n">
        <x:v>9</x:v>
      </x:c>
      <x:c r="O647" s="51" t="n">
        <x:v>6</x:v>
      </x:c>
      <x:c r="P647" s="51" t="n">
        <x:v>15</x:v>
      </x:c>
      <x:c r="Q647" s="51" t="n">
        <x:v>0</x:v>
      </x:c>
      <x:c r="R647" s="52" t="n">
        <x:f>SUM(J647:Q647)</x:f>
        <x:v>66</x:v>
      </x:c>
      <x:c r="S647" s="50" t="str">
        <x:f>IF(R647&gt;='Rubrik'!$B$17,"Öncelikli video",IF(R647&gt;='Rubrik'!$B$18,"Video kuyruğu",IF(R647&gt;='Rubrik'!$B$19,"Revize et",IF(R647&gt;='Rubrik'!$B$20,"Kartla test","Düşük öncelik"))))</x:f>
        <x:v>Düşük öncelik</x:v>
      </x:c>
      <x:c r="T647" s="50" t="str">
        <x:f>IF(AND(R647&gt;=85,P647&gt;=16,M647&gt;=12,L647&gt;=12),"Reel + Carousel",IF(AND(R647&gt;=85,P647&gt;=16,N647&gt;=8),"Soru odaklı Reel",IF(AND(R647&gt;=85,P647&gt;=16),"Reel / Short",IF(M647&gt;=11,"Carousel","Kart testi"))))</x:f>
        <x:v>Kart testi</x:v>
      </x:c>
      <x:c r="U647" s="46" t="str">
        <x:v>Ortak niyet sıcak bir topluluk fikri; su kristali ve alan etkisini tekrarlanabilir bilim gibi göstermesi sorunlu.</x:v>
      </x:c>
      <x:c r="V647" s="46" t="str">
        <x:f>IF(Q647&lt;=3,"Kaynak kontrolü şart",IF(Q647=4,"Kaynak kontrolü önerilir","Standart doğrulama"))</x:f>
        <x:v>Kaynak kontrolü şart</x:v>
      </x:c>
    </x:row>
    <x:row r="648" ht="24" customHeight="1">
      <x:c r="A648" s="48" t="n">
        <x:f>COUNTIF($R$2:$R$751,"&gt;"&amp;R648)+COUNTIF($R$2:R648,R648)</x:f>
        <x:v>647</x:v>
      </x:c>
      <x:c r="B648" s="48" t="n">
        <x:v>1645</x:v>
      </x:c>
      <x:c r="C648" s="46" t="str">
        <x:v>Gerçek aitlik — onay için değil özgünlük için</x:v>
      </x:c>
      <x:c r="D648" s="34" t="str">
        <x:v>Psikoloji</x:v>
      </x:c>
      <x:c r="E648" s="34" t="str">
        <x:v>Nörobilim</x:v>
      </x:c>
      <x:c r="F648" s="34" t="str">
        <x:v>Çölde Yürümek</x:v>
      </x:c>
      <x:c r="G648" s="34" t="str">
        <x:v>Brené Brown</x:v>
      </x:c>
      <x:c r="H648" s="50" t="str">
        <x:v>1</x:v>
      </x:c>
      <x:c r="I648" s="50" t="str">
        <x:v>Temel</x:v>
      </x:c>
      <x:c r="J648" s="51" t="n">
        <x:v>9</x:v>
      </x:c>
      <x:c r="K648" s="51" t="n">
        <x:v>7</x:v>
      </x:c>
      <x:c r="L648" s="51" t="n">
        <x:v>10</x:v>
      </x:c>
      <x:c r="M648" s="51" t="n">
        <x:v>7</x:v>
      </x:c>
      <x:c r="N648" s="51" t="n">
        <x:v>7</x:v>
      </x:c>
      <x:c r="O648" s="51" t="n">
        <x:v>7</x:v>
      </x:c>
      <x:c r="P648" s="51" t="n">
        <x:v>15</x:v>
      </x:c>
      <x:c r="Q648" s="51" t="n">
        <x:v>4</x:v>
      </x:c>
      <x:c r="R648" s="52" t="n">
        <x:f>SUM(J648:Q648)</x:f>
        <x:v>66</x:v>
      </x:c>
      <x:c r="S648" s="50" t="str">
        <x:f>IF(R648&gt;='Rubrik'!$B$17,"Öncelikli video",IF(R648&gt;='Rubrik'!$B$18,"Video kuyruğu",IF(R648&gt;='Rubrik'!$B$19,"Revize et",IF(R648&gt;='Rubrik'!$B$20,"Kartla test","Düşük öncelik"))))</x:f>
        <x:v>Düşük öncelik</x:v>
      </x:c>
      <x:c r="T648" s="50" t="str">
        <x:f>IF(AND(R648&gt;=85,P648&gt;=16,M648&gt;=12,L648&gt;=12),"Reel + Carousel",IF(AND(R648&gt;=85,P648&gt;=16,N648&gt;=8),"Soru odaklı Reel",IF(AND(R648&gt;=85,P648&gt;=16),"Reel / Short",IF(M648&gt;=11,"Carousel","Kart testi"))))</x:f>
        <x:v>Kart testi</x:v>
      </x:c>
      <x:c r="U648" s="46" t="str">
        <x:v>Duygusal karşıtlık paylaşma ve kişisel anlatma isteğini yükseltiyor; ilk saniye etkisi geliştirilmeli.</x:v>
      </x:c>
      <x:c r="V648" s="46" t="str">
        <x:f>IF(Q648&lt;=3,"Kaynak kontrolü şart",IF(Q648=4,"Kaynak kontrolü önerilir","Standart doğrulama"))</x:f>
        <x:v>Kaynak kontrolü önerilir</x:v>
      </x:c>
    </x:row>
    <x:row r="649" ht="24" customHeight="1">
      <x:c r="A649" s="48" t="n">
        <x:f>COUNTIF($R$2:$R$751,"&gt;"&amp;R649)+COUNTIF($R$2:R649,R649)</x:f>
        <x:v>648</x:v>
      </x:c>
      <x:c r="B649" s="48" t="n">
        <x:v>1437</x:v>
      </x:c>
      <x:c r="C649" s="46" t="str">
        <x:v>Güven inşası ve ilk izlenim</x:v>
      </x:c>
      <x:c r="D649" s="34" t="str">
        <x:v>Finans</x:v>
      </x:c>
      <x:c r="E649" s="34" t="str">
        <x:v>Satış</x:v>
      </x:c>
      <x:c r="F649" s="34" t="str">
        <x:v>Satışın Psikolojisi</x:v>
      </x:c>
      <x:c r="G649" s="34" t="str">
        <x:v>Brian Tracy</x:v>
      </x:c>
      <x:c r="H649" s="50" t="str">
        <x:v>1</x:v>
      </x:c>
      <x:c r="I649" s="50" t="str">
        <x:v>Temel</x:v>
      </x:c>
      <x:c r="J649" s="51" t="n">
        <x:v>10</x:v>
      </x:c>
      <x:c r="K649" s="51" t="n">
        <x:v>5</x:v>
      </x:c>
      <x:c r="L649" s="51" t="n">
        <x:v>11</x:v>
      </x:c>
      <x:c r="M649" s="51" t="n">
        <x:v>10</x:v>
      </x:c>
      <x:c r="N649" s="51" t="n">
        <x:v>8</x:v>
      </x:c>
      <x:c r="O649" s="51" t="n">
        <x:v>5</x:v>
      </x:c>
      <x:c r="P649" s="51" t="n">
        <x:v>14</x:v>
      </x:c>
      <x:c r="Q649" s="51" t="n">
        <x:v>3</x:v>
      </x:c>
      <x:c r="R649" s="52" t="n">
        <x:f>SUM(J649:Q649)</x:f>
        <x:v>66</x:v>
      </x:c>
      <x:c r="S649" s="50" t="str">
        <x:f>IF(R649&gt;='Rubrik'!$B$17,"Öncelikli video",IF(R649&gt;='Rubrik'!$B$18,"Video kuyruğu",IF(R649&gt;='Rubrik'!$B$19,"Revize et",IF(R649&gt;='Rubrik'!$B$20,"Kartla test","Düşük öncelik"))))</x:f>
        <x:v>Düşük öncelik</x:v>
      </x:c>
      <x:c r="T649" s="50" t="str">
        <x:f>IF(AND(R649&gt;=85,P649&gt;=16,M649&gt;=12,L649&gt;=12),"Reel + Carousel",IF(AND(R649&gt;=85,P649&gt;=16,N649&gt;=8),"Soru odaklı Reel",IF(AND(R649&gt;=85,P649&gt;=16),"Reel / Short",IF(M649&gt;=11,"Carousel","Kart testi"))))</x:f>
        <x:v>Kart testi</x:v>
      </x:c>
      <x:c r="U649" s="46" t="str">
        <x:v>Yedi saniyelik ilk izlenim iddiası hızlı video kancası sağlar; bilimsel oran daha sağlam kaynak ister.</x:v>
      </x:c>
      <x:c r="V649" s="46" t="str">
        <x:f>IF(Q649&lt;=3,"Kaynak kontrolü şart",IF(Q649=4,"Kaynak kontrolü önerilir","Standart doğrulama"))</x:f>
        <x:v>Kaynak kontrolü şart</x:v>
      </x:c>
    </x:row>
    <x:row r="650" ht="24" customHeight="1">
      <x:c r="A650" s="48" t="n">
        <x:f>COUNTIF($R$2:$R$751,"&gt;"&amp;R650)+COUNTIF($R$2:R650,R650)</x:f>
        <x:v>649</x:v>
      </x:c>
      <x:c r="B650" s="48" t="n">
        <x:v>1624</x:v>
      </x:c>
      <x:c r="C650" s="46" t="str">
        <x:v>Duygusal olgunlaşmamış ebeveyn — sevgi var ama bağ yok</x:v>
      </x:c>
      <x:c r="D650" s="34" t="str">
        <x:v>Psikoloji</x:v>
      </x:c>
      <x:c r="E650" s="34" t="str">
        <x:v>Psikoloji</x:v>
      </x:c>
      <x:c r="F650" s="34" t="str">
        <x:v>Duygusal Olgunlaşmamış Ebeveynler</x:v>
      </x:c>
      <x:c r="G650" s="34" t="str">
        <x:v>Lindsay Gibson</x:v>
      </x:c>
      <x:c r="H650" s="50" t="str">
        <x:v>1</x:v>
      </x:c>
      <x:c r="I650" s="50" t="str">
        <x:v>Temel</x:v>
      </x:c>
      <x:c r="J650" s="51" t="n">
        <x:v>9</x:v>
      </x:c>
      <x:c r="K650" s="51" t="n">
        <x:v>7</x:v>
      </x:c>
      <x:c r="L650" s="51" t="n">
        <x:v>10</x:v>
      </x:c>
      <x:c r="M650" s="51" t="n">
        <x:v>10</x:v>
      </x:c>
      <x:c r="N650" s="51" t="n">
        <x:v>7</x:v>
      </x:c>
      <x:c r="O650" s="51" t="n">
        <x:v>5</x:v>
      </x:c>
      <x:c r="P650" s="51" t="n">
        <x:v>14</x:v>
      </x:c>
      <x:c r="Q650" s="51" t="n">
        <x:v>4</x:v>
      </x:c>
      <x:c r="R650" s="52" t="n">
        <x:f>SUM(J650:Q650)</x:f>
        <x:v>66</x:v>
      </x:c>
      <x:c r="S650" s="50" t="str">
        <x:f>IF(R650&gt;='Rubrik'!$B$17,"Öncelikli video",IF(R650&gt;='Rubrik'!$B$18,"Video kuyruğu",IF(R650&gt;='Rubrik'!$B$19,"Revize et",IF(R650&gt;='Rubrik'!$B$20,"Kartla test","Düşük öncelik"))))</x:f>
        <x:v>Düşük öncelik</x:v>
      </x:c>
      <x:c r="T650" s="50" t="str">
        <x:f>IF(AND(R650&gt;=85,P650&gt;=16,M650&gt;=12,L650&gt;=12),"Reel + Carousel",IF(AND(R650&gt;=85,P650&gt;=16,N650&gt;=8),"Soru odaklı Reel",IF(AND(R650&gt;=85,P650&gt;=16),"Reel / Short",IF(M650&gt;=11,"Carousel","Kart testi"))))</x:f>
        <x:v>Kart testi</x:v>
      </x:c>
      <x:c r="U650" s="46" t="str">
        <x:v>Duygusal karşıtlık paylaşma ve kişisel anlatma isteğini yükseltiyor; olay örgüsü geliştirilmeli.</x:v>
      </x:c>
      <x:c r="V650" s="46" t="str">
        <x:f>IF(Q650&lt;=3,"Kaynak kontrolü şart",IF(Q650=4,"Kaynak kontrolü önerilir","Standart doğrulama"))</x:f>
        <x:v>Kaynak kontrolü önerilir</x:v>
      </x:c>
    </x:row>
    <x:row r="651" ht="24" customHeight="1">
      <x:c r="A651" s="48" t="n">
        <x:f>COUNTIF($R$2:$R$751,"&gt;"&amp;R651)+COUNTIF($R$2:R651,R651)</x:f>
        <x:v>650</x:v>
      </x:c>
      <x:c r="B651" s="48" t="n">
        <x:v>1630</x:v>
      </x:c>
      <x:c r="C651" s="46" t="str">
        <x:v>Bastırılan duygu, beden dili — hastalık mesajın taşıyıcısı</x:v>
      </x:c>
      <x:c r="D651" s="34" t="str">
        <x:v>Sağlık</x:v>
      </x:c>
      <x:c r="E651" s="34" t="str">
        <x:v>Sağlık</x:v>
      </x:c>
      <x:c r="F651" s="34" t="str">
        <x:v>Bedenin Hayır Demesi</x:v>
      </x:c>
      <x:c r="G651" s="34" t="str">
        <x:v>Gabor Maté</x:v>
      </x:c>
      <x:c r="H651" s="50" t="str">
        <x:v>1</x:v>
      </x:c>
      <x:c r="I651" s="50" t="str">
        <x:v>Temel</x:v>
      </x:c>
      <x:c r="J651" s="51" t="n">
        <x:v>9</x:v>
      </x:c>
      <x:c r="K651" s="51" t="n">
        <x:v>8</x:v>
      </x:c>
      <x:c r="L651" s="51" t="n">
        <x:v>10</x:v>
      </x:c>
      <x:c r="M651" s="51" t="n">
        <x:v>9</x:v>
      </x:c>
      <x:c r="N651" s="51" t="n">
        <x:v>7</x:v>
      </x:c>
      <x:c r="O651" s="51" t="n">
        <x:v>6</x:v>
      </x:c>
      <x:c r="P651" s="51" t="n">
        <x:v>14</x:v>
      </x:c>
      <x:c r="Q651" s="51" t="n">
        <x:v>3</x:v>
      </x:c>
      <x:c r="R651" s="52" t="n">
        <x:f>SUM(J651:Q651)</x:f>
        <x:v>66</x:v>
      </x:c>
      <x:c r="S651" s="50" t="str">
        <x:f>IF(R651&gt;='Rubrik'!$B$17,"Öncelikli video",IF(R651&gt;='Rubrik'!$B$18,"Video kuyruğu",IF(R651&gt;='Rubrik'!$B$19,"Revize et",IF(R651&gt;='Rubrik'!$B$20,"Kartla test","Düşük öncelik"))))</x:f>
        <x:v>Düşük öncelik</x:v>
      </x:c>
      <x:c r="T651" s="50" t="str">
        <x:f>IF(AND(R651&gt;=85,P651&gt;=16,M651&gt;=12,L651&gt;=12),"Reel + Carousel",IF(AND(R651&gt;=85,P651&gt;=16,N651&gt;=8),"Soru odaklı Reel",IF(AND(R651&gt;=85,P651&gt;=16),"Reel / Short",IF(M651&gt;=11,"Carousel","Kart testi"))))</x:f>
        <x:v>Kart testi</x:v>
      </x:c>
      <x:c r="U651" s="46" t="str">
        <x:v>Duygusal karşıtlık paylaşma ve kişisel anlatma isteğini yükseltiyor; olay örgüsü geliştirilmeli.</x:v>
      </x:c>
      <x:c r="V651" s="46" t="str">
        <x:f>IF(Q651&lt;=3,"Kaynak kontrolü şart",IF(Q651=4,"Kaynak kontrolü önerilir","Standart doğrulama"))</x:f>
        <x:v>Kaynak kontrolü şart</x:v>
      </x:c>
    </x:row>
    <x:row r="652" ht="24" customHeight="1">
      <x:c r="A652" s="48" t="n">
        <x:f>COUNTIF($R$2:$R$751,"&gt;"&amp;R652)+COUNTIF($R$2:R652,R652)</x:f>
        <x:v>651</x:v>
      </x:c>
      <x:c r="B652" s="48" t="n">
        <x:v>1639</x:v>
      </x:c>
      <x:c r="C652" s="46" t="str">
        <x:v>Yeterince iyi olmak — mükemmeliyetçiliğin gerçek bedeli</x:v>
      </x:c>
      <x:c r="D652" s="34" t="str">
        <x:v>Büyüme</x:v>
      </x:c>
      <x:c r="E652" s="34" t="str">
        <x:v>Kişisel Gelişim</x:v>
      </x:c>
      <x:c r="F652" s="34" t="str">
        <x:v>Özgür Olmak 2</x:v>
      </x:c>
      <x:c r="G652" s="34" t="str">
        <x:v>Brené Brown</x:v>
      </x:c>
      <x:c r="H652" s="50" t="str">
        <x:v>1</x:v>
      </x:c>
      <x:c r="I652" s="50" t="str">
        <x:v>Temel</x:v>
      </x:c>
      <x:c r="J652" s="51" t="n">
        <x:v>9</x:v>
      </x:c>
      <x:c r="K652" s="51" t="n">
        <x:v>7</x:v>
      </x:c>
      <x:c r="L652" s="51" t="n">
        <x:v>10</x:v>
      </x:c>
      <x:c r="M652" s="51" t="n">
        <x:v>9</x:v>
      </x:c>
      <x:c r="N652" s="51" t="n">
        <x:v>7</x:v>
      </x:c>
      <x:c r="O652" s="51" t="n">
        <x:v>6</x:v>
      </x:c>
      <x:c r="P652" s="51" t="n">
        <x:v>14</x:v>
      </x:c>
      <x:c r="Q652" s="51" t="n">
        <x:v>4</x:v>
      </x:c>
      <x:c r="R652" s="52" t="n">
        <x:f>SUM(J652:Q652)</x:f>
        <x:v>66</x:v>
      </x:c>
      <x:c r="S652" s="50" t="str">
        <x:f>IF(R652&gt;='Rubrik'!$B$17,"Öncelikli video",IF(R652&gt;='Rubrik'!$B$18,"Video kuyruğu",IF(R652&gt;='Rubrik'!$B$19,"Revize et",IF(R652&gt;='Rubrik'!$B$20,"Kartla test","Düşük öncelik"))))</x:f>
        <x:v>Düşük öncelik</x:v>
      </x:c>
      <x:c r="T652" s="50" t="str">
        <x:f>IF(AND(R652&gt;=85,P652&gt;=16,M652&gt;=12,L652&gt;=12),"Reel + Carousel",IF(AND(R652&gt;=85,P652&gt;=16,N652&gt;=8),"Soru odaklı Reel",IF(AND(R652&gt;=85,P652&gt;=16),"Reel / Short",IF(M652&gt;=11,"Carousel","Kart testi"))))</x:f>
        <x:v>Kart testi</x:v>
      </x:c>
      <x:c r="U652" s="46" t="str">
        <x:v>Duygusal karşıtlık paylaşma ve kişisel anlatma isteğini yükseltiyor; olay örgüsü geliştirilmeli.</x:v>
      </x:c>
      <x:c r="V652" s="46" t="str">
        <x:f>IF(Q652&lt;=3,"Kaynak kontrolü şart",IF(Q652=4,"Kaynak kontrolü önerilir","Standart doğrulama"))</x:f>
        <x:v>Kaynak kontrolü önerilir</x:v>
      </x:c>
    </x:row>
    <x:row r="653" ht="24" customHeight="1">
      <x:c r="A653" s="48" t="n">
        <x:f>COUNTIF($R$2:$R$751,"&gt;"&amp;R653)+COUNTIF($R$2:R653,R653)</x:f>
        <x:v>652</x:v>
      </x:c>
      <x:c r="B653" s="48" t="n">
        <x:v>1641</x:v>
      </x:c>
      <x:c r="C653" s="46" t="str">
        <x:v>Minnettarlık ve neşe — en cesur duygular</x:v>
      </x:c>
      <x:c r="D653" s="34" t="str">
        <x:v>Büyüme</x:v>
      </x:c>
      <x:c r="E653" s="34" t="str">
        <x:v>Kişisel Gelişim</x:v>
      </x:c>
      <x:c r="F653" s="34" t="str">
        <x:v>Özgür Olmak 2</x:v>
      </x:c>
      <x:c r="G653" s="34" t="str">
        <x:v>Brené Brown</x:v>
      </x:c>
      <x:c r="H653" s="50" t="str">
        <x:v>1</x:v>
      </x:c>
      <x:c r="I653" s="50" t="str">
        <x:v>Temel</x:v>
      </x:c>
      <x:c r="J653" s="51" t="n">
        <x:v>9</x:v>
      </x:c>
      <x:c r="K653" s="51" t="n">
        <x:v>7</x:v>
      </x:c>
      <x:c r="L653" s="51" t="n">
        <x:v>10</x:v>
      </x:c>
      <x:c r="M653" s="51" t="n">
        <x:v>8</x:v>
      </x:c>
      <x:c r="N653" s="51" t="n">
        <x:v>7</x:v>
      </x:c>
      <x:c r="O653" s="51" t="n">
        <x:v>7</x:v>
      </x:c>
      <x:c r="P653" s="51" t="n">
        <x:v>14</x:v>
      </x:c>
      <x:c r="Q653" s="51" t="n">
        <x:v>4</x:v>
      </x:c>
      <x:c r="R653" s="52" t="n">
        <x:f>SUM(J653:Q653)</x:f>
        <x:v>66</x:v>
      </x:c>
      <x:c r="S653" s="50" t="str">
        <x:f>IF(R653&gt;='Rubrik'!$B$17,"Öncelikli video",IF(R653&gt;='Rubrik'!$B$18,"Video kuyruğu",IF(R653&gt;='Rubrik'!$B$19,"Revize et",IF(R653&gt;='Rubrik'!$B$20,"Kartla test","Düşük öncelik"))))</x:f>
        <x:v>Düşük öncelik</x:v>
      </x:c>
      <x:c r="T653" s="50" t="str">
        <x:f>IF(AND(R653&gt;=85,P653&gt;=16,M653&gt;=12,L653&gt;=12),"Reel + Carousel",IF(AND(R653&gt;=85,P653&gt;=16,N653&gt;=8),"Soru odaklı Reel",IF(AND(R653&gt;=85,P653&gt;=16),"Reel / Short",IF(M653&gt;=11,"Carousel","Kart testi"))))</x:f>
        <x:v>Kart testi</x:v>
      </x:c>
      <x:c r="U653" s="46" t="str">
        <x:v>Duygusal karşıtlık paylaşma ve kişisel anlatma isteğini yükseltiyor; ilk saniye etkisi geliştirilmeli.</x:v>
      </x:c>
      <x:c r="V653" s="46" t="str">
        <x:f>IF(Q653&lt;=3,"Kaynak kontrolü şart",IF(Q653=4,"Kaynak kontrolü önerilir","Standart doğrulama"))</x:f>
        <x:v>Kaynak kontrolü önerilir</x:v>
      </x:c>
    </x:row>
    <x:row r="654" ht="24" customHeight="1">
      <x:c r="A654" s="48" t="n">
        <x:f>COUNTIF($R$2:$R$751,"&gt;"&amp;R654)+COUNTIF($R$2:R654,R654)</x:f>
        <x:v>653</x:v>
      </x:c>
      <x:c r="B654" s="48" t="n">
        <x:v>1642</x:v>
      </x:c>
      <x:c r="C654" s="46" t="str">
        <x:v>Arenada olmak — düşme cesareti</x:v>
      </x:c>
      <x:c r="D654" s="34" t="str">
        <x:v>Büyüme</x:v>
      </x:c>
      <x:c r="E654" s="34" t="str">
        <x:v>Dayanıklılık</x:v>
      </x:c>
      <x:c r="F654" s="34" t="str">
        <x:v>Güçlü Kalkmak</x:v>
      </x:c>
      <x:c r="G654" s="34" t="str">
        <x:v>Brené Brown</x:v>
      </x:c>
      <x:c r="H654" s="50" t="str">
        <x:v>1</x:v>
      </x:c>
      <x:c r="I654" s="50" t="str">
        <x:v>Temel</x:v>
      </x:c>
      <x:c r="J654" s="51" t="n">
        <x:v>10</x:v>
      </x:c>
      <x:c r="K654" s="51" t="n">
        <x:v>6</x:v>
      </x:c>
      <x:c r="L654" s="51" t="n">
        <x:v>10</x:v>
      </x:c>
      <x:c r="M654" s="51" t="n">
        <x:v>9</x:v>
      </x:c>
      <x:c r="N654" s="51" t="n">
        <x:v>7</x:v>
      </x:c>
      <x:c r="O654" s="51" t="n">
        <x:v>5</x:v>
      </x:c>
      <x:c r="P654" s="51" t="n">
        <x:v>14</x:v>
      </x:c>
      <x:c r="Q654" s="51" t="n">
        <x:v>5</x:v>
      </x:c>
      <x:c r="R654" s="52" t="n">
        <x:f>SUM(J654:Q654)</x:f>
        <x:v>66</x:v>
      </x:c>
      <x:c r="S654" s="50" t="str">
        <x:f>IF(R654&gt;='Rubrik'!$B$17,"Öncelikli video",IF(R654&gt;='Rubrik'!$B$18,"Video kuyruğu",IF(R654&gt;='Rubrik'!$B$19,"Revize et",IF(R654&gt;='Rubrik'!$B$20,"Kartla test","Düşük öncelik"))))</x:f>
        <x:v>Düşük öncelik</x:v>
      </x:c>
      <x:c r="T654" s="50" t="str">
        <x:f>IF(AND(R654&gt;=85,P654&gt;=16,M654&gt;=12,L654&gt;=12),"Reel + Carousel",IF(AND(R654&gt;=85,P654&gt;=16,N654&gt;=8),"Soru odaklı Reel",IF(AND(R654&gt;=85,P654&gt;=16),"Reel / Short",IF(M654&gt;=11,"Carousel","Kart testi"))))</x:f>
        <x:v>Kart testi</x:v>
      </x:c>
      <x:c r="U654" s="46" t="str">
        <x:v>Somut sahne ve sayısal ayrıntı güçlü bir video açılışı sağlıyor; olay örgüsü geliştirilmeli.</x:v>
      </x:c>
      <x:c r="V654" s="46" t="str">
        <x:f>IF(Q654&lt;=3,"Kaynak kontrolü şart",IF(Q654=4,"Kaynak kontrolü önerilir","Standart doğrulama"))</x:f>
        <x:v>Standart doğrulama</x:v>
      </x:c>
    </x:row>
    <x:row r="655" ht="24" customHeight="1">
      <x:c r="A655" s="48" t="n">
        <x:f>COUNTIF($R$2:$R$751,"&gt;"&amp;R655)+COUNTIF($R$2:R655,R655)</x:f>
        <x:v>654</x:v>
      </x:c>
      <x:c r="B655" s="48" t="n">
        <x:v>1644</x:v>
      </x:c>
      <x:c r="C655" s="46" t="str">
        <x:v>Devrilme ve kalkış — iyileşmenin üç aşaması</x:v>
      </x:c>
      <x:c r="D655" s="34" t="str">
        <x:v>Büyüme</x:v>
      </x:c>
      <x:c r="E655" s="34" t="str">
        <x:v>Dayanıklılık</x:v>
      </x:c>
      <x:c r="F655" s="34" t="str">
        <x:v>Güçlü Kalkmak</x:v>
      </x:c>
      <x:c r="G655" s="34" t="str">
        <x:v>Brené Brown</x:v>
      </x:c>
      <x:c r="H655" s="50" t="str">
        <x:v>1</x:v>
      </x:c>
      <x:c r="I655" s="50" t="str">
        <x:v>Temel</x:v>
      </x:c>
      <x:c r="J655" s="51" t="n">
        <x:v>9</x:v>
      </x:c>
      <x:c r="K655" s="51" t="n">
        <x:v>7</x:v>
      </x:c>
      <x:c r="L655" s="51" t="n">
        <x:v>10</x:v>
      </x:c>
      <x:c r="M655" s="51" t="n">
        <x:v>8</x:v>
      </x:c>
      <x:c r="N655" s="51" t="n">
        <x:v>7</x:v>
      </x:c>
      <x:c r="O655" s="51" t="n">
        <x:v>7</x:v>
      </x:c>
      <x:c r="P655" s="51" t="n">
        <x:v>14</x:v>
      </x:c>
      <x:c r="Q655" s="51" t="n">
        <x:v>4</x:v>
      </x:c>
      <x:c r="R655" s="52" t="n">
        <x:f>SUM(J655:Q655)</x:f>
        <x:v>66</x:v>
      </x:c>
      <x:c r="S655" s="50" t="str">
        <x:f>IF(R655&gt;='Rubrik'!$B$17,"Öncelikli video",IF(R655&gt;='Rubrik'!$B$18,"Video kuyruğu",IF(R655&gt;='Rubrik'!$B$19,"Revize et",IF(R655&gt;='Rubrik'!$B$20,"Kartla test","Düşük öncelik"))))</x:f>
        <x:v>Düşük öncelik</x:v>
      </x:c>
      <x:c r="T655" s="50" t="str">
        <x:f>IF(AND(R655&gt;=85,P655&gt;=16,M655&gt;=12,L655&gt;=12),"Reel + Carousel",IF(AND(R655&gt;=85,P655&gt;=16,N655&gt;=8),"Soru odaklı Reel",IF(AND(R655&gt;=85,P655&gt;=16),"Reel / Short",IF(M655&gt;=11,"Carousel","Kart testi"))))</x:f>
        <x:v>Kart testi</x:v>
      </x:c>
      <x:c r="U655" s="46" t="str">
        <x:v>Duygusal karşıtlık paylaşma ve kişisel anlatma isteğini yükseltiyor; ilk saniye etkisi geliştirilmeli.</x:v>
      </x:c>
      <x:c r="V655" s="46" t="str">
        <x:f>IF(Q655&lt;=3,"Kaynak kontrolü şart",IF(Q655=4,"Kaynak kontrolü önerilir","Standart doğrulama"))</x:f>
        <x:v>Kaynak kontrolü önerilir</x:v>
      </x:c>
    </x:row>
    <x:row r="656" ht="24" customHeight="1">
      <x:c r="A656" s="48" t="n">
        <x:f>COUNTIF($R$2:$R$751,"&gt;"&amp;R656)+COUNTIF($R$2:R656,R656)</x:f>
        <x:v>655</x:v>
      </x:c>
      <x:c r="B656" s="48" t="n">
        <x:v>1650</x:v>
      </x:c>
      <x:c r="C656" s="46" t="str">
        <x:v>Kin ve öfke — taşınan ağırlıkların farkı</x:v>
      </x:c>
      <x:c r="D656" s="34" t="str">
        <x:v>Psikoloji</x:v>
      </x:c>
      <x:c r="E656" s="34" t="str">
        <x:v>Duygular</x:v>
      </x:c>
      <x:c r="F656" s="34" t="str">
        <x:v>Kalbin Haritası</x:v>
      </x:c>
      <x:c r="G656" s="34" t="str">
        <x:v>Brené Brown</x:v>
      </x:c>
      <x:c r="H656" s="50" t="str">
        <x:v>1</x:v>
      </x:c>
      <x:c r="I656" s="50" t="str">
        <x:v>Temel</x:v>
      </x:c>
      <x:c r="J656" s="51" t="n">
        <x:v>9</x:v>
      </x:c>
      <x:c r="K656" s="51" t="n">
        <x:v>8</x:v>
      </x:c>
      <x:c r="L656" s="51" t="n">
        <x:v>10</x:v>
      </x:c>
      <x:c r="M656" s="51" t="n">
        <x:v>9</x:v>
      </x:c>
      <x:c r="N656" s="51" t="n">
        <x:v>7</x:v>
      </x:c>
      <x:c r="O656" s="51" t="n">
        <x:v>5</x:v>
      </x:c>
      <x:c r="P656" s="51" t="n">
        <x:v>14</x:v>
      </x:c>
      <x:c r="Q656" s="51" t="n">
        <x:v>4</x:v>
      </x:c>
      <x:c r="R656" s="52" t="n">
        <x:f>SUM(J656:Q656)</x:f>
        <x:v>66</x:v>
      </x:c>
      <x:c r="S656" s="50" t="str">
        <x:f>IF(R656&gt;='Rubrik'!$B$17,"Öncelikli video",IF(R656&gt;='Rubrik'!$B$18,"Video kuyruğu",IF(R656&gt;='Rubrik'!$B$19,"Revize et",IF(R656&gt;='Rubrik'!$B$20,"Kartla test","Düşük öncelik"))))</x:f>
        <x:v>Düşük öncelik</x:v>
      </x:c>
      <x:c r="T656" s="50" t="str">
        <x:f>IF(AND(R656&gt;=85,P656&gt;=16,M656&gt;=12,L656&gt;=12),"Reel + Carousel",IF(AND(R656&gt;=85,P656&gt;=16,N656&gt;=8),"Soru odaklı Reel",IF(AND(R656&gt;=85,P656&gt;=16),"Reel / Short",IF(M656&gt;=11,"Carousel","Kart testi"))))</x:f>
        <x:v>Kart testi</x:v>
      </x:c>
      <x:c r="U656" s="46" t="str">
        <x:v>Duygusal karşıtlık paylaşma ve kişisel anlatma isteğini yükseltiyor; olay örgüsü geliştirilmeli.</x:v>
      </x:c>
      <x:c r="V656" s="46" t="str">
        <x:f>IF(Q656&lt;=3,"Kaynak kontrolü şart",IF(Q656=4,"Kaynak kontrolü önerilir","Standart doğrulama"))</x:f>
        <x:v>Kaynak kontrolü önerilir</x:v>
      </x:c>
    </x:row>
    <x:row r="657" ht="24" customHeight="1">
      <x:c r="A657" s="48" t="n">
        <x:f>COUNTIF($R$2:$R$751,"&gt;"&amp;R657)+COUNTIF($R$2:R657,R657)</x:f>
        <x:v>656</x:v>
      </x:c>
      <x:c r="B657" s="48" t="n">
        <x:v>1659</x:v>
      </x:c>
      <x:c r="C657" s="46" t="str">
        <x:v>Duygusal yeme — besinden beklenen şey besin veremez</x:v>
      </x:c>
      <x:c r="D657" s="34" t="str">
        <x:v>Sağlık</x:v>
      </x:c>
      <x:c r="E657" s="34" t="str">
        <x:v>Sağlık</x:v>
      </x:c>
      <x:c r="F657" s="34" t="str">
        <x:v>İçgüdüsel Yeme</x:v>
      </x:c>
      <x:c r="G657" s="34" t="str">
        <x:v>Evelyn Tribole</x:v>
      </x:c>
      <x:c r="H657" s="50" t="str">
        <x:v>1</x:v>
      </x:c>
      <x:c r="I657" s="50" t="str">
        <x:v>Temel</x:v>
      </x:c>
      <x:c r="J657" s="51" t="n">
        <x:v>9</x:v>
      </x:c>
      <x:c r="K657" s="51" t="n">
        <x:v>7</x:v>
      </x:c>
      <x:c r="L657" s="51" t="n">
        <x:v>10</x:v>
      </x:c>
      <x:c r="M657" s="51" t="n">
        <x:v>10</x:v>
      </x:c>
      <x:c r="N657" s="51" t="n">
        <x:v>7</x:v>
      </x:c>
      <x:c r="O657" s="51" t="n">
        <x:v>5</x:v>
      </x:c>
      <x:c r="P657" s="51" t="n">
        <x:v>14</x:v>
      </x:c>
      <x:c r="Q657" s="51" t="n">
        <x:v>4</x:v>
      </x:c>
      <x:c r="R657" s="52" t="n">
        <x:f>SUM(J657:Q657)</x:f>
        <x:v>66</x:v>
      </x:c>
      <x:c r="S657" s="50" t="str">
        <x:f>IF(R657&gt;='Rubrik'!$B$17,"Öncelikli video",IF(R657&gt;='Rubrik'!$B$18,"Video kuyruğu",IF(R657&gt;='Rubrik'!$B$19,"Revize et",IF(R657&gt;='Rubrik'!$B$20,"Kartla test","Düşük öncelik"))))</x:f>
        <x:v>Düşük öncelik</x:v>
      </x:c>
      <x:c r="T657" s="50" t="str">
        <x:f>IF(AND(R657&gt;=85,P657&gt;=16,M657&gt;=12,L657&gt;=12),"Reel + Carousel",IF(AND(R657&gt;=85,P657&gt;=16,N657&gt;=8),"Soru odaklı Reel",IF(AND(R657&gt;=85,P657&gt;=16),"Reel / Short",IF(M657&gt;=11,"Carousel","Kart testi"))))</x:f>
        <x:v>Kart testi</x:v>
      </x:c>
      <x:c r="U657" s="46" t="str">
        <x:v>Duygusal karşıtlık paylaşma ve kişisel anlatma isteğini yükseltiyor; olay örgüsü geliştirilmeli.</x:v>
      </x:c>
      <x:c r="V657" s="46" t="str">
        <x:f>IF(Q657&lt;=3,"Kaynak kontrolü şart",IF(Q657=4,"Kaynak kontrolü önerilir","Standart doğrulama"))</x:f>
        <x:v>Kaynak kontrolü önerilir</x:v>
      </x:c>
    </x:row>
    <x:row r="658" ht="24" customHeight="1">
      <x:c r="A658" s="48" t="n">
        <x:f>COUNTIF($R$2:$R$751,"&gt;"&amp;R658)+COUNTIF($R$2:R658,R658)</x:f>
        <x:v>657</x:v>
      </x:c>
      <x:c r="B658" s="48" t="n">
        <x:v>1660</x:v>
      </x:c>
      <x:c r="C658" s="46" t="str">
        <x:v>İki dağ — birinci ve ikinci hayat</x:v>
      </x:c>
      <x:c r="D658" s="34" t="str">
        <x:v>Felsefe</x:v>
      </x:c>
      <x:c r="E658" s="34" t="str">
        <x:v>Felsefe</x:v>
      </x:c>
      <x:c r="F658" s="34" t="str">
        <x:v>Yeniden Doğmak</x:v>
      </x:c>
      <x:c r="G658" s="34" t="str">
        <x:v>David Brooks</x:v>
      </x:c>
      <x:c r="H658" s="50" t="str">
        <x:v>1</x:v>
      </x:c>
      <x:c r="I658" s="50" t="str">
        <x:v>Temel</x:v>
      </x:c>
      <x:c r="J658" s="51" t="n">
        <x:v>10</x:v>
      </x:c>
      <x:c r="K658" s="51" t="n">
        <x:v>7</x:v>
      </x:c>
      <x:c r="L658" s="51" t="n">
        <x:v>10</x:v>
      </x:c>
      <x:c r="M658" s="51" t="n">
        <x:v>9</x:v>
      </x:c>
      <x:c r="N658" s="51" t="n">
        <x:v>7</x:v>
      </x:c>
      <x:c r="O658" s="51" t="n">
        <x:v>6</x:v>
      </x:c>
      <x:c r="P658" s="51" t="n">
        <x:v>14</x:v>
      </x:c>
      <x:c r="Q658" s="51" t="n">
        <x:v>3</x:v>
      </x:c>
      <x:c r="R658" s="52" t="n">
        <x:f>SUM(J658:Q658)</x:f>
        <x:v>66</x:v>
      </x:c>
      <x:c r="S658" s="50" t="str">
        <x:f>IF(R658&gt;='Rubrik'!$B$17,"Öncelikli video",IF(R658&gt;='Rubrik'!$B$18,"Video kuyruğu",IF(R658&gt;='Rubrik'!$B$19,"Revize et",IF(R658&gt;='Rubrik'!$B$20,"Kartla test","Düşük öncelik"))))</x:f>
        <x:v>Düşük öncelik</x:v>
      </x:c>
      <x:c r="T658" s="50" t="str">
        <x:f>IF(AND(R658&gt;=85,P658&gt;=16,M658&gt;=12,L658&gt;=12),"Reel + Carousel",IF(AND(R658&gt;=85,P658&gt;=16,N658&gt;=8),"Soru odaklı Reel",IF(AND(R658&gt;=85,P658&gt;=16),"Reel / Short",IF(M658&gt;=11,"Carousel","Kart testi"))))</x:f>
        <x:v>Kart testi</x:v>
      </x:c>
      <x:c r="U658" s="46" t="str">
        <x:v>Somut sahne ve sayısal ayrıntı güçlü bir video açılışı sağlıyor; olay örgüsü geliştirilmeli.</x:v>
      </x:c>
      <x:c r="V658" s="46" t="str">
        <x:f>IF(Q658&lt;=3,"Kaynak kontrolü şart",IF(Q658=4,"Kaynak kontrolü önerilir","Standart doğrulama"))</x:f>
        <x:v>Kaynak kontrolü şart</x:v>
      </x:c>
    </x:row>
    <x:row r="659" ht="24" customHeight="1">
      <x:c r="A659" s="48" t="n">
        <x:f>COUNTIF($R$2:$R$751,"&gt;"&amp;R659)+COUNTIF($R$2:R659,R659)</x:f>
        <x:v>658</x:v>
      </x:c>
      <x:c r="B659" s="48" t="n">
        <x:v>1663</x:v>
      </x:c>
      <x:c r="C659" s="46" t="str">
        <x:v>Ego ve öz — kimlik yanılsamasının kökü</x:v>
      </x:c>
      <x:c r="D659" s="34" t="str">
        <x:v>Psikoloji</x:v>
      </x:c>
      <x:c r="E659" s="34" t="str">
        <x:v>Farkındalık</x:v>
      </x:c>
      <x:c r="F659" s="34" t="str">
        <x:v>Yeni Toprak</x:v>
      </x:c>
      <x:c r="G659" s="34" t="str">
        <x:v>Eckhart Tolle</x:v>
      </x:c>
      <x:c r="H659" s="50" t="str">
        <x:v>1</x:v>
      </x:c>
      <x:c r="I659" s="50" t="str">
        <x:v>Temel</x:v>
      </x:c>
      <x:c r="J659" s="51" t="n">
        <x:v>9</x:v>
      </x:c>
      <x:c r="K659" s="51" t="n">
        <x:v>7</x:v>
      </x:c>
      <x:c r="L659" s="51" t="n">
        <x:v>10</x:v>
      </x:c>
      <x:c r="M659" s="51" t="n">
        <x:v>9</x:v>
      </x:c>
      <x:c r="N659" s="51" t="n">
        <x:v>7</x:v>
      </x:c>
      <x:c r="O659" s="51" t="n">
        <x:v>6</x:v>
      </x:c>
      <x:c r="P659" s="51" t="n">
        <x:v>14</x:v>
      </x:c>
      <x:c r="Q659" s="51" t="n">
        <x:v>4</x:v>
      </x:c>
      <x:c r="R659" s="52" t="n">
        <x:f>SUM(J659:Q659)</x:f>
        <x:v>66</x:v>
      </x:c>
      <x:c r="S659" s="50" t="str">
        <x:f>IF(R659&gt;='Rubrik'!$B$17,"Öncelikli video",IF(R659&gt;='Rubrik'!$B$18,"Video kuyruğu",IF(R659&gt;='Rubrik'!$B$19,"Revize et",IF(R659&gt;='Rubrik'!$B$20,"Kartla test","Düşük öncelik"))))</x:f>
        <x:v>Düşük öncelik</x:v>
      </x:c>
      <x:c r="T659" s="50" t="str">
        <x:f>IF(AND(R659&gt;=85,P659&gt;=16,M659&gt;=12,L659&gt;=12),"Reel + Carousel",IF(AND(R659&gt;=85,P659&gt;=16,N659&gt;=8),"Soru odaklı Reel",IF(AND(R659&gt;=85,P659&gt;=16),"Reel / Short",IF(M659&gt;=11,"Carousel","Kart testi"))))</x:f>
        <x:v>Kart testi</x:v>
      </x:c>
      <x:c r="U659" s="46" t="str">
        <x:v>Duygusal karşıtlık paylaşma ve kişisel anlatma isteğini yükseltiyor; olay örgüsü geliştirilmeli.</x:v>
      </x:c>
      <x:c r="V659" s="46" t="str">
        <x:f>IF(Q659&lt;=3,"Kaynak kontrolü şart",IF(Q659=4,"Kaynak kontrolü önerilir","Standart doğrulama"))</x:f>
        <x:v>Kaynak kontrolü önerilir</x:v>
      </x:c>
    </x:row>
    <x:row r="660" ht="24" customHeight="1">
      <x:c r="A660" s="48" t="n">
        <x:f>COUNTIF($R$2:$R$751,"&gt;"&amp;R660)+COUNTIF($R$2:R660,R660)</x:f>
        <x:v>659</x:v>
      </x:c>
      <x:c r="B660" s="48" t="n">
        <x:v>1678</x:v>
      </x:c>
      <x:c r="C660" s="46" t="str">
        <x:v>Meditasyon yanılgısı — zihnin boşalması değil farkındalık</x:v>
      </x:c>
      <x:c r="D660" s="34" t="str">
        <x:v>Psikoloji</x:v>
      </x:c>
      <x:c r="E660" s="34" t="str">
        <x:v>Farkındalık</x:v>
      </x:c>
      <x:c r="F660" s="34" t="str">
        <x:v>Yeni Başlayanlar İçin Meditasyon</x:v>
      </x:c>
      <x:c r="G660" s="34" t="str">
        <x:v>Andy Puddicombe</x:v>
      </x:c>
      <x:c r="H660" s="50" t="str">
        <x:v>1</x:v>
      </x:c>
      <x:c r="I660" s="50" t="str">
        <x:v>Temel</x:v>
      </x:c>
      <x:c r="J660" s="51" t="n">
        <x:v>9</x:v>
      </x:c>
      <x:c r="K660" s="51" t="n">
        <x:v>9</x:v>
      </x:c>
      <x:c r="L660" s="51" t="n">
        <x:v>10</x:v>
      </x:c>
      <x:c r="M660" s="51" t="n">
        <x:v>7</x:v>
      </x:c>
      <x:c r="N660" s="51" t="n">
        <x:v>7</x:v>
      </x:c>
      <x:c r="O660" s="51" t="n">
        <x:v>6</x:v>
      </x:c>
      <x:c r="P660" s="51" t="n">
        <x:v>14</x:v>
      </x:c>
      <x:c r="Q660" s="51" t="n">
        <x:v>4</x:v>
      </x:c>
      <x:c r="R660" s="52" t="n">
        <x:f>SUM(J660:Q660)</x:f>
        <x:v>66</x:v>
      </x:c>
      <x:c r="S660" s="50" t="str">
        <x:f>IF(R660&gt;='Rubrik'!$B$17,"Öncelikli video",IF(R660&gt;='Rubrik'!$B$18,"Video kuyruğu",IF(R660&gt;='Rubrik'!$B$19,"Revize et",IF(R660&gt;='Rubrik'!$B$20,"Kartla test","Düşük öncelik"))))</x:f>
        <x:v>Düşük öncelik</x:v>
      </x:c>
      <x:c r="T660" s="50" t="str">
        <x:f>IF(AND(R660&gt;=85,P660&gt;=16,M660&gt;=12,L660&gt;=12),"Reel + Carousel",IF(AND(R660&gt;=85,P660&gt;=16,N660&gt;=8),"Soru odaklı Reel",IF(AND(R660&gt;=85,P660&gt;=16),"Reel / Short",IF(M660&gt;=11,"Carousel","Kart testi"))))</x:f>
        <x:v>Kart testi</x:v>
      </x:c>
      <x:c r="U660" s="46" t="str">
        <x:v>Duygusal karşıtlık paylaşma ve kişisel anlatma isteğini yükseltiyor; olay örgüsü geliştirilmeli.</x:v>
      </x:c>
      <x:c r="V660" s="46" t="str">
        <x:f>IF(Q660&lt;=3,"Kaynak kontrolü şart",IF(Q660=4,"Kaynak kontrolü önerilir","Standart doğrulama"))</x:f>
        <x:v>Kaynak kontrolü önerilir</x:v>
      </x:c>
    </x:row>
    <x:row r="661" ht="24" customHeight="1">
      <x:c r="A661" s="48" t="n">
        <x:f>COUNTIF($R$2:$R$751,"&gt;"&amp;R661)+COUNTIF($R$2:R661,R661)</x:f>
        <x:v>660</x:v>
      </x:c>
      <x:c r="B661" s="48" t="n">
        <x:v>1680</x:v>
      </x:c>
      <x:c r="C661" s="46" t="str">
        <x:v>Evrimsel beyin ve aldatmaca — neden zihin her zaman yanlış hissedebilir</x:v>
      </x:c>
      <x:c r="D661" s="34" t="str">
        <x:v>Psikoloji</x:v>
      </x:c>
      <x:c r="E661" s="34" t="str">
        <x:v>Farkındalık</x:v>
      </x:c>
      <x:c r="F661" s="34" t="str">
        <x:v>Meditasyonla İyileşme</x:v>
      </x:c>
      <x:c r="G661" s="34" t="str">
        <x:v>Robert Wright</x:v>
      </x:c>
      <x:c r="H661" s="50" t="str">
        <x:v>1</x:v>
      </x:c>
      <x:c r="I661" s="50" t="str">
        <x:v>Temel</x:v>
      </x:c>
      <x:c r="J661" s="51" t="n">
        <x:v>8</x:v>
      </x:c>
      <x:c r="K661" s="51" t="n">
        <x:v>8</x:v>
      </x:c>
      <x:c r="L661" s="51" t="n">
        <x:v>10</x:v>
      </x:c>
      <x:c r="M661" s="51" t="n">
        <x:v>10</x:v>
      </x:c>
      <x:c r="N661" s="51" t="n">
        <x:v>7</x:v>
      </x:c>
      <x:c r="O661" s="51" t="n">
        <x:v>5</x:v>
      </x:c>
      <x:c r="P661" s="51" t="n">
        <x:v>14</x:v>
      </x:c>
      <x:c r="Q661" s="51" t="n">
        <x:v>4</x:v>
      </x:c>
      <x:c r="R661" s="52" t="n">
        <x:f>SUM(J661:Q661)</x:f>
        <x:v>66</x:v>
      </x:c>
      <x:c r="S661" s="50" t="str">
        <x:f>IF(R661&gt;='Rubrik'!$B$17,"Öncelikli video",IF(R661&gt;='Rubrik'!$B$18,"Video kuyruğu",IF(R661&gt;='Rubrik'!$B$19,"Revize et",IF(R661&gt;='Rubrik'!$B$20,"Kartla test","Düşük öncelik"))))</x:f>
        <x:v>Düşük öncelik</x:v>
      </x:c>
      <x:c r="T661" s="50" t="str">
        <x:f>IF(AND(R661&gt;=85,P661&gt;=16,M661&gt;=12,L661&gt;=12),"Reel + Carousel",IF(AND(R661&gt;=85,P661&gt;=16,N661&gt;=8),"Soru odaklı Reel",IF(AND(R661&gt;=85,P661&gt;=16),"Reel / Short",IF(M661&gt;=11,"Carousel","Kart testi"))))</x:f>
        <x:v>Kart testi</x:v>
      </x:c>
      <x:c r="U661" s="46" t="str">
        <x:v>Duygusal karşıtlık paylaşma ve kişisel anlatma isteğini yükseltiyor; olay örgüsü geliştirilmeli.</x:v>
      </x:c>
      <x:c r="V661" s="46" t="str">
        <x:f>IF(Q661&lt;=3,"Kaynak kontrolü şart",IF(Q661=4,"Kaynak kontrolü önerilir","Standart doğrulama"))</x:f>
        <x:v>Kaynak kontrolü önerilir</x:v>
      </x:c>
    </x:row>
    <x:row r="662" ht="24" customHeight="1">
      <x:c r="A662" s="48" t="n">
        <x:f>COUNTIF($R$2:$R$751,"&gt;"&amp;R662)+COUNTIF($R$2:R662,R662)</x:f>
        <x:v>661</x:v>
      </x:c>
      <x:c r="B662" s="48" t="n">
        <x:v>1683</x:v>
      </x:c>
      <x:c r="C662" s="46" t="str">
        <x:v>Üç odak türü — iç, dış ve sistem odağı</x:v>
      </x:c>
      <x:c r="D662" s="34" t="str">
        <x:v>Verimlilik</x:v>
      </x:c>
      <x:c r="E662" s="34" t="str">
        <x:v>Verimlilik</x:v>
      </x:c>
      <x:c r="F662" s="34" t="str">
        <x:v>Dikkatin Gücü</x:v>
      </x:c>
      <x:c r="G662" s="34" t="str">
        <x:v>Daniel Goleman</x:v>
      </x:c>
      <x:c r="H662" s="50" t="str">
        <x:v>1</x:v>
      </x:c>
      <x:c r="I662" s="50" t="str">
        <x:v>Temel</x:v>
      </x:c>
      <x:c r="J662" s="51" t="n">
        <x:v>9</x:v>
      </x:c>
      <x:c r="K662" s="51" t="n">
        <x:v>6</x:v>
      </x:c>
      <x:c r="L662" s="51" t="n">
        <x:v>10</x:v>
      </x:c>
      <x:c r="M662" s="51" t="n">
        <x:v>10</x:v>
      </x:c>
      <x:c r="N662" s="51" t="n">
        <x:v>7</x:v>
      </x:c>
      <x:c r="O662" s="51" t="n">
        <x:v>6</x:v>
      </x:c>
      <x:c r="P662" s="51" t="n">
        <x:v>14</x:v>
      </x:c>
      <x:c r="Q662" s="51" t="n">
        <x:v>4</x:v>
      </x:c>
      <x:c r="R662" s="52" t="n">
        <x:f>SUM(J662:Q662)</x:f>
        <x:v>66</x:v>
      </x:c>
      <x:c r="S662" s="50" t="str">
        <x:f>IF(R662&gt;='Rubrik'!$B$17,"Öncelikli video",IF(R662&gt;='Rubrik'!$B$18,"Video kuyruğu",IF(R662&gt;='Rubrik'!$B$19,"Revize et",IF(R662&gt;='Rubrik'!$B$20,"Kartla test","Düşük öncelik"))))</x:f>
        <x:v>Düşük öncelik</x:v>
      </x:c>
      <x:c r="T662" s="50" t="str">
        <x:f>IF(AND(R662&gt;=85,P662&gt;=16,M662&gt;=12,L662&gt;=12),"Reel + Carousel",IF(AND(R662&gt;=85,P662&gt;=16,N662&gt;=8),"Soru odaklı Reel",IF(AND(R662&gt;=85,P662&gt;=16),"Reel / Short",IF(M662&gt;=11,"Carousel","Kart testi"))))</x:f>
        <x:v>Kart testi</x:v>
      </x:c>
      <x:c r="U662" s="46" t="str">
        <x:v>Duygusal karşıtlık paylaşma ve kişisel anlatma isteğini yükseltiyor; olay örgüsü geliştirilmeli.</x:v>
      </x:c>
      <x:c r="V662" s="46" t="str">
        <x:f>IF(Q662&lt;=3,"Kaynak kontrolü şart",IF(Q662=4,"Kaynak kontrolü önerilir","Standart doğrulama"))</x:f>
        <x:v>Kaynak kontrolü önerilir</x:v>
      </x:c>
    </x:row>
    <x:row r="663" ht="24" customHeight="1">
      <x:c r="A663" s="48" t="n">
        <x:f>COUNTIF($R$2:$R$751,"&gt;"&amp;R663)+COUNTIF($R$2:R663,R663)</x:f>
        <x:v>662</x:v>
      </x:c>
      <x:c r="B663" s="48" t="n">
        <x:v>1684</x:v>
      </x:c>
      <x:c r="C663" s="46" t="str">
        <x:v>Dikkat eğitimi — beyin kası olarak odak</x:v>
      </x:c>
      <x:c r="D663" s="34" t="str">
        <x:v>Verimlilik</x:v>
      </x:c>
      <x:c r="E663" s="34" t="str">
        <x:v>Verimlilik</x:v>
      </x:c>
      <x:c r="F663" s="34" t="str">
        <x:v>Dikkatin Gücü</x:v>
      </x:c>
      <x:c r="G663" s="34" t="str">
        <x:v>Daniel Goleman</x:v>
      </x:c>
      <x:c r="H663" s="50" t="str">
        <x:v>1</x:v>
      </x:c>
      <x:c r="I663" s="50" t="str">
        <x:v>Temel</x:v>
      </x:c>
      <x:c r="J663" s="51" t="n">
        <x:v>9</x:v>
      </x:c>
      <x:c r="K663" s="51" t="n">
        <x:v>6</x:v>
      </x:c>
      <x:c r="L663" s="51" t="n">
        <x:v>10</x:v>
      </x:c>
      <x:c r="M663" s="51" t="n">
        <x:v>10</x:v>
      </x:c>
      <x:c r="N663" s="51" t="n">
        <x:v>7</x:v>
      </x:c>
      <x:c r="O663" s="51" t="n">
        <x:v>6</x:v>
      </x:c>
      <x:c r="P663" s="51" t="n">
        <x:v>14</x:v>
      </x:c>
      <x:c r="Q663" s="51" t="n">
        <x:v>4</x:v>
      </x:c>
      <x:c r="R663" s="52" t="n">
        <x:f>SUM(J663:Q663)</x:f>
        <x:v>66</x:v>
      </x:c>
      <x:c r="S663" s="50" t="str">
        <x:f>IF(R663&gt;='Rubrik'!$B$17,"Öncelikli video",IF(R663&gt;='Rubrik'!$B$18,"Video kuyruğu",IF(R663&gt;='Rubrik'!$B$19,"Revize et",IF(R663&gt;='Rubrik'!$B$20,"Kartla test","Düşük öncelik"))))</x:f>
        <x:v>Düşük öncelik</x:v>
      </x:c>
      <x:c r="T663" s="50" t="str">
        <x:f>IF(AND(R663&gt;=85,P663&gt;=16,M663&gt;=12,L663&gt;=12),"Reel + Carousel",IF(AND(R663&gt;=85,P663&gt;=16,N663&gt;=8),"Soru odaklı Reel",IF(AND(R663&gt;=85,P663&gt;=16),"Reel / Short",IF(M663&gt;=11,"Carousel","Kart testi"))))</x:f>
        <x:v>Kart testi</x:v>
      </x:c>
      <x:c r="U663" s="46" t="str">
        <x:v>Duygusal karşıtlık paylaşma ve kişisel anlatma isteğini yükseltiyor; olay örgüsü geliştirilmeli.</x:v>
      </x:c>
      <x:c r="V663" s="46" t="str">
        <x:f>IF(Q663&lt;=3,"Kaynak kontrolü şart",IF(Q663=4,"Kaynak kontrolü önerilir","Standart doğrulama"))</x:f>
        <x:v>Kaynak kontrolü önerilir</x:v>
      </x:c>
    </x:row>
    <x:row r="664" ht="24" customHeight="1">
      <x:c r="A664" s="48" t="n">
        <x:f>COUNTIF($R$2:$R$751,"&gt;"&amp;R664)+COUNTIF($R$2:R664,R664)</x:f>
        <x:v>663</x:v>
      </x:c>
      <x:c r="B664" s="48" t="n">
        <x:v>1686</x:v>
      </x:c>
      <x:c r="C664" s="46" t="str">
        <x:v>Değerlere dayalı eylem — duygu değil değer rehberlik eder</x:v>
      </x:c>
      <x:c r="D664" s="34" t="str">
        <x:v>Psikoloji</x:v>
      </x:c>
      <x:c r="E664" s="34" t="str">
        <x:v>Psikoloji</x:v>
      </x:c>
      <x:c r="F664" s="34" t="str">
        <x:v>Duygusal Çeviklik</x:v>
      </x:c>
      <x:c r="G664" s="34" t="str">
        <x:v>Susan David</x:v>
      </x:c>
      <x:c r="H664" s="50" t="str">
        <x:v>1</x:v>
      </x:c>
      <x:c r="I664" s="50" t="str">
        <x:v>Temel</x:v>
      </x:c>
      <x:c r="J664" s="51" t="n">
        <x:v>9</x:v>
      </x:c>
      <x:c r="K664" s="51" t="n">
        <x:v>7</x:v>
      </x:c>
      <x:c r="L664" s="51" t="n">
        <x:v>10</x:v>
      </x:c>
      <x:c r="M664" s="51" t="n">
        <x:v>10</x:v>
      </x:c>
      <x:c r="N664" s="51" t="n">
        <x:v>7</x:v>
      </x:c>
      <x:c r="O664" s="51" t="n">
        <x:v>5</x:v>
      </x:c>
      <x:c r="P664" s="51" t="n">
        <x:v>14</x:v>
      </x:c>
      <x:c r="Q664" s="51" t="n">
        <x:v>4</x:v>
      </x:c>
      <x:c r="R664" s="52" t="n">
        <x:f>SUM(J664:Q664)</x:f>
        <x:v>66</x:v>
      </x:c>
      <x:c r="S664" s="50" t="str">
        <x:f>IF(R664&gt;='Rubrik'!$B$17,"Öncelikli video",IF(R664&gt;='Rubrik'!$B$18,"Video kuyruğu",IF(R664&gt;='Rubrik'!$B$19,"Revize et",IF(R664&gt;='Rubrik'!$B$20,"Kartla test","Düşük öncelik"))))</x:f>
        <x:v>Düşük öncelik</x:v>
      </x:c>
      <x:c r="T664" s="50" t="str">
        <x:f>IF(AND(R664&gt;=85,P664&gt;=16,M664&gt;=12,L664&gt;=12),"Reel + Carousel",IF(AND(R664&gt;=85,P664&gt;=16,N664&gt;=8),"Soru odaklı Reel",IF(AND(R664&gt;=85,P664&gt;=16),"Reel / Short",IF(M664&gt;=11,"Carousel","Kart testi"))))</x:f>
        <x:v>Kart testi</x:v>
      </x:c>
      <x:c r="U664" s="46" t="str">
        <x:v>Duygusal karşıtlık paylaşma ve kişisel anlatma isteğini yükseltiyor; olay örgüsü geliştirilmeli.</x:v>
      </x:c>
      <x:c r="V664" s="46" t="str">
        <x:f>IF(Q664&lt;=3,"Kaynak kontrolü şart",IF(Q664=4,"Kaynak kontrolü önerilir","Standart doğrulama"))</x:f>
        <x:v>Kaynak kontrolü önerilir</x:v>
      </x:c>
    </x:row>
    <x:row r="665" ht="24" customHeight="1">
      <x:c r="A665" s="48" t="n">
        <x:f>COUNTIF($R$2:$R$751,"&gt;"&amp;R665)+COUNTIF($R$2:R665,R665)</x:f>
        <x:v>664</x:v>
      </x:c>
      <x:c r="B665" s="48" t="n">
        <x:v>1210</x:v>
      </x:c>
      <x:c r="C665" s="46" t="str">
        <x:v>Aklın rahatlama dürtüsü</x:v>
      </x:c>
      <x:c r="D665" s="34" t="str">
        <x:v>Büyüme</x:v>
      </x:c>
      <x:c r="E665" s="34" t="str">
        <x:v>Motivasyon</x:v>
      </x:c>
      <x:c r="F665" s="34" t="str">
        <x:v>Can't Hurt Me</x:v>
      </x:c>
      <x:c r="G665" s="34" t="str">
        <x:v>David Goggins</x:v>
      </x:c>
      <x:c r="H665" s="50" t="str">
        <x:v>1</x:v>
      </x:c>
      <x:c r="I665" s="50" t="str">
        <x:v>Temel</x:v>
      </x:c>
      <x:c r="J665" s="51" t="n">
        <x:v>13</x:v>
      </x:c>
      <x:c r="K665" s="51" t="n">
        <x:v>7</x:v>
      </x:c>
      <x:c r="L665" s="51" t="n">
        <x:v>9</x:v>
      </x:c>
      <x:c r="M665" s="51" t="n">
        <x:v>9</x:v>
      </x:c>
      <x:c r="N665" s="51" t="n">
        <x:v>8</x:v>
      </x:c>
      <x:c r="O665" s="51" t="n">
        <x:v>6</x:v>
      </x:c>
      <x:c r="P665" s="51" t="n">
        <x:v>14</x:v>
      </x:c>
      <x:c r="Q665" s="51" t="n">
        <x:v>0</x:v>
      </x:c>
      <x:c r="R665" s="52" t="n">
        <x:f>SUM(J665:Q665)</x:f>
        <x:v>66</x:v>
      </x:c>
      <x:c r="S665" s="50" t="str">
        <x:f>IF(R665&gt;='Rubrik'!$B$17,"Öncelikli video",IF(R665&gt;='Rubrik'!$B$18,"Video kuyruğu",IF(R665&gt;='Rubrik'!$B$19,"Revize et",IF(R665&gt;='Rubrik'!$B$20,"Kartla test","Düşük öncelik"))))</x:f>
        <x:v>Düşük öncelik</x:v>
      </x:c>
      <x:c r="T665" s="50" t="str">
        <x:f>IF(AND(R665&gt;=85,P665&gt;=16,M665&gt;=12,L665&gt;=12),"Reel + Carousel",IF(AND(R665&gt;=85,P665&gt;=16,N665&gt;=8),"Soru odaklı Reel",IF(AND(R665&gt;=85,P665&gt;=16),"Reel / Short",IF(M665&gt;=11,"Carousel","Kart testi"))))</x:f>
        <x:v>Kart testi</x:v>
      </x:c>
      <x:c r="U665" s="46" t="str">
        <x:v>Yüzde kırk duvarı viral bir slogan ama bilimsel temeli yok; bedensel sınırları aşma çağrısı güvenlik riski taşır.</x:v>
      </x:c>
      <x:c r="V665" s="46" t="str">
        <x:f>IF(Q665&lt;=3,"Kaynak kontrolü şart",IF(Q665=4,"Kaynak kontrolü önerilir","Standart doğrulama"))</x:f>
        <x:v>Kaynak kontrolü şart</x:v>
      </x:c>
    </x:row>
    <x:row r="666" ht="24" customHeight="1">
      <x:c r="A666" s="48" t="n">
        <x:f>COUNTIF($R$2:$R$751,"&gt;"&amp;R666)+COUNTIF($R$2:R666,R666)</x:f>
        <x:v>665</x:v>
      </x:c>
      <x:c r="B666" s="48" t="n">
        <x:v>1433</x:v>
      </x:c>
      <x:c r="C666" s="46" t="str">
        <x:v>Yüksek hedef kültürü — moonshot düşünce</x:v>
      </x:c>
      <x:c r="D666" s="34" t="str">
        <x:v>Liderlik</x:v>
      </x:c>
      <x:c r="E666" s="34" t="str">
        <x:v>Yönetim</x:v>
      </x:c>
      <x:c r="F666" s="34" t="str">
        <x:v>Büyüme Kültürü</x:v>
      </x:c>
      <x:c r="G666" s="34" t="str">
        <x:v>John Doerr</x:v>
      </x:c>
      <x:c r="H666" s="50" t="str">
        <x:v>1</x:v>
      </x:c>
      <x:c r="I666" s="50" t="str">
        <x:v>Temel</x:v>
      </x:c>
      <x:c r="J666" s="51" t="n">
        <x:v>10</x:v>
      </x:c>
      <x:c r="K666" s="51" t="n">
        <x:v>4</x:v>
      </x:c>
      <x:c r="L666" s="51" t="n">
        <x:v>10</x:v>
      </x:c>
      <x:c r="M666" s="51" t="n">
        <x:v>13</x:v>
      </x:c>
      <x:c r="N666" s="51" t="n">
        <x:v>7</x:v>
      </x:c>
      <x:c r="O666" s="51" t="n">
        <x:v>5</x:v>
      </x:c>
      <x:c r="P666" s="51" t="n">
        <x:v>13</x:v>
      </x:c>
      <x:c r="Q666" s="51" t="n">
        <x:v>4</x:v>
      </x:c>
      <x:c r="R666" s="52" t="n">
        <x:f>SUM(J666:Q666)</x:f>
        <x:v>66</x:v>
      </x:c>
      <x:c r="S666" s="50" t="str">
        <x:f>IF(R666&gt;='Rubrik'!$B$17,"Öncelikli video",IF(R666&gt;='Rubrik'!$B$18,"Video kuyruğu",IF(R666&gt;='Rubrik'!$B$19,"Revize et",IF(R666&gt;='Rubrik'!$B$20,"Kartla test","Düşük öncelik"))))</x:f>
        <x:v>Düşük öncelik</x:v>
      </x:c>
      <x:c r="T666" s="50" t="str">
        <x:f>IF(AND(R666&gt;=85,P666&gt;=16,M666&gt;=12,L666&gt;=12),"Reel + Carousel",IF(AND(R666&gt;=85,P666&gt;=16,N666&gt;=8),"Soru odaklı Reel",IF(AND(R666&gt;=85,P666&gt;=16),"Reel / Short",IF(M666&gt;=11,"Carousel","Kart testi"))))</x:f>
        <x:v>Carousel</x:v>
      </x:c>
      <x:c r="U666" s="46" t="str">
        <x:v>Yüzde 70 hedef paradoksu güçlü bir merak açıyor; uygulanabilir OKR özeti kaydetmeye uygun.</x:v>
      </x:c>
      <x:c r="V666" s="46" t="str">
        <x:f>IF(Q666&lt;=3,"Kaynak kontrolü şart",IF(Q666=4,"Kaynak kontrolü önerilir","Standart doğrulama"))</x:f>
        <x:v>Kaynak kontrolü önerilir</x:v>
      </x:c>
    </x:row>
    <x:row r="667" ht="24" customHeight="1">
      <x:c r="A667" s="48" t="n">
        <x:f>COUNTIF($R$2:$R$751,"&gt;"&amp;R667)+COUNTIF($R$2:R667,R667)</x:f>
        <x:v>666</x:v>
      </x:c>
      <x:c r="B667" s="48" t="n">
        <x:v>1443</x:v>
      </x:c>
      <x:c r="C667" s="46" t="str">
        <x:v>Zihinsel modeller ve tasarımın gizli dili</x:v>
      </x:c>
      <x:c r="D667" s="34" t="str">
        <x:v>Verimlilik</x:v>
      </x:c>
      <x:c r="E667" s="34" t="str">
        <x:v>Tasarım</x:v>
      </x:c>
      <x:c r="F667" s="34" t="str">
        <x:v>Gündelik Nesneler Tasarımı</x:v>
      </x:c>
      <x:c r="G667" s="34" t="str">
        <x:v>Don Norman</x:v>
      </x:c>
      <x:c r="H667" s="50" t="str">
        <x:v>1</x:v>
      </x:c>
      <x:c r="I667" s="50" t="str">
        <x:v>Temel</x:v>
      </x:c>
      <x:c r="J667" s="51" t="n">
        <x:v>10</x:v>
      </x:c>
      <x:c r="K667" s="51" t="n">
        <x:v>4</x:v>
      </x:c>
      <x:c r="L667" s="51" t="n">
        <x:v>10</x:v>
      </x:c>
      <x:c r="M667" s="51" t="n">
        <x:v>13</x:v>
      </x:c>
      <x:c r="N667" s="51" t="n">
        <x:v>7</x:v>
      </x:c>
      <x:c r="O667" s="51" t="n">
        <x:v>5</x:v>
      </x:c>
      <x:c r="P667" s="51" t="n">
        <x:v>13</x:v>
      </x:c>
      <x:c r="Q667" s="51" t="n">
        <x:v>4</x:v>
      </x:c>
      <x:c r="R667" s="52" t="n">
        <x:f>SUM(J667:Q667)</x:f>
        <x:v>66</x:v>
      </x:c>
      <x:c r="S667" s="50" t="str">
        <x:f>IF(R667&gt;='Rubrik'!$B$17,"Öncelikli video",IF(R667&gt;='Rubrik'!$B$18,"Video kuyruğu",IF(R667&gt;='Rubrik'!$B$19,"Revize et",IF(R667&gt;='Rubrik'!$B$20,"Kartla test","Düşük öncelik"))))</x:f>
        <x:v>Düşük öncelik</x:v>
      </x:c>
      <x:c r="T667" s="50" t="str">
        <x:f>IF(AND(R667&gt;=85,P667&gt;=16,M667&gt;=12,L667&gt;=12),"Reel + Carousel",IF(AND(R667&gt;=85,P667&gt;=16,N667&gt;=8),"Soru odaklı Reel",IF(AND(R667&gt;=85,P667&gt;=16),"Reel / Short",IF(M667&gt;=11,"Carousel","Kart testi"))))</x:f>
        <x:v>Carousel</x:v>
      </x:c>
      <x:c r="U667" s="46" t="str">
        <x:v>Zihinsel modeller gündelik yanılgıları açıklıyor; örneklerle iyi bir kaydetmelik seri olabilir.</x:v>
      </x:c>
      <x:c r="V667" s="46" t="str">
        <x:f>IF(Q667&lt;=3,"Kaynak kontrolü şart",IF(Q667=4,"Kaynak kontrolü önerilir","Standart doğrulama"))</x:f>
        <x:v>Kaynak kontrolü önerilir</x:v>
      </x:c>
    </x:row>
    <x:row r="668" ht="24" customHeight="1">
      <x:c r="A668" s="48" t="n">
        <x:f>COUNTIF($R$2:$R$751,"&gt;"&amp;R668)+COUNTIF($R$2:R668,R668)</x:f>
        <x:v>667</x:v>
      </x:c>
      <x:c r="B668" s="48" t="n">
        <x:v>1446</x:v>
      </x:c>
      <x:c r="C668" s="46" t="str">
        <x:v>Sadakat ve kârlılığın matematiği</x:v>
      </x:c>
      <x:c r="D668" s="34" t="str">
        <x:v>Verimlilik</x:v>
      </x:c>
      <x:c r="E668" s="34" t="str">
        <x:v>İş Dünyası</x:v>
      </x:c>
      <x:c r="F668" s="34" t="str">
        <x:v>Sadakat Etkisi</x:v>
      </x:c>
      <x:c r="G668" s="34" t="str">
        <x:v>Frederick Reichheld</x:v>
      </x:c>
      <x:c r="H668" s="50" t="str">
        <x:v>1</x:v>
      </x:c>
      <x:c r="I668" s="50" t="str">
        <x:v>Temel</x:v>
      </x:c>
      <x:c r="J668" s="51" t="n">
        <x:v>10</x:v>
      </x:c>
      <x:c r="K668" s="51" t="n">
        <x:v>4</x:v>
      </x:c>
      <x:c r="L668" s="51" t="n">
        <x:v>10</x:v>
      </x:c>
      <x:c r="M668" s="51" t="n">
        <x:v>13</x:v>
      </x:c>
      <x:c r="N668" s="51" t="n">
        <x:v>7</x:v>
      </x:c>
      <x:c r="O668" s="51" t="n">
        <x:v>5</x:v>
      </x:c>
      <x:c r="P668" s="51" t="n">
        <x:v>13</x:v>
      </x:c>
      <x:c r="Q668" s="51" t="n">
        <x:v>4</x:v>
      </x:c>
      <x:c r="R668" s="52" t="n">
        <x:f>SUM(J668:Q668)</x:f>
        <x:v>66</x:v>
      </x:c>
      <x:c r="S668" s="50" t="str">
        <x:f>IF(R668&gt;='Rubrik'!$B$17,"Öncelikli video",IF(R668&gt;='Rubrik'!$B$18,"Video kuyruğu",IF(R668&gt;='Rubrik'!$B$19,"Revize et",IF(R668&gt;='Rubrik'!$B$20,"Kartla test","Düşük öncelik"))))</x:f>
        <x:v>Düşük öncelik</x:v>
      </x:c>
      <x:c r="T668" s="50" t="str">
        <x:f>IF(AND(R668&gt;=85,P668&gt;=16,M668&gt;=12,L668&gt;=12),"Reel + Carousel",IF(AND(R668&gt;=85,P668&gt;=16,N668&gt;=8),"Soru odaklı Reel",IF(AND(R668&gt;=85,P668&gt;=16),"Reel / Short",IF(M668&gt;=11,"Carousel","Kart testi"))))</x:f>
        <x:v>Carousel</x:v>
      </x:c>
      <x:c r="U668" s="46" t="str">
        <x:v>Sadakat matematiği somut sonuç vadediyor; sayıların ekranda canlandırılması videoyu güçlendirir.</x:v>
      </x:c>
      <x:c r="V668" s="46" t="str">
        <x:f>IF(Q668&lt;=3,"Kaynak kontrolü şart",IF(Q668=4,"Kaynak kontrolü önerilir","Standart doğrulama"))</x:f>
        <x:v>Kaynak kontrolü önerilir</x:v>
      </x:c>
    </x:row>
    <x:row r="669" ht="24" customHeight="1">
      <x:c r="A669" s="48" t="n">
        <x:f>COUNTIF($R$2:$R$751,"&gt;"&amp;R669)+COUNTIF($R$2:R669,R669)</x:f>
        <x:v>668</x:v>
      </x:c>
      <x:c r="B669" s="48" t="n">
        <x:v>1452</x:v>
      </x:c>
      <x:c r="C669" s="46" t="str">
        <x:v>İnanç ve gerçekleşme döngüsü</x:v>
      </x:c>
      <x:c r="D669" s="34" t="str">
        <x:v>Büyüme</x:v>
      </x:c>
      <x:c r="E669" s="34" t="str">
        <x:v>Motivasyon</x:v>
      </x:c>
      <x:c r="F669" s="34" t="str">
        <x:v>Bilinçaltının Gücü</x:v>
      </x:c>
      <x:c r="G669" s="34" t="str">
        <x:v>Joseph Murphy</x:v>
      </x:c>
      <x:c r="H669" s="50" t="str">
        <x:v>1</x:v>
      </x:c>
      <x:c r="I669" s="50" t="str">
        <x:v>Temel</x:v>
      </x:c>
      <x:c r="J669" s="51" t="n">
        <x:v>10</x:v>
      </x:c>
      <x:c r="K669" s="51" t="n">
        <x:v>5</x:v>
      </x:c>
      <x:c r="L669" s="51" t="n">
        <x:v>10</x:v>
      </x:c>
      <x:c r="M669" s="51" t="n">
        <x:v>13</x:v>
      </x:c>
      <x:c r="N669" s="51" t="n">
        <x:v>7</x:v>
      </x:c>
      <x:c r="O669" s="51" t="n">
        <x:v>5</x:v>
      </x:c>
      <x:c r="P669" s="51" t="n">
        <x:v>13</x:v>
      </x:c>
      <x:c r="Q669" s="51" t="n">
        <x:v>3</x:v>
      </x:c>
      <x:c r="R669" s="52" t="n">
        <x:f>SUM(J669:Q669)</x:f>
        <x:v>66</x:v>
      </x:c>
      <x:c r="S669" s="50" t="str">
        <x:f>IF(R669&gt;='Rubrik'!$B$17,"Öncelikli video",IF(R669&gt;='Rubrik'!$B$18,"Video kuyruğu",IF(R669&gt;='Rubrik'!$B$19,"Revize et",IF(R669&gt;='Rubrik'!$B$20,"Kartla test","Düşük öncelik"))))</x:f>
        <x:v>Düşük öncelik</x:v>
      </x:c>
      <x:c r="T669" s="50" t="str">
        <x:f>IF(AND(R669&gt;=85,P669&gt;=16,M669&gt;=12,L669&gt;=12),"Reel + Carousel",IF(AND(R669&gt;=85,P669&gt;=16,N669&gt;=8),"Soru odaklı Reel",IF(AND(R669&gt;=85,P669&gt;=16),"Reel / Short",IF(M669&gt;=11,"Carousel","Kart testi"))))</x:f>
        <x:v>Carousel</x:v>
      </x:c>
      <x:c r="U669" s="46" t="str">
        <x:v>İnanç-düşünce-eylem döngüsü sade ve uygulanabilir; bilimsel kesinlik tonu yumuşatılırsa güven artar.</x:v>
      </x:c>
      <x:c r="V669" s="46" t="str">
        <x:f>IF(Q669&lt;=3,"Kaynak kontrolü şart",IF(Q669=4,"Kaynak kontrolü önerilir","Standart doğrulama"))</x:f>
        <x:v>Kaynak kontrolü şart</x:v>
      </x:c>
    </x:row>
    <x:row r="670" ht="24" customHeight="1">
      <x:c r="A670" s="48" t="n">
        <x:f>COUNTIF($R$2:$R$751,"&gt;"&amp;R670)+COUNTIF($R$2:R670,R670)</x:f>
        <x:v>669</x:v>
      </x:c>
      <x:c r="B670" s="48" t="n">
        <x:v>1533</x:v>
      </x:c>
      <x:c r="C670" s="46" t="str">
        <x:v>Faydaları açıklamanın paradoksu</x:v>
      </x:c>
      <x:c r="D670" s="34" t="str">
        <x:v>Finans</x:v>
      </x:c>
      <x:c r="E670" s="34" t="str">
        <x:v>Satış</x:v>
      </x:c>
      <x:c r="F670" s="34" t="str">
        <x:v>SPIN Satış</x:v>
      </x:c>
      <x:c r="G670" s="34" t="str">
        <x:v>Neil Rackham</x:v>
      </x:c>
      <x:c r="H670" s="50" t="str">
        <x:v>1</x:v>
      </x:c>
      <x:c r="I670" s="50" t="str">
        <x:v>Temel</x:v>
      </x:c>
      <x:c r="J670" s="51" t="n">
        <x:v>10</x:v>
      </x:c>
      <x:c r="K670" s="51" t="n">
        <x:v>4</x:v>
      </x:c>
      <x:c r="L670" s="51" t="n">
        <x:v>10</x:v>
      </x:c>
      <x:c r="M670" s="51" t="n">
        <x:v>13</x:v>
      </x:c>
      <x:c r="N670" s="51" t="n">
        <x:v>7</x:v>
      </x:c>
      <x:c r="O670" s="51" t="n">
        <x:v>5</x:v>
      </x:c>
      <x:c r="P670" s="51" t="n">
        <x:v>13</x:v>
      </x:c>
      <x:c r="Q670" s="51" t="n">
        <x:v>4</x:v>
      </x:c>
      <x:c r="R670" s="52" t="n">
        <x:f>SUM(J670:Q670)</x:f>
        <x:v>66</x:v>
      </x:c>
      <x:c r="S670" s="50" t="str">
        <x:f>IF(R670&gt;='Rubrik'!$B$17,"Öncelikli video",IF(R670&gt;='Rubrik'!$B$18,"Video kuyruğu",IF(R670&gt;='Rubrik'!$B$19,"Revize et",IF(R670&gt;='Rubrik'!$B$20,"Kartla test","Düşük öncelik"))))</x:f>
        <x:v>Düşük öncelik</x:v>
      </x:c>
      <x:c r="T670" s="50" t="str">
        <x:f>IF(AND(R670&gt;=85,P670&gt;=16,M670&gt;=12,L670&gt;=12),"Reel + Carousel",IF(AND(R670&gt;=85,P670&gt;=16,N670&gt;=8),"Soru odaklı Reel",IF(AND(R670&gt;=85,P670&gt;=16),"Reel / Short",IF(M670&gt;=11,"Carousel","Kart testi"))))</x:f>
        <x:v>Carousel</x:v>
      </x:c>
      <x:c r="U670" s="46" t="str">
        <x:v>Özelliği erken anlatma hatası satışçılara tanıdık geliyor; kısa diyalog canlandırmasıyla iyi video olur.</x:v>
      </x:c>
      <x:c r="V670" s="46" t="str">
        <x:f>IF(Q670&lt;=3,"Kaynak kontrolü şart",IF(Q670=4,"Kaynak kontrolü önerilir","Standart doğrulama"))</x:f>
        <x:v>Kaynak kontrolü önerilir</x:v>
      </x:c>
    </x:row>
    <x:row r="671" ht="24" customHeight="1">
      <x:c r="A671" s="48" t="n">
        <x:f>COUNTIF($R$2:$R$751,"&gt;"&amp;R671)+COUNTIF($R$2:R671,R671)</x:f>
        <x:v>670</x:v>
      </x:c>
      <x:c r="B671" s="48" t="n">
        <x:v>1580</x:v>
      </x:c>
      <x:c r="C671" s="46" t="str">
        <x:v>Kafa kafaya bilgi — asimetrik bilginin ortadan kalkması</x:v>
      </x:c>
      <x:c r="D671" s="34" t="str">
        <x:v>Finans</x:v>
      </x:c>
      <x:c r="E671" s="34" t="str">
        <x:v>Satış</x:v>
      </x:c>
      <x:c r="F671" s="34" t="str">
        <x:v>Satışın Yeni Yüzü</x:v>
      </x:c>
      <x:c r="G671" s="34" t="str">
        <x:v>Daniel Pink</x:v>
      </x:c>
      <x:c r="H671" s="50" t="str">
        <x:v>1</x:v>
      </x:c>
      <x:c r="I671" s="50" t="str">
        <x:v>Temel</x:v>
      </x:c>
      <x:c r="J671" s="51" t="n">
        <x:v>10</x:v>
      </x:c>
      <x:c r="K671" s="51" t="n">
        <x:v>4</x:v>
      </x:c>
      <x:c r="L671" s="51" t="n">
        <x:v>10</x:v>
      </x:c>
      <x:c r="M671" s="51" t="n">
        <x:v>13</x:v>
      </x:c>
      <x:c r="N671" s="51" t="n">
        <x:v>7</x:v>
      </x:c>
      <x:c r="O671" s="51" t="n">
        <x:v>5</x:v>
      </x:c>
      <x:c r="P671" s="51" t="n">
        <x:v>13</x:v>
      </x:c>
      <x:c r="Q671" s="51" t="n">
        <x:v>4</x:v>
      </x:c>
      <x:c r="R671" s="52" t="n">
        <x:f>SUM(J671:Q671)</x:f>
        <x:v>66</x:v>
      </x:c>
      <x:c r="S671" s="50" t="str">
        <x:f>IF(R671&gt;='Rubrik'!$B$17,"Öncelikli video",IF(R671&gt;='Rubrik'!$B$18,"Video kuyruğu",IF(R671&gt;='Rubrik'!$B$19,"Revize et",IF(R671&gt;='Rubrik'!$B$20,"Kartla test","Düşük öncelik"))))</x:f>
        <x:v>Düşük öncelik</x:v>
      </x:c>
      <x:c r="T671" s="50" t="str">
        <x:f>IF(AND(R671&gt;=85,P671&gt;=16,M671&gt;=12,L671&gt;=12),"Reel + Carousel",IF(AND(R671&gt;=85,P671&gt;=16,N671&gt;=8),"Soru odaklı Reel",IF(AND(R671&gt;=85,P671&gt;=16),"Reel / Short",IF(M671&gt;=11,"Carousel","Kart testi"))))</x:f>
        <x:v>Carousel</x:v>
      </x:c>
      <x:c r="U671" s="46" t="str">
        <x:v>Bilgi simetrisinin satışı değiştirmesi güncel ve faydalı; soyut ekonomi dili insani bir örnek gerektiriyor.</x:v>
      </x:c>
      <x:c r="V671" s="46" t="str">
        <x:f>IF(Q671&lt;=3,"Kaynak kontrolü şart",IF(Q671=4,"Kaynak kontrolü önerilir","Standart doğrulama"))</x:f>
        <x:v>Kaynak kontrolü önerilir</x:v>
      </x:c>
    </x:row>
    <x:row r="672" ht="24" customHeight="1">
      <x:c r="A672" s="48" t="n">
        <x:f>COUNTIF($R$2:$R$751,"&gt;"&amp;R672)+COUNTIF($R$2:R672,R672)</x:f>
        <x:v>671</x:v>
      </x:c>
      <x:c r="B672" s="48" t="n">
        <x:v>1252</x:v>
      </x:c>
      <x:c r="C672" s="46" t="str">
        <x:v>Einstein'ın görsel düşünme sırrı</x:v>
      </x:c>
      <x:c r="D672" s="34" t="str">
        <x:v>Felsefe</x:v>
      </x:c>
      <x:c r="E672" s="34" t="str">
        <x:v>Öğrenme</x:v>
      </x:c>
      <x:c r="F672" s="34" t="str">
        <x:v>Zihin Haritası</x:v>
      </x:c>
      <x:c r="G672" s="34" t="str">
        <x:v>Tony Buzan</x:v>
      </x:c>
      <x:c r="H672" s="50" t="str">
        <x:v>1</x:v>
      </x:c>
      <x:c r="I672" s="50" t="str">
        <x:v>Temel</x:v>
      </x:c>
      <x:c r="J672" s="51" t="n">
        <x:v>12</x:v>
      </x:c>
      <x:c r="K672" s="51" t="n">
        <x:v>5</x:v>
      </x:c>
      <x:c r="L672" s="51" t="n">
        <x:v>9</x:v>
      </x:c>
      <x:c r="M672" s="51" t="n">
        <x:v>12</x:v>
      </x:c>
      <x:c r="N672" s="51" t="n">
        <x:v>7</x:v>
      </x:c>
      <x:c r="O672" s="51" t="n">
        <x:v>6</x:v>
      </x:c>
      <x:c r="P672" s="51" t="n">
        <x:v>13</x:v>
      </x:c>
      <x:c r="Q672" s="51" t="n">
        <x:v>2</x:v>
      </x:c>
      <x:c r="R672" s="52" t="n">
        <x:f>SUM(J672:Q672)</x:f>
        <x:v>66</x:v>
      </x:c>
      <x:c r="S672" s="50" t="str">
        <x:f>IF(R672&gt;='Rubrik'!$B$17,"Öncelikli video",IF(R672&gt;='Rubrik'!$B$18,"Video kuyruğu",IF(R672&gt;='Rubrik'!$B$19,"Revize et",IF(R672&gt;='Rubrik'!$B$20,"Kartla test","Düşük öncelik"))))</x:f>
        <x:v>Düşük öncelik</x:v>
      </x:c>
      <x:c r="T672" s="50" t="str">
        <x:f>IF(AND(R672&gt;=85,P672&gt;=16,M672&gt;=12,L672&gt;=12),"Reel + Carousel",IF(AND(R672&gt;=85,P672&gt;=16,N672&gt;=8),"Soru odaklı Reel",IF(AND(R672&gt;=85,P672&gt;=16),"Reel / Short",IF(M672&gt;=11,"Carousel","Kart testi"))))</x:f>
        <x:v>Carousel</x:v>
      </x:c>
      <x:c r="U672" s="46" t="str">
        <x:v>Einstein sahnesi görsel açıdan güçlü; zihin haritasının kanıtlandığı ve araştırma etkisi iddiaları fazla kesin.</x:v>
      </x:c>
      <x:c r="V672" s="46" t="str">
        <x:f>IF(Q672&lt;=3,"Kaynak kontrolü şart",IF(Q672=4,"Kaynak kontrolü önerilir","Standart doğrulama"))</x:f>
        <x:v>Kaynak kontrolü şart</x:v>
      </x:c>
    </x:row>
    <x:row r="673" ht="24" customHeight="1">
      <x:c r="A673" s="48" t="n">
        <x:f>COUNTIF($R$2:$R$751,"&gt;"&amp;R673)+COUNTIF($R$2:R673,R673)</x:f>
        <x:v>672</x:v>
      </x:c>
      <x:c r="B673" s="48" t="n">
        <x:v>1301</x:v>
      </x:c>
      <x:c r="C673" s="46" t="str">
        <x:v>Dünya dört gelir düzeyinde</x:v>
      </x:c>
      <x:c r="D673" s="34" t="str">
        <x:v>Felsefe</x:v>
      </x:c>
      <x:c r="E673" s="34" t="str">
        <x:v>Düşünme</x:v>
      </x:c>
      <x:c r="F673" s="34" t="str">
        <x:v>Akıl Yürütme</x:v>
      </x:c>
      <x:c r="G673" s="34" t="str">
        <x:v>Hans Rosling</x:v>
      </x:c>
      <x:c r="H673" s="50" t="str">
        <x:v>1</x:v>
      </x:c>
      <x:c r="I673" s="50" t="str">
        <x:v>Temel</x:v>
      </x:c>
      <x:c r="J673" s="51" t="n">
        <x:v>11</x:v>
      </x:c>
      <x:c r="K673" s="51" t="n">
        <x:v>5</x:v>
      </x:c>
      <x:c r="L673" s="51" t="n">
        <x:v>9</x:v>
      </x:c>
      <x:c r="M673" s="51" t="n">
        <x:v>12</x:v>
      </x:c>
      <x:c r="N673" s="51" t="n">
        <x:v>8</x:v>
      </x:c>
      <x:c r="O673" s="51" t="n">
        <x:v>6</x:v>
      </x:c>
      <x:c r="P673" s="51" t="n">
        <x:v>13</x:v>
      </x:c>
      <x:c r="Q673" s="51" t="n">
        <x:v>2</x:v>
      </x:c>
      <x:c r="R673" s="52" t="n">
        <x:f>SUM(J673:Q673)</x:f>
        <x:v>66</x:v>
      </x:c>
      <x:c r="S673" s="50" t="str">
        <x:f>IF(R673&gt;='Rubrik'!$B$17,"Öncelikli video",IF(R673&gt;='Rubrik'!$B$18,"Video kuyruğu",IF(R673&gt;='Rubrik'!$B$19,"Revize et",IF(R673&gt;='Rubrik'!$B$20,"Kartla test","Düşük öncelik"))))</x:f>
        <x:v>Düşük öncelik</x:v>
      </x:c>
      <x:c r="T673" s="50" t="str">
        <x:f>IF(AND(R673&gt;=85,P673&gt;=16,M673&gt;=12,L673&gt;=12),"Reel + Carousel",IF(AND(R673&gt;=85,P673&gt;=16,N673&gt;=8),"Soru odaklı Reel",IF(AND(R673&gt;=85,P673&gt;=16),"Reel / Short",IF(M673&gt;=11,"Carousel","Kart testi"))))</x:f>
        <x:v>Carousel</x:v>
      </x:c>
      <x:c r="U673" s="46" t="str">
        <x:v>Dört gelir düzeyi ikili dünya algısını kırıyor; rakamlar güncel yıl ve satın alma gücüyle yenilenmeli.</x:v>
      </x:c>
      <x:c r="V673" s="46" t="str">
        <x:f>IF(Q673&lt;=3,"Kaynak kontrolü şart",IF(Q673=4,"Kaynak kontrolü önerilir","Standart doğrulama"))</x:f>
        <x:v>Kaynak kontrolü şart</x:v>
      </x:c>
    </x:row>
    <x:row r="674" ht="24" customHeight="1">
      <x:c r="A674" s="48" t="n">
        <x:f>COUNTIF($R$2:$R$751,"&gt;"&amp;R674)+COUNTIF($R$2:R674,R674)</x:f>
        <x:v>673</x:v>
      </x:c>
      <x:c r="B674" s="48" t="n">
        <x:v>1341</x:v>
      </x:c>
      <x:c r="C674" s="46" t="str">
        <x:v>Başarının yeni tanımı</x:v>
      </x:c>
      <x:c r="D674" s="34" t="str">
        <x:v>Sağlık</x:v>
      </x:c>
      <x:c r="E674" s="34" t="str">
        <x:v>Sağlık</x:v>
      </x:c>
      <x:c r="F674" s="34" t="str">
        <x:v>Uyku Devrimi</x:v>
      </x:c>
      <x:c r="G674" s="34" t="str">
        <x:v>Arianna Huffington</x:v>
      </x:c>
      <x:c r="H674" s="50" t="str">
        <x:v>1</x:v>
      </x:c>
      <x:c r="I674" s="50" t="str">
        <x:v>Temel</x:v>
      </x:c>
      <x:c r="J674" s="51" t="n">
        <x:v>10</x:v>
      </x:c>
      <x:c r="K674" s="51" t="n">
        <x:v>6</x:v>
      </x:c>
      <x:c r="L674" s="51" t="n">
        <x:v>9</x:v>
      </x:c>
      <x:c r="M674" s="51" t="n">
        <x:v>11</x:v>
      </x:c>
      <x:c r="N674" s="51" t="n">
        <x:v>8</x:v>
      </x:c>
      <x:c r="O674" s="51" t="n">
        <x:v>6</x:v>
      </x:c>
      <x:c r="P674" s="51" t="n">
        <x:v>13</x:v>
      </x:c>
      <x:c r="Q674" s="51" t="n">
        <x:v>3</x:v>
      </x:c>
      <x:c r="R674" s="52" t="n">
        <x:f>SUM(J674:Q674)</x:f>
        <x:v>66</x:v>
      </x:c>
      <x:c r="S674" s="50" t="str">
        <x:f>IF(R674&gt;='Rubrik'!$B$17,"Öncelikli video",IF(R674&gt;='Rubrik'!$B$18,"Video kuyruğu",IF(R674&gt;='Rubrik'!$B$19,"Revize et",IF(R674&gt;='Rubrik'!$B$20,"Kartla test","Düşük öncelik"))))</x:f>
        <x:v>Düşük öncelik</x:v>
      </x:c>
      <x:c r="T674" s="50" t="str">
        <x:f>IF(AND(R674&gt;=85,P674&gt;=16,M674&gt;=12,L674&gt;=12),"Reel + Carousel",IF(AND(R674&gt;=85,P674&gt;=16,N674&gt;=8),"Soru odaklı Reel",IF(AND(R674&gt;=85,P674&gt;=16),"Reel / Short",IF(M674&gt;=11,"Carousel","Kart testi"))))</x:f>
        <x:v>Carousel</x:v>
      </x:c>
      <x:c r="U674" s="46" t="str">
        <x:v>Başarıyı refahla genişletmek anlamlı; dingil-tabure metaforu karışıyor ve maddeler anlatıdan çok liste kalıyor.</x:v>
      </x:c>
      <x:c r="V674" s="46" t="str">
        <x:f>IF(Q674&lt;=3,"Kaynak kontrolü şart",IF(Q674=4,"Kaynak kontrolü önerilir","Standart doğrulama"))</x:f>
        <x:v>Kaynak kontrolü şart</x:v>
      </x:c>
    </x:row>
    <x:row r="675" ht="24" customHeight="1">
      <x:c r="A675" s="48" t="n">
        <x:f>COUNTIF($R$2:$R$751,"&gt;"&amp;R675)+COUNTIF($R$2:R675,R675)</x:f>
        <x:v>674</x:v>
      </x:c>
      <x:c r="B675" s="48" t="n">
        <x:v>1416</x:v>
      </x:c>
      <x:c r="C675" s="46" t="str">
        <x:v>Zemin yasası — güven liderliğin temelidir</x:v>
      </x:c>
      <x:c r="D675" s="34" t="str">
        <x:v>Liderlik</x:v>
      </x:c>
      <x:c r="E675" s="34" t="str">
        <x:v>Liderlik</x:v>
      </x:c>
      <x:c r="F675" s="34" t="str">
        <x:v>Liderlik 21 Yasası</x:v>
      </x:c>
      <x:c r="G675" s="34" t="str">
        <x:v>John C. Maxwell</x:v>
      </x:c>
      <x:c r="H675" s="50" t="str">
        <x:v>1</x:v>
      </x:c>
      <x:c r="I675" s="50" t="str">
        <x:v>Temel</x:v>
      </x:c>
      <x:c r="J675" s="51" t="n">
        <x:v>10</x:v>
      </x:c>
      <x:c r="K675" s="51" t="n">
        <x:v>6</x:v>
      </x:c>
      <x:c r="L675" s="51" t="n">
        <x:v>9</x:v>
      </x:c>
      <x:c r="M675" s="51" t="n">
        <x:v>11</x:v>
      </x:c>
      <x:c r="N675" s="51" t="n">
        <x:v>8</x:v>
      </x:c>
      <x:c r="O675" s="51" t="n">
        <x:v>6</x:v>
      </x:c>
      <x:c r="P675" s="51" t="n">
        <x:v>13</x:v>
      </x:c>
      <x:c r="Q675" s="51" t="n">
        <x:v>3</x:v>
      </x:c>
      <x:c r="R675" s="52" t="n">
        <x:f>SUM(J675:Q675)</x:f>
        <x:v>66</x:v>
      </x:c>
      <x:c r="S675" s="50" t="str">
        <x:f>IF(R675&gt;='Rubrik'!$B$17,"Öncelikli video",IF(R675&gt;='Rubrik'!$B$18,"Video kuyruğu",IF(R675&gt;='Rubrik'!$B$19,"Revize et",IF(R675&gt;='Rubrik'!$B$20,"Kartla test","Düşük öncelik"))))</x:f>
        <x:v>Düşük öncelik</x:v>
      </x:c>
      <x:c r="T675" s="50" t="str">
        <x:f>IF(AND(R675&gt;=85,P675&gt;=16,M675&gt;=12,L675&gt;=12),"Reel + Carousel",IF(AND(R675&gt;=85,P675&gt;=16,N675&gt;=8),"Soru odaklı Reel",IF(AND(R675&gt;=85,P675&gt;=16),"Reel / Short",IF(M675&gt;=11,"Carousel","Kart testi"))))</x:f>
        <x:v>Carousel</x:v>
      </x:c>
      <x:c r="U675" s="46" t="str">
        <x:v>Karakter-zemin metaforu anlaşılır ama klişe; somut çöküş örneği yok ve metinde dil hataları bulunuyor.</x:v>
      </x:c>
      <x:c r="V675" s="46" t="str">
        <x:f>IF(Q675&lt;=3,"Kaynak kontrolü şart",IF(Q675=4,"Kaynak kontrolü önerilir","Standart doğrulama"))</x:f>
        <x:v>Kaynak kontrolü şart</x:v>
      </x:c>
    </x:row>
    <x:row r="676" ht="24" customHeight="1">
      <x:c r="A676" s="48" t="n">
        <x:f>COUNTIF($R$2:$R$751,"&gt;"&amp;R676)+COUNTIF($R$2:R676,R676)</x:f>
        <x:v>675</x:v>
      </x:c>
      <x:c r="B676" s="48" t="n">
        <x:v>1199</x:v>
      </x:c>
      <x:c r="C676" s="46" t="str">
        <x:v>Hemingway'in sabah ritmi</x:v>
      </x:c>
      <x:c r="D676" s="34" t="str">
        <x:v>Verimlilik</x:v>
      </x:c>
      <x:c r="E676" s="34" t="str">
        <x:v>Verimlilik</x:v>
      </x:c>
      <x:c r="F676" s="34" t="str">
        <x:v>Saatlerin Efendisi</x:v>
      </x:c>
      <x:c r="G676" s="34" t="str">
        <x:v>Daniel Pink</x:v>
      </x:c>
      <x:c r="H676" s="50" t="str">
        <x:v>1</x:v>
      </x:c>
      <x:c r="I676" s="50" t="str">
        <x:v>Temel</x:v>
      </x:c>
      <x:c r="J676" s="51" t="n">
        <x:v>12</x:v>
      </x:c>
      <x:c r="K676" s="51" t="n">
        <x:v>6</x:v>
      </x:c>
      <x:c r="L676" s="51" t="n">
        <x:v>8</x:v>
      </x:c>
      <x:c r="M676" s="51" t="n">
        <x:v>12</x:v>
      </x:c>
      <x:c r="N676" s="51" t="n">
        <x:v>8</x:v>
      </x:c>
      <x:c r="O676" s="51" t="n">
        <x:v>6</x:v>
      </x:c>
      <x:c r="P676" s="51" t="n">
        <x:v>13</x:v>
      </x:c>
      <x:c r="Q676" s="51" t="n">
        <x:v>1</x:v>
      </x:c>
      <x:c r="R676" s="52" t="n">
        <x:f>SUM(J676:Q676)</x:f>
        <x:v>66</x:v>
      </x:c>
      <x:c r="S676" s="50" t="str">
        <x:f>IF(R676&gt;='Rubrik'!$B$17,"Öncelikli video",IF(R676&gt;='Rubrik'!$B$18,"Video kuyruğu",IF(R676&gt;='Rubrik'!$B$19,"Revize et",IF(R676&gt;='Rubrik'!$B$20,"Kartla test","Düşük öncelik"))))</x:f>
        <x:v>Düşük öncelik</x:v>
      </x:c>
      <x:c r="T676" s="50" t="str">
        <x:f>IF(AND(R676&gt;=85,P676&gt;=16,M676&gt;=12,L676&gt;=12),"Reel + Carousel",IF(AND(R676&gt;=85,P676&gt;=16,N676&gt;=8),"Soru odaklı Reel",IF(AND(R676&gt;=85,P676&gt;=16),"Reel / Short",IF(M676&gt;=11,"Carousel","Kart testi"))))</x:f>
        <x:v>Carousel</x:v>
      </x:c>
      <x:c r="U676" s="46" t="str">
        <x:v>Hemingway ritmi görsel ve uygulanabilir; sabah analiz, öğleden sonra yaratıcılık genellemesi güven zedeliyor.</x:v>
      </x:c>
      <x:c r="V676" s="46" t="str">
        <x:f>IF(Q676&lt;=3,"Kaynak kontrolü şart",IF(Q676=4,"Kaynak kontrolü önerilir","Standart doğrulama"))</x:f>
        <x:v>Kaynak kontrolü şart</x:v>
      </x:c>
    </x:row>
    <x:row r="677" ht="24" customHeight="1">
      <x:c r="A677" s="48" t="n">
        <x:f>COUNTIF($R$2:$R$751,"&gt;"&amp;R677)+COUNTIF($R$2:R677,R677)</x:f>
        <x:v>676</x:v>
      </x:c>
      <x:c r="B677" s="48" t="n">
        <x:v>1310</x:v>
      </x:c>
      <x:c r="C677" s="46" t="str">
        <x:v>Geri bildirim döngüleri ve kendi kendini besleyen kısır döngüler</x:v>
      </x:c>
      <x:c r="D677" s="34" t="str">
        <x:v>Felsefe</x:v>
      </x:c>
      <x:c r="E677" s="34" t="str">
        <x:v>Düşünme</x:v>
      </x:c>
      <x:c r="F677" s="34" t="str">
        <x:v>Thinking in Systems</x:v>
      </x:c>
      <x:c r="G677" s="34" t="str">
        <x:v>Donella Meadows</x:v>
      </x:c>
      <x:c r="H677" s="50" t="str">
        <x:v>1</x:v>
      </x:c>
      <x:c r="I677" s="50" t="str">
        <x:v>Temel</x:v>
      </x:c>
      <x:c r="J677" s="51" t="n">
        <x:v>10</x:v>
      </x:c>
      <x:c r="K677" s="51" t="n">
        <x:v>5</x:v>
      </x:c>
      <x:c r="L677" s="51" t="n">
        <x:v>9</x:v>
      </x:c>
      <x:c r="M677" s="51" t="n">
        <x:v>13</x:v>
      </x:c>
      <x:c r="N677" s="51" t="n">
        <x:v>8</x:v>
      </x:c>
      <x:c r="O677" s="51" t="n">
        <x:v>5</x:v>
      </x:c>
      <x:c r="P677" s="51" t="n">
        <x:v>12</x:v>
      </x:c>
      <x:c r="Q677" s="51" t="n">
        <x:v>4</x:v>
      </x:c>
      <x:c r="R677" s="52" t="n">
        <x:f>SUM(J677:Q677)</x:f>
        <x:v>66</x:v>
      </x:c>
      <x:c r="S677" s="50" t="str">
        <x:f>IF(R677&gt;='Rubrik'!$B$17,"Öncelikli video",IF(R677&gt;='Rubrik'!$B$18,"Video kuyruğu",IF(R677&gt;='Rubrik'!$B$19,"Revize et",IF(R677&gt;='Rubrik'!$B$20,"Kartla test","Düşük öncelik"))))</x:f>
        <x:v>Düşük öncelik</x:v>
      </x:c>
      <x:c r="T677" s="50" t="str">
        <x:f>IF(AND(R677&gt;=85,P677&gt;=16,M677&gt;=12,L677&gt;=12),"Reel + Carousel",IF(AND(R677&gt;=85,P677&gt;=16,N677&gt;=8),"Soru odaklı Reel",IF(AND(R677&gt;=85,P677&gt;=16),"Reel / Short",IF(M677&gt;=11,"Carousel","Kart testi"))))</x:f>
        <x:v>Carousel</x:v>
      </x:c>
      <x:c r="U677" s="46" t="str">
        <x:v>Geri bildirim döngüleri faydalı bir düşünme aracı; insan sahnesi ve şaşırtıcı dönüş olmadığı için video enerjisi düşük.</x:v>
      </x:c>
      <x:c r="V677" s="46" t="str">
        <x:f>IF(Q677&lt;=3,"Kaynak kontrolü şart",IF(Q677=4,"Kaynak kontrolü önerilir","Standart doğrulama"))</x:f>
        <x:v>Kaynak kontrolü önerilir</x:v>
      </x:c>
    </x:row>
    <x:row r="678" ht="24" customHeight="1">
      <x:c r="A678" s="48" t="n">
        <x:f>COUNTIF($R$2:$R$751,"&gt;"&amp;R678)+COUNTIF($R$2:R678,R678)</x:f>
        <x:v>677</x:v>
      </x:c>
      <x:c r="B678" s="48" t="n">
        <x:v>1064</x:v>
      </x:c>
      <x:c r="C678" s="46" t="str">
        <x:v>Google çalışanına verilen dürüst geri bildirim</x:v>
      </x:c>
      <x:c r="D678" s="34" t="str">
        <x:v>Liderlik</x:v>
      </x:c>
      <x:c r="E678" s="34" t="str">
        <x:v>Liderlik</x:v>
      </x:c>
      <x:c r="F678" s="34" t="str">
        <x:v>Dürüst Olmak</x:v>
      </x:c>
      <x:c r="G678" s="34" t="str">
        <x:v>Kim Scott</x:v>
      </x:c>
      <x:c r="H678" s="50" t="str">
        <x:v>1</x:v>
      </x:c>
      <x:c r="I678" s="50" t="str">
        <x:v>Temel</x:v>
      </x:c>
      <x:c r="J678" s="51" t="n">
        <x:v>11</x:v>
      </x:c>
      <x:c r="K678" s="51" t="n">
        <x:v>7</x:v>
      </x:c>
      <x:c r="L678" s="51" t="n">
        <x:v>8</x:v>
      </x:c>
      <x:c r="M678" s="51" t="n">
        <x:v>11</x:v>
      </x:c>
      <x:c r="N678" s="51" t="n">
        <x:v>9</x:v>
      </x:c>
      <x:c r="O678" s="51" t="n">
        <x:v>6</x:v>
      </x:c>
      <x:c r="P678" s="51" t="n">
        <x:v>12</x:v>
      </x:c>
      <x:c r="Q678" s="51" t="n">
        <x:v>2</x:v>
      </x:c>
      <x:c r="R678" s="52" t="n">
        <x:f>SUM(J678:Q678)</x:f>
        <x:v>66</x:v>
      </x:c>
      <x:c r="S678" s="50" t="str">
        <x:f>IF(R678&gt;='Rubrik'!$B$17,"Öncelikli video",IF(R678&gt;='Rubrik'!$B$18,"Video kuyruğu",IF(R678&gt;='Rubrik'!$B$19,"Revize et",IF(R678&gt;='Rubrik'!$B$20,"Kartla test","Düşük öncelik"))))</x:f>
        <x:v>Düşük öncelik</x:v>
      </x:c>
      <x:c r="T678" s="50" t="str">
        <x:f>IF(AND(R678&gt;=85,P678&gt;=16,M678&gt;=12,L678&gt;=12),"Reel + Carousel",IF(AND(R678&gt;=85,P678&gt;=16,N678&gt;=8),"Soru odaklı Reel",IF(AND(R678&gt;=85,P678&gt;=16),"Reel / Short",IF(M678&gt;=11,"Carousel","Kart testi"))))</x:f>
        <x:v>Carousel</x:v>
      </x:c>
      <x:c r="U678" s="46" t="str">
        <x:v>Dürüstlük ikilemi iyi bir sohbet açıyor; isimsiz Google anekdotu ve kariyer dönüşümü yeterince doğrulanmıyor.</x:v>
      </x:c>
      <x:c r="V678" s="46" t="str">
        <x:f>IF(Q678&lt;=3,"Kaynak kontrolü şart",IF(Q678=4,"Kaynak kontrolü önerilir","Standart doğrulama"))</x:f>
        <x:v>Kaynak kontrolü şart</x:v>
      </x:c>
    </x:row>
    <x:row r="679" ht="24" customHeight="1">
      <x:c r="A679" s="48" t="n">
        <x:f>COUNTIF($R$2:$R$751,"&gt;"&amp;R679)+COUNTIF($R$2:R679,R679)</x:f>
        <x:v>678</x:v>
      </x:c>
      <x:c r="B679" s="48" t="n">
        <x:v>1071</x:v>
      </x:c>
      <x:c r="C679" s="46" t="str">
        <x:v>Adam Grant'in toplu e-posta stratejisi</x:v>
      </x:c>
      <x:c r="D679" s="34" t="str">
        <x:v>Verimlilik</x:v>
      </x:c>
      <x:c r="E679" s="34" t="str">
        <x:v>Verimlilik</x:v>
      </x:c>
      <x:c r="F679" s="34" t="str">
        <x:v>Derin Çalışma</x:v>
      </x:c>
      <x:c r="G679" s="34" t="str">
        <x:v>Cal Newport</x:v>
      </x:c>
      <x:c r="H679" s="50" t="str">
        <x:v>1</x:v>
      </x:c>
      <x:c r="I679" s="50" t="str">
        <x:v>Temel</x:v>
      </x:c>
      <x:c r="J679" s="51" t="n">
        <x:v>12</x:v>
      </x:c>
      <x:c r="K679" s="51" t="n">
        <x:v>6</x:v>
      </x:c>
      <x:c r="L679" s="51" t="n">
        <x:v>8</x:v>
      </x:c>
      <x:c r="M679" s="51" t="n">
        <x:v>13</x:v>
      </x:c>
      <x:c r="N679" s="51" t="n">
        <x:v>7</x:v>
      </x:c>
      <x:c r="O679" s="51" t="n">
        <x:v>6</x:v>
      </x:c>
      <x:c r="P679" s="51" t="n">
        <x:v>12</x:v>
      </x:c>
      <x:c r="Q679" s="51" t="n">
        <x:v>2</x:v>
      </x:c>
      <x:c r="R679" s="52" t="n">
        <x:f>SUM(J679:Q679)</x:f>
        <x:v>66</x:v>
      </x:c>
      <x:c r="S679" s="50" t="str">
        <x:f>IF(R679&gt;='Rubrik'!$B$17,"Öncelikli video",IF(R679&gt;='Rubrik'!$B$18,"Video kuyruğu",IF(R679&gt;='Rubrik'!$B$19,"Revize et",IF(R679&gt;='Rubrik'!$B$20,"Kartla test","Düşük öncelik"))))</x:f>
        <x:v>Düşük öncelik</x:v>
      </x:c>
      <x:c r="T679" s="50" t="str">
        <x:f>IF(AND(R679&gt;=85,P679&gt;=16,M679&gt;=12,L679&gt;=12),"Reel + Carousel",IF(AND(R679&gt;=85,P679&gt;=16,N679&gt;=8),"Soru odaklı Reel",IF(AND(R679&gt;=85,P679&gt;=16),"Reel / Short",IF(M679&gt;=11,"Carousel","Kart testi"))))</x:f>
        <x:v>Carousel</x:v>
      </x:c>
      <x:c r="U679" s="46" t="str">
        <x:v>E-postaları toplama fikri pratik ve kaydedilir; verimliliğin ikiye katlandığı iddiası kaynak gerektiriyor.</x:v>
      </x:c>
      <x:c r="V679" s="46" t="str">
        <x:f>IF(Q679&lt;=3,"Kaynak kontrolü şart",IF(Q679=4,"Kaynak kontrolü önerilir","Standart doğrulama"))</x:f>
        <x:v>Kaynak kontrolü şart</x:v>
      </x:c>
    </x:row>
    <x:row r="680" ht="24" customHeight="1">
      <x:c r="A680" s="48" t="n">
        <x:f>COUNTIF($R$2:$R$751,"&gt;"&amp;R680)+COUNTIF($R$2:R680,R680)</x:f>
        <x:v>679</x:v>
      </x:c>
      <x:c r="B680" s="48" t="n">
        <x:v>1175</x:v>
      </x:c>
      <x:c r="C680" s="46" t="str">
        <x:v>Eleştiri yerine soru sormak</x:v>
      </x:c>
      <x:c r="D680" s="34" t="str">
        <x:v>İletişim</x:v>
      </x:c>
      <x:c r="E680" s="34" t="str">
        <x:v>İletişim</x:v>
      </x:c>
      <x:c r="F680" s="34" t="str">
        <x:v>İkna Sanatı</x:v>
      </x:c>
      <x:c r="G680" s="34" t="str">
        <x:v>Dale Carnegie</x:v>
      </x:c>
      <x:c r="H680" s="50" t="str">
        <x:v>1</x:v>
      </x:c>
      <x:c r="I680" s="50" t="str">
        <x:v>Temel</x:v>
      </x:c>
      <x:c r="J680" s="51" t="n">
        <x:v>11</x:v>
      </x:c>
      <x:c r="K680" s="51" t="n">
        <x:v>7</x:v>
      </x:c>
      <x:c r="L680" s="51" t="n">
        <x:v>8</x:v>
      </x:c>
      <x:c r="M680" s="51" t="n">
        <x:v>12</x:v>
      </x:c>
      <x:c r="N680" s="51" t="n">
        <x:v>9</x:v>
      </x:c>
      <x:c r="O680" s="51" t="n">
        <x:v>6</x:v>
      </x:c>
      <x:c r="P680" s="51" t="n">
        <x:v>12</x:v>
      </x:c>
      <x:c r="Q680" s="51" t="n">
        <x:v>1</x:v>
      </x:c>
      <x:c r="R680" s="52" t="n">
        <x:f>SUM(J680:Q680)</x:f>
        <x:v>66</x:v>
      </x:c>
      <x:c r="S680" s="50" t="str">
        <x:f>IF(R680&gt;='Rubrik'!$B$17,"Öncelikli video",IF(R680&gt;='Rubrik'!$B$18,"Video kuyruğu",IF(R680&gt;='Rubrik'!$B$19,"Revize et",IF(R680&gt;='Rubrik'!$B$20,"Kartla test","Düşük öncelik"))))</x:f>
        <x:v>Düşük öncelik</x:v>
      </x:c>
      <x:c r="T680" s="50" t="str">
        <x:f>IF(AND(R680&gt;=85,P680&gt;=16,M680&gt;=12,L680&gt;=12),"Reel + Carousel",IF(AND(R680&gt;=85,P680&gt;=16,N680&gt;=8),"Soru odaklı Reel",IF(AND(R680&gt;=85,P680&gt;=16),"Reel / Short",IF(M680&gt;=11,"Carousel","Kart testi"))))</x:f>
        <x:v>Carousel</x:v>
      </x:c>
      <x:c r="U680" s="46" t="str">
        <x:v>Azar yerine soru sorma hemen uygulanır; isimsiz fabrika olayı özgünlük ve güven üretmiyor.</x:v>
      </x:c>
      <x:c r="V680" s="46" t="str">
        <x:f>IF(Q680&lt;=3,"Kaynak kontrolü şart",IF(Q680=4,"Kaynak kontrolü önerilir","Standart doğrulama"))</x:f>
        <x:v>Kaynak kontrolü şart</x:v>
      </x:c>
    </x:row>
    <x:row r="681" ht="24" customHeight="1">
      <x:c r="A681" s="48" t="n">
        <x:f>COUNTIF($R$2:$R$751,"&gt;"&amp;R681)+COUNTIF($R$2:R681,R681)</x:f>
        <x:v>680</x:v>
      </x:c>
      <x:c r="B681" s="48" t="n">
        <x:v>1082</x:v>
      </x:c>
      <x:c r="C681" s="46" t="str">
        <x:v>Kirpi Konsepti</x:v>
      </x:c>
      <x:c r="D681" s="34" t="str">
        <x:v>Verimlilik</x:v>
      </x:c>
      <x:c r="E681" s="34" t="str">
        <x:v>İş Dünyası</x:v>
      </x:c>
      <x:c r="F681" s="34" t="str">
        <x:v>Good to Great</x:v>
      </x:c>
      <x:c r="G681" s="34" t="str">
        <x:v>Jim Collins</x:v>
      </x:c>
      <x:c r="H681" s="50" t="str">
        <x:v>1</x:v>
      </x:c>
      <x:c r="I681" s="50" t="str">
        <x:v>Temel</x:v>
      </x:c>
      <x:c r="J681" s="51" t="n">
        <x:v>11</x:v>
      </x:c>
      <x:c r="K681" s="51" t="n">
        <x:v>6</x:v>
      </x:c>
      <x:c r="L681" s="51" t="n">
        <x:v>8</x:v>
      </x:c>
      <x:c r="M681" s="51" t="n">
        <x:v>13</x:v>
      </x:c>
      <x:c r="N681" s="51" t="n">
        <x:v>8</x:v>
      </x:c>
      <x:c r="O681" s="51" t="n">
        <x:v>5</x:v>
      </x:c>
      <x:c r="P681" s="51" t="n">
        <x:v>11</x:v>
      </x:c>
      <x:c r="Q681" s="51" t="n">
        <x:v>4</x:v>
      </x:c>
      <x:c r="R681" s="52" t="n">
        <x:f>SUM(J681:Q681)</x:f>
        <x:v>66</x:v>
      </x:c>
      <x:c r="S681" s="50" t="str">
        <x:f>IF(R681&gt;='Rubrik'!$B$17,"Öncelikli video",IF(R681&gt;='Rubrik'!$B$18,"Video kuyruğu",IF(R681&gt;='Rubrik'!$B$19,"Revize et",IF(R681&gt;='Rubrik'!$B$20,"Kartla test","Düşük öncelik"))))</x:f>
        <x:v>Düşük öncelik</x:v>
      </x:c>
      <x:c r="T681" s="50" t="str">
        <x:f>IF(AND(R681&gt;=85,P681&gt;=16,M681&gt;=12,L681&gt;=12),"Reel + Carousel",IF(AND(R681&gt;=85,P681&gt;=16,N681&gt;=8),"Soru odaklı Reel",IF(AND(R681&gt;=85,P681&gt;=16),"Reel / Short",IF(M681&gt;=11,"Carousel","Kart testi"))))</x:f>
        <x:v>Carousel</x:v>
      </x:c>
      <x:c r="U681" s="46" t="str">
        <x:v>Kirpi ve üç daire kaydedilebilir bir çerçeve; karakter ve olay eksikliği videoda duyguyu azaltıyor.</x:v>
      </x:c>
      <x:c r="V681" s="46" t="str">
        <x:f>IF(Q681&lt;=3,"Kaynak kontrolü şart",IF(Q681=4,"Kaynak kontrolü önerilir","Standart doğrulama"))</x:f>
        <x:v>Kaynak kontrolü önerilir</x:v>
      </x:c>
    </x:row>
    <x:row r="682" ht="24" customHeight="1">
      <x:c r="A682" s="48" t="n">
        <x:f>COUNTIF($R$2:$R$751,"&gt;"&amp;R682)+COUNTIF($R$2:R682,R682)</x:f>
        <x:v>681</x:v>
      </x:c>
      <x:c r="B682" s="48" t="n">
        <x:v>1130</x:v>
      </x:c>
      <x:c r="C682" s="46" t="str">
        <x:v>Şampiyonların sırrı: zorluğu sevmek</x:v>
      </x:c>
      <x:c r="D682" s="34" t="str">
        <x:v>Psikoloji</x:v>
      </x:c>
      <x:c r="E682" s="34" t="str">
        <x:v>Psikoloji</x:v>
      </x:c>
      <x:c r="F682" s="34" t="str">
        <x:v>Büyüme Zihniyeti</x:v>
      </x:c>
      <x:c r="G682" s="34" t="str">
        <x:v>Carol Dweck</x:v>
      </x:c>
      <x:c r="H682" s="50" t="str">
        <x:v>1</x:v>
      </x:c>
      <x:c r="I682" s="50" t="str">
        <x:v>Temel</x:v>
      </x:c>
      <x:c r="J682" s="51" t="n">
        <x:v>11</x:v>
      </x:c>
      <x:c r="K682" s="51" t="n">
        <x:v>7</x:v>
      </x:c>
      <x:c r="L682" s="51" t="n">
        <x:v>8</x:v>
      </x:c>
      <x:c r="M682" s="51" t="n">
        <x:v>12</x:v>
      </x:c>
      <x:c r="N682" s="51" t="n">
        <x:v>9</x:v>
      </x:c>
      <x:c r="O682" s="51" t="n">
        <x:v>5</x:v>
      </x:c>
      <x:c r="P682" s="51" t="n">
        <x:v>11</x:v>
      </x:c>
      <x:c r="Q682" s="51" t="n">
        <x:v>3</x:v>
      </x:c>
      <x:c r="R682" s="52" t="n">
        <x:f>SUM(J682:Q682)</x:f>
        <x:v>66</x:v>
      </x:c>
      <x:c r="S682" s="50" t="str">
        <x:f>IF(R682&gt;='Rubrik'!$B$17,"Öncelikli video",IF(R682&gt;='Rubrik'!$B$18,"Video kuyruğu",IF(R682&gt;='Rubrik'!$B$19,"Revize et",IF(R682&gt;='Rubrik'!$B$20,"Kartla test","Düşük öncelik"))))</x:f>
        <x:v>Düşük öncelik</x:v>
      </x:c>
      <x:c r="T682" s="50" t="str">
        <x:f>IF(AND(R682&gt;=85,P682&gt;=16,M682&gt;=12,L682&gt;=12),"Reel + Carousel",IF(AND(R682&gt;=85,P682&gt;=16,N682&gt;=8),"Soru odaklı Reel",IF(AND(R682&gt;=85,P682&gt;=16),"Reel / Short",IF(M682&gt;=11,"Carousel","Kart testi"))))</x:f>
        <x:v>Carousel</x:v>
      </x:c>
      <x:c r="U682" s="46" t="str">
        <x:v>Tehdit ve fırsat karşıtlığı faydalı; belirli sporcu veya çalışma olmayınca anlatı genel motivasyonda kalıyor.</x:v>
      </x:c>
      <x:c r="V682" s="46" t="str">
        <x:f>IF(Q682&lt;=3,"Kaynak kontrolü şart",IF(Q682=4,"Kaynak kontrolü önerilir","Standart doğrulama"))</x:f>
        <x:v>Kaynak kontrolü şart</x:v>
      </x:c>
    </x:row>
    <x:row r="683" ht="24" customHeight="1">
      <x:c r="A683" s="48" t="n">
        <x:f>COUNTIF($R$2:$R$751,"&gt;"&amp;R683)+COUNTIF($R$2:R683,R683)</x:f>
        <x:v>682</x:v>
      </x:c>
      <x:c r="B683" s="48" t="n">
        <x:v>1138</x:v>
      </x:c>
      <x:c r="C683" s="46" t="str">
        <x:v>Güven vergisi ve güven temettüsü</x:v>
      </x:c>
      <x:c r="D683" s="34" t="str">
        <x:v>Liderlik</x:v>
      </x:c>
      <x:c r="E683" s="34" t="str">
        <x:v>Liderlik</x:v>
      </x:c>
      <x:c r="F683" s="34" t="str">
        <x:v>Hız ve Güven</x:v>
      </x:c>
      <x:c r="G683" s="34" t="str">
        <x:v>Stephen M. R. Covey</x:v>
      </x:c>
      <x:c r="H683" s="50" t="str">
        <x:v>1</x:v>
      </x:c>
      <x:c r="I683" s="50" t="str">
        <x:v>Temel</x:v>
      </x:c>
      <x:c r="J683" s="51" t="n">
        <x:v>11</x:v>
      </x:c>
      <x:c r="K683" s="51" t="n">
        <x:v>6</x:v>
      </x:c>
      <x:c r="L683" s="51" t="n">
        <x:v>8</x:v>
      </x:c>
      <x:c r="M683" s="51" t="n">
        <x:v>13</x:v>
      </x:c>
      <x:c r="N683" s="51" t="n">
        <x:v>8</x:v>
      </x:c>
      <x:c r="O683" s="51" t="n">
        <x:v>5</x:v>
      </x:c>
      <x:c r="P683" s="51" t="n">
        <x:v>11</x:v>
      </x:c>
      <x:c r="Q683" s="51" t="n">
        <x:v>4</x:v>
      </x:c>
      <x:c r="R683" s="52" t="n">
        <x:f>SUM(J683:Q683)</x:f>
        <x:v>66</x:v>
      </x:c>
      <x:c r="S683" s="50" t="str">
        <x:f>IF(R683&gt;='Rubrik'!$B$17,"Öncelikli video",IF(R683&gt;='Rubrik'!$B$18,"Video kuyruğu",IF(R683&gt;='Rubrik'!$B$19,"Revize et",IF(R683&gt;='Rubrik'!$B$20,"Kartla test","Düşük öncelik"))))</x:f>
        <x:v>Düşük öncelik</x:v>
      </x:c>
      <x:c r="T683" s="50" t="str">
        <x:f>IF(AND(R683&gt;=85,P683&gt;=16,M683&gt;=12,L683&gt;=12),"Reel + Carousel",IF(AND(R683&gt;=85,P683&gt;=16,N683&gt;=8),"Soru odaklı Reel",IF(AND(R683&gt;=85,P683&gt;=16),"Reel / Short",IF(M683&gt;=11,"Carousel","Kart testi"))))</x:f>
        <x:v>Carousel</x:v>
      </x:c>
      <x:c r="U683" s="46" t="str">
        <x:v>Vergi ve temettü çerçevesi iş hayatında kaydedilir; karakter ve olay olmayınca video anlatısı kuru kalıyor.</x:v>
      </x:c>
      <x:c r="V683" s="46" t="str">
        <x:f>IF(Q683&lt;=3,"Kaynak kontrolü şart",IF(Q683=4,"Kaynak kontrolü önerilir","Standart doğrulama"))</x:f>
        <x:v>Kaynak kontrolü önerilir</x:v>
      </x:c>
    </x:row>
    <x:row r="684" ht="24" customHeight="1">
      <x:c r="A684" s="48" t="n">
        <x:f>COUNTIF($R$2:$R$751,"&gt;"&amp;R684)+COUNTIF($R$2:R684,R684)</x:f>
        <x:v>683</x:v>
      </x:c>
      <x:c r="B684" s="48" t="n">
        <x:v>1157</x:v>
      </x:c>
      <x:c r="C684" s="46" t="str">
        <x:v>Zorlukları hediyeye çevirmek</x:v>
      </x:c>
      <x:c r="D684" s="34" t="str">
        <x:v>Psikoloji</x:v>
      </x:c>
      <x:c r="E684" s="34" t="str">
        <x:v>Psikoloji</x:v>
      </x:c>
      <x:c r="F684" s="34" t="str">
        <x:v>Olumlu Zeka</x:v>
      </x:c>
      <x:c r="G684" s="34" t="str">
        <x:v>Shirzad Chamine</x:v>
      </x:c>
      <x:c r="H684" s="50" t="str">
        <x:v>1</x:v>
      </x:c>
      <x:c r="I684" s="50" t="str">
        <x:v>Temel</x:v>
      </x:c>
      <x:c r="J684" s="51" t="n">
        <x:v>11</x:v>
      </x:c>
      <x:c r="K684" s="51" t="n">
        <x:v>7</x:v>
      </x:c>
      <x:c r="L684" s="51" t="n">
        <x:v>8</x:v>
      </x:c>
      <x:c r="M684" s="51" t="n">
        <x:v>12</x:v>
      </x:c>
      <x:c r="N684" s="51" t="n">
        <x:v>9</x:v>
      </x:c>
      <x:c r="O684" s="51" t="n">
        <x:v>5</x:v>
      </x:c>
      <x:c r="P684" s="51" t="n">
        <x:v>11</x:v>
      </x:c>
      <x:c r="Q684" s="51" t="n">
        <x:v>3</x:v>
      </x:c>
      <x:c r="R684" s="52" t="n">
        <x:f>SUM(J684:Q684)</x:f>
        <x:v>66</x:v>
      </x:c>
      <x:c r="S684" s="50" t="str">
        <x:f>IF(R684&gt;='Rubrik'!$B$17,"Öncelikli video",IF(R684&gt;='Rubrik'!$B$18,"Video kuyruğu",IF(R684&gt;='Rubrik'!$B$19,"Revize et",IF(R684&gt;='Rubrik'!$B$20,"Kartla test","Düşük öncelik"))))</x:f>
        <x:v>Düşük öncelik</x:v>
      </x:c>
      <x:c r="T684" s="50" t="str">
        <x:f>IF(AND(R684&gt;=85,P684&gt;=16,M684&gt;=12,L684&gt;=12),"Reel + Carousel",IF(AND(R684&gt;=85,P684&gt;=16,N684&gt;=8),"Soru odaklı Reel",IF(AND(R684&gt;=85,P684&gt;=16),"Reel / Short",IF(M684&gt;=11,"Carousel","Kart testi"))))</x:f>
        <x:v>Carousel</x:v>
      </x:c>
      <x:c r="U684" s="46" t="str">
        <x:v>Tehdit mi ders mi sorusu kullanışlı fakat belirli vaka yok; olumlu yeniden çerçeveleme genel kalıyor.</x:v>
      </x:c>
      <x:c r="V684" s="46" t="str">
        <x:f>IF(Q684&lt;=3,"Kaynak kontrolü şart",IF(Q684=4,"Kaynak kontrolü önerilir","Standart doğrulama"))</x:f>
        <x:v>Kaynak kontrolü şart</x:v>
      </x:c>
    </x:row>
    <x:row r="685" ht="24" customHeight="1">
      <x:c r="A685" s="48" t="n">
        <x:f>COUNTIF($R$2:$R$751,"&gt;"&amp;R685)+COUNTIF($R$2:R685,R685)</x:f>
        <x:v>684</x:v>
      </x:c>
      <x:c r="B685" s="48" t="n">
        <x:v>1183</x:v>
      </x:c>
      <x:c r="C685" s="46" t="str">
        <x:v>Finansal özgürlüğün beş adımı</x:v>
      </x:c>
      <x:c r="D685" s="34" t="str">
        <x:v>Finans</x:v>
      </x:c>
      <x:c r="E685" s="34" t="str">
        <x:v>Finans</x:v>
      </x:c>
      <x:c r="F685" s="34" t="str">
        <x:v>Money: Master the Game</x:v>
      </x:c>
      <x:c r="G685" s="34" t="str">
        <x:v>Tony Robbins</x:v>
      </x:c>
      <x:c r="H685" s="50" t="str">
        <x:v>1</x:v>
      </x:c>
      <x:c r="I685" s="50" t="str">
        <x:v>Temel</x:v>
      </x:c>
      <x:c r="J685" s="51" t="n">
        <x:v>11</x:v>
      </x:c>
      <x:c r="K685" s="51" t="n">
        <x:v>6</x:v>
      </x:c>
      <x:c r="L685" s="51" t="n">
        <x:v>8</x:v>
      </x:c>
      <x:c r="M685" s="51" t="n">
        <x:v>15</x:v>
      </x:c>
      <x:c r="N685" s="51" t="n">
        <x:v>8</x:v>
      </x:c>
      <x:c r="O685" s="51" t="n">
        <x:v>4</x:v>
      </x:c>
      <x:c r="P685" s="51" t="n">
        <x:v>11</x:v>
      </x:c>
      <x:c r="Q685" s="51" t="n">
        <x:v>3</x:v>
      </x:c>
      <x:c r="R685" s="52" t="n">
        <x:f>SUM(J685:Q685)</x:f>
        <x:v>66</x:v>
      </x:c>
      <x:c r="S685" s="50" t="str">
        <x:f>IF(R685&gt;='Rubrik'!$B$17,"Öncelikli video",IF(R685&gt;='Rubrik'!$B$18,"Video kuyruğu",IF(R685&gt;='Rubrik'!$B$19,"Revize et",IF(R685&gt;='Rubrik'!$B$20,"Kartla test","Düşük öncelik"))))</x:f>
        <x:v>Düşük öncelik</x:v>
      </x:c>
      <x:c r="T685" s="50" t="str">
        <x:f>IF(AND(R685&gt;=85,P685&gt;=16,M685&gt;=12,L685&gt;=12),"Reel + Carousel",IF(AND(R685&gt;=85,P685&gt;=16,N685&gt;=8),"Soru odaklı Reel",IF(AND(R685&gt;=85,P685&gt;=16),"Reel / Short",IF(M685&gt;=11,"Carousel","Kart testi"))))</x:f>
        <x:v>Carousel</x:v>
      </x:c>
      <x:c r="U685" s="46" t="str">
        <x:v>Beş finans adımı pratik bir liste; anlatı, duygu ve yatırım risklerine ilişkin nüans sınırlı.</x:v>
      </x:c>
      <x:c r="V685" s="46" t="str">
        <x:f>IF(Q685&lt;=3,"Kaynak kontrolü şart",IF(Q685=4,"Kaynak kontrolü önerilir","Standart doğrulama"))</x:f>
        <x:v>Kaynak kontrolü şart</x:v>
      </x:c>
    </x:row>
    <x:row r="686" ht="24" customHeight="1">
      <x:c r="A686" s="48" t="n">
        <x:f>COUNTIF($R$2:$R$751,"&gt;"&amp;R686)+COUNTIF($R$2:R686,R686)</x:f>
        <x:v>685</x:v>
      </x:c>
      <x:c r="B686" s="48" t="n">
        <x:v>1625</x:v>
      </x:c>
      <x:c r="C686" s="46" t="str">
        <x:v>Rolü tersine çevirmek — ebeveynin çocuğu olan çocuk</x:v>
      </x:c>
      <x:c r="D686" s="34" t="str">
        <x:v>Psikoloji</x:v>
      </x:c>
      <x:c r="E686" s="34" t="str">
        <x:v>Psikoloji</x:v>
      </x:c>
      <x:c r="F686" s="34" t="str">
        <x:v>Duygusal Olgunlaşmamış Ebeveynler</x:v>
      </x:c>
      <x:c r="G686" s="34" t="str">
        <x:v>Lindsay Gibson</x:v>
      </x:c>
      <x:c r="H686" s="50" t="str">
        <x:v>1</x:v>
      </x:c>
      <x:c r="I686" s="50" t="str">
        <x:v>Temel</x:v>
      </x:c>
      <x:c r="J686" s="51" t="n">
        <x:v>9</x:v>
      </x:c>
      <x:c r="K686" s="51" t="n">
        <x:v>8</x:v>
      </x:c>
      <x:c r="L686" s="51" t="n">
        <x:v>10</x:v>
      </x:c>
      <x:c r="M686" s="51" t="n">
        <x:v>9</x:v>
      </x:c>
      <x:c r="N686" s="51" t="n">
        <x:v>7</x:v>
      </x:c>
      <x:c r="O686" s="51" t="n">
        <x:v>5</x:v>
      </x:c>
      <x:c r="P686" s="51" t="n">
        <x:v>14</x:v>
      </x:c>
      <x:c r="Q686" s="51" t="n">
        <x:v>3</x:v>
      </x:c>
      <x:c r="R686" s="52" t="n">
        <x:f>SUM(J686:Q686)</x:f>
        <x:v>65</x:v>
      </x:c>
      <x:c r="S686" s="50" t="str">
        <x:f>IF(R686&gt;='Rubrik'!$B$17,"Öncelikli video",IF(R686&gt;='Rubrik'!$B$18,"Video kuyruğu",IF(R686&gt;='Rubrik'!$B$19,"Revize et",IF(R686&gt;='Rubrik'!$B$20,"Kartla test","Düşük öncelik"))))</x:f>
        <x:v>Düşük öncelik</x:v>
      </x:c>
      <x:c r="T686" s="50" t="str">
        <x:f>IF(AND(R686&gt;=85,P686&gt;=16,M686&gt;=12,L686&gt;=12),"Reel + Carousel",IF(AND(R686&gt;=85,P686&gt;=16,N686&gt;=8),"Soru odaklı Reel",IF(AND(R686&gt;=85,P686&gt;=16),"Reel / Short",IF(M686&gt;=11,"Carousel","Kart testi"))))</x:f>
        <x:v>Kart testi</x:v>
      </x:c>
      <x:c r="U686" s="46" t="str">
        <x:v>Duygusal karşıtlık paylaşma ve kişisel anlatma isteğini yükseltiyor; olay örgüsü geliştirilmeli.</x:v>
      </x:c>
      <x:c r="V686" s="46" t="str">
        <x:f>IF(Q686&lt;=3,"Kaynak kontrolü şart",IF(Q686=4,"Kaynak kontrolü önerilir","Standart doğrulama"))</x:f>
        <x:v>Kaynak kontrolü şart</x:v>
      </x:c>
    </x:row>
    <x:row r="687" ht="24" customHeight="1">
      <x:c r="A687" s="48" t="n">
        <x:f>COUNTIF($R$2:$R$751,"&gt;"&amp;R687)+COUNTIF($R$2:R687,R687)</x:f>
        <x:v>686</x:v>
      </x:c>
      <x:c r="B687" s="48" t="n">
        <x:v>1640</x:v>
      </x:c>
      <x:c r="C687" s="46" t="str">
        <x:v>Utanç ve suçluluk — birbirinden çok farklı iki his</x:v>
      </x:c>
      <x:c r="D687" s="34" t="str">
        <x:v>Büyüme</x:v>
      </x:c>
      <x:c r="E687" s="34" t="str">
        <x:v>Kişisel Gelişim</x:v>
      </x:c>
      <x:c r="F687" s="34" t="str">
        <x:v>Özgür Olmak 2</x:v>
      </x:c>
      <x:c r="G687" s="34" t="str">
        <x:v>Brené Brown</x:v>
      </x:c>
      <x:c r="H687" s="50" t="str">
        <x:v>1</x:v>
      </x:c>
      <x:c r="I687" s="50" t="str">
        <x:v>Temel</x:v>
      </x:c>
      <x:c r="J687" s="51" t="n">
        <x:v>9</x:v>
      </x:c>
      <x:c r="K687" s="51" t="n">
        <x:v>7</x:v>
      </x:c>
      <x:c r="L687" s="51" t="n">
        <x:v>10</x:v>
      </x:c>
      <x:c r="M687" s="51" t="n">
        <x:v>7</x:v>
      </x:c>
      <x:c r="N687" s="51" t="n">
        <x:v>7</x:v>
      </x:c>
      <x:c r="O687" s="51" t="n">
        <x:v>7</x:v>
      </x:c>
      <x:c r="P687" s="51" t="n">
        <x:v>14</x:v>
      </x:c>
      <x:c r="Q687" s="51" t="n">
        <x:v>4</x:v>
      </x:c>
      <x:c r="R687" s="52" t="n">
        <x:f>SUM(J687:Q687)</x:f>
        <x:v>65</x:v>
      </x:c>
      <x:c r="S687" s="50" t="str">
        <x:f>IF(R687&gt;='Rubrik'!$B$17,"Öncelikli video",IF(R687&gt;='Rubrik'!$B$18,"Video kuyruğu",IF(R687&gt;='Rubrik'!$B$19,"Revize et",IF(R687&gt;='Rubrik'!$B$20,"Kartla test","Düşük öncelik"))))</x:f>
        <x:v>Düşük öncelik</x:v>
      </x:c>
      <x:c r="T687" s="50" t="str">
        <x:f>IF(AND(R687&gt;=85,P687&gt;=16,M687&gt;=12,L687&gt;=12),"Reel + Carousel",IF(AND(R687&gt;=85,P687&gt;=16,N687&gt;=8),"Soru odaklı Reel",IF(AND(R687&gt;=85,P687&gt;=16),"Reel / Short",IF(M687&gt;=11,"Carousel","Kart testi"))))</x:f>
        <x:v>Kart testi</x:v>
      </x:c>
      <x:c r="U687" s="46" t="str">
        <x:v>Duygusal karşıtlık paylaşma ve kişisel anlatma isteğini yükseltiyor; ilk saniye etkisi geliştirilmeli.</x:v>
      </x:c>
      <x:c r="V687" s="46" t="str">
        <x:f>IF(Q687&lt;=3,"Kaynak kontrolü şart",IF(Q687=4,"Kaynak kontrolü önerilir","Standart doğrulama"))</x:f>
        <x:v>Kaynak kontrolü önerilir</x:v>
      </x:c>
    </x:row>
    <x:row r="688" ht="24" customHeight="1">
      <x:c r="A688" s="48" t="n">
        <x:f>COUNTIF($R$2:$R$751,"&gt;"&amp;R688)+COUNTIF($R$2:R688,R688)</x:f>
        <x:v>687</x:v>
      </x:c>
      <x:c r="B688" s="48" t="n">
        <x:v>1653</x:v>
      </x:c>
      <x:c r="C688" s="46" t="str">
        <x:v>Yaşam kalitesi ve akış — mutluluğun yanlış aranması</x:v>
      </x:c>
      <x:c r="D688" s="34" t="str">
        <x:v>Psikoloji</x:v>
      </x:c>
      <x:c r="E688" s="34" t="str">
        <x:v>Psikoloji</x:v>
      </x:c>
      <x:c r="F688" s="34" t="str">
        <x:v>Akış Bulmak</x:v>
      </x:c>
      <x:c r="G688" s="34" t="str">
        <x:v>Mihaly Csikszentmihalyi</x:v>
      </x:c>
      <x:c r="H688" s="50" t="str">
        <x:v>1</x:v>
      </x:c>
      <x:c r="I688" s="50" t="str">
        <x:v>Temel</x:v>
      </x:c>
      <x:c r="J688" s="51" t="n">
        <x:v>9</x:v>
      </x:c>
      <x:c r="K688" s="51" t="n">
        <x:v>7</x:v>
      </x:c>
      <x:c r="L688" s="51" t="n">
        <x:v>10</x:v>
      </x:c>
      <x:c r="M688" s="51" t="n">
        <x:v>9</x:v>
      </x:c>
      <x:c r="N688" s="51" t="n">
        <x:v>7</x:v>
      </x:c>
      <x:c r="O688" s="51" t="n">
        <x:v>5</x:v>
      </x:c>
      <x:c r="P688" s="51" t="n">
        <x:v>14</x:v>
      </x:c>
      <x:c r="Q688" s="51" t="n">
        <x:v>4</x:v>
      </x:c>
      <x:c r="R688" s="52" t="n">
        <x:f>SUM(J688:Q688)</x:f>
        <x:v>65</x:v>
      </x:c>
      <x:c r="S688" s="50" t="str">
        <x:f>IF(R688&gt;='Rubrik'!$B$17,"Öncelikli video",IF(R688&gt;='Rubrik'!$B$18,"Video kuyruğu",IF(R688&gt;='Rubrik'!$B$19,"Revize et",IF(R688&gt;='Rubrik'!$B$20,"Kartla test","Düşük öncelik"))))</x:f>
        <x:v>Düşük öncelik</x:v>
      </x:c>
      <x:c r="T688" s="50" t="str">
        <x:f>IF(AND(R688&gt;=85,P688&gt;=16,M688&gt;=12,L688&gt;=12),"Reel + Carousel",IF(AND(R688&gt;=85,P688&gt;=16,N688&gt;=8),"Soru odaklı Reel",IF(AND(R688&gt;=85,P688&gt;=16),"Reel / Short",IF(M688&gt;=11,"Carousel","Kart testi"))))</x:f>
        <x:v>Kart testi</x:v>
      </x:c>
      <x:c r="U688" s="46" t="str">
        <x:v>Duygusal karşıtlık paylaşma ve kişisel anlatma isteğini yükseltiyor; olay örgüsü geliştirilmeli.</x:v>
      </x:c>
      <x:c r="V688" s="46" t="str">
        <x:f>IF(Q688&lt;=3,"Kaynak kontrolü şart",IF(Q688=4,"Kaynak kontrolü önerilir","Standart doğrulama"))</x:f>
        <x:v>Kaynak kontrolü önerilir</x:v>
      </x:c>
    </x:row>
    <x:row r="689" ht="24" customHeight="1">
      <x:c r="A689" s="48" t="n">
        <x:f>COUNTIF($R$2:$R$751,"&gt;"&amp;R689)+COUNTIF($R$2:R689,R689)</x:f>
        <x:v>688</x:v>
      </x:c>
      <x:c r="B689" s="48" t="n">
        <x:v>1664</x:v>
      </x:c>
      <x:c r="C689" s="46" t="str">
        <x:v>Acı bedeni — geçmişin duygusal tortusu</x:v>
      </x:c>
      <x:c r="D689" s="34" t="str">
        <x:v>Psikoloji</x:v>
      </x:c>
      <x:c r="E689" s="34" t="str">
        <x:v>Farkındalık</x:v>
      </x:c>
      <x:c r="F689" s="34" t="str">
        <x:v>Yeni Toprak</x:v>
      </x:c>
      <x:c r="G689" s="34" t="str">
        <x:v>Eckhart Tolle</x:v>
      </x:c>
      <x:c r="H689" s="50" t="str">
        <x:v>1</x:v>
      </x:c>
      <x:c r="I689" s="50" t="str">
        <x:v>Temel</x:v>
      </x:c>
      <x:c r="J689" s="51" t="n">
        <x:v>9</x:v>
      </x:c>
      <x:c r="K689" s="51" t="n">
        <x:v>6</x:v>
      </x:c>
      <x:c r="L689" s="51" t="n">
        <x:v>10</x:v>
      </x:c>
      <x:c r="M689" s="51" t="n">
        <x:v>10</x:v>
      </x:c>
      <x:c r="N689" s="51" t="n">
        <x:v>6</x:v>
      </x:c>
      <x:c r="O689" s="51" t="n">
        <x:v>6</x:v>
      </x:c>
      <x:c r="P689" s="51" t="n">
        <x:v>14</x:v>
      </x:c>
      <x:c r="Q689" s="51" t="n">
        <x:v>4</x:v>
      </x:c>
      <x:c r="R689" s="52" t="n">
        <x:f>SUM(J689:Q689)</x:f>
        <x:v>65</x:v>
      </x:c>
      <x:c r="S689" s="50" t="str">
        <x:f>IF(R689&gt;='Rubrik'!$B$17,"Öncelikli video",IF(R689&gt;='Rubrik'!$B$18,"Video kuyruğu",IF(R689&gt;='Rubrik'!$B$19,"Revize et",IF(R689&gt;='Rubrik'!$B$20,"Kartla test","Düşük öncelik"))))</x:f>
        <x:v>Düşük öncelik</x:v>
      </x:c>
      <x:c r="T689" s="50" t="str">
        <x:f>IF(AND(R689&gt;=85,P689&gt;=16,M689&gt;=12,L689&gt;=12),"Reel + Carousel",IF(AND(R689&gt;=85,P689&gt;=16,N689&gt;=8),"Soru odaklı Reel",IF(AND(R689&gt;=85,P689&gt;=16),"Reel / Short",IF(M689&gt;=11,"Carousel","Kart testi"))))</x:f>
        <x:v>Kart testi</x:v>
      </x:c>
      <x:c r="U689" s="46" t="str">
        <x:v>Uygulanabilir çerçeve, hikâyeyi geri dönüp kaydetmeye değer kılıyor; olay örgüsü geliştirilmeli.</x:v>
      </x:c>
      <x:c r="V689" s="46" t="str">
        <x:f>IF(Q689&lt;=3,"Kaynak kontrolü şart",IF(Q689=4,"Kaynak kontrolü önerilir","Standart doğrulama"))</x:f>
        <x:v>Kaynak kontrolü önerilir</x:v>
      </x:c>
    </x:row>
    <x:row r="690" ht="24" customHeight="1">
      <x:c r="A690" s="48" t="n">
        <x:f>COUNTIF($R$2:$R$751,"&gt;"&amp;R690)+COUNTIF($R$2:R690,R690)</x:f>
        <x:v>689</x:v>
      </x:c>
      <x:c r="B690" s="48" t="n">
        <x:v>1675</x:v>
      </x:c>
      <x:c r="C690" s="46" t="str">
        <x:v>Kimlik temelli alışkanlıklar — ben bu tür biriyim</x:v>
      </x:c>
      <x:c r="D690" s="34" t="str">
        <x:v>Liderlik</x:v>
      </x:c>
      <x:c r="E690" s="34" t="str">
        <x:v>Yönetim</x:v>
      </x:c>
      <x:c r="F690" s="34" t="str">
        <x:v>Başarılı Değişim</x:v>
      </x:c>
      <x:c r="G690" s="34" t="str">
        <x:v>James Clear</x:v>
      </x:c>
      <x:c r="H690" s="50" t="str">
        <x:v>1</x:v>
      </x:c>
      <x:c r="I690" s="50" t="str">
        <x:v>Temel</x:v>
      </x:c>
      <x:c r="J690" s="51" t="n">
        <x:v>9</x:v>
      </x:c>
      <x:c r="K690" s="51" t="n">
        <x:v>5</x:v>
      </x:c>
      <x:c r="L690" s="51" t="n">
        <x:v>10</x:v>
      </x:c>
      <x:c r="M690" s="51" t="n">
        <x:v>10</x:v>
      </x:c>
      <x:c r="N690" s="51" t="n">
        <x:v>6</x:v>
      </x:c>
      <x:c r="O690" s="51" t="n">
        <x:v>7</x:v>
      </x:c>
      <x:c r="P690" s="51" t="n">
        <x:v>14</x:v>
      </x:c>
      <x:c r="Q690" s="51" t="n">
        <x:v>4</x:v>
      </x:c>
      <x:c r="R690" s="52" t="n">
        <x:f>SUM(J690:Q690)</x:f>
        <x:v>65</x:v>
      </x:c>
      <x:c r="S690" s="50" t="str">
        <x:f>IF(R690&gt;='Rubrik'!$B$17,"Öncelikli video",IF(R690&gt;='Rubrik'!$B$18,"Video kuyruğu",IF(R690&gt;='Rubrik'!$B$19,"Revize et",IF(R690&gt;='Rubrik'!$B$20,"Kartla test","Düşük öncelik"))))</x:f>
        <x:v>Düşük öncelik</x:v>
      </x:c>
      <x:c r="T690" s="50" t="str">
        <x:f>IF(AND(R690&gt;=85,P690&gt;=16,M690&gt;=12,L690&gt;=12),"Reel + Carousel",IF(AND(R690&gt;=85,P690&gt;=16,N690&gt;=8),"Soru odaklı Reel",IF(AND(R690&gt;=85,P690&gt;=16),"Reel / Short",IF(M690&gt;=11,"Carousel","Kart testi"))))</x:f>
        <x:v>Kart testi</x:v>
      </x:c>
      <x:c r="U690" s="46" t="str">
        <x:v>Uygulanabilir çerçeve, hikâyeyi geri dönüp kaydetmeye değer kılıyor; ilk saniye etkisi geliştirilmeli.</x:v>
      </x:c>
      <x:c r="V690" s="46" t="str">
        <x:f>IF(Q690&lt;=3,"Kaynak kontrolü şart",IF(Q690=4,"Kaynak kontrolü önerilir","Standart doğrulama"))</x:f>
        <x:v>Kaynak kontrolü önerilir</x:v>
      </x:c>
    </x:row>
    <x:row r="691" ht="24" customHeight="1">
      <x:c r="A691" s="48" t="n">
        <x:f>COUNTIF($R$2:$R$751,"&gt;"&amp;R691)+COUNTIF($R$2:R691,R691)</x:f>
        <x:v>690</x:v>
      </x:c>
      <x:c r="B691" s="48" t="n">
        <x:v>1258</x:v>
      </x:c>
      <x:c r="C691" s="46" t="str">
        <x:v>Büyük İskender'in hareketsizlik dersi</x:v>
      </x:c>
      <x:c r="D691" s="34" t="str">
        <x:v>Felsefe</x:v>
      </x:c>
      <x:c r="E691" s="34" t="str">
        <x:v>Felsefe</x:v>
      </x:c>
      <x:c r="F691" s="34" t="str">
        <x:v>Stillness Is the Key</x:v>
      </x:c>
      <x:c r="G691" s="34" t="str">
        <x:v>Ryan Holiday</x:v>
      </x:c>
      <x:c r="H691" s="50" t="str">
        <x:v>1</x:v>
      </x:c>
      <x:c r="I691" s="50" t="str">
        <x:v>Temel</x:v>
      </x:c>
      <x:c r="J691" s="51" t="n">
        <x:v>11</x:v>
      </x:c>
      <x:c r="K691" s="51" t="n">
        <x:v>6</x:v>
      </x:c>
      <x:c r="L691" s="51" t="n">
        <x:v>9</x:v>
      </x:c>
      <x:c r="M691" s="51" t="n">
        <x:v>10</x:v>
      </x:c>
      <x:c r="N691" s="51" t="n">
        <x:v>7</x:v>
      </x:c>
      <x:c r="O691" s="51" t="n">
        <x:v>7</x:v>
      </x:c>
      <x:c r="P691" s="51" t="n">
        <x:v>14</x:v>
      </x:c>
      <x:c r="Q691" s="51" t="n">
        <x:v>1</x:v>
      </x:c>
      <x:c r="R691" s="52" t="n">
        <x:f>SUM(J691:Q691)</x:f>
        <x:v>65</x:v>
      </x:c>
      <x:c r="S691" s="50" t="str">
        <x:f>IF(R691&gt;='Rubrik'!$B$17,"Öncelikli video",IF(R691&gt;='Rubrik'!$B$18,"Video kuyruğu",IF(R691&gt;='Rubrik'!$B$19,"Revize et",IF(R691&gt;='Rubrik'!$B$20,"Kartla test","Düşük öncelik"))))</x:f>
        <x:v>Düşük öncelik</x:v>
      </x:c>
      <x:c r="T691" s="50" t="str">
        <x:f>IF(AND(R691&gt;=85,P691&gt;=16,M691&gt;=12,L691&gt;=12),"Reel + Carousel",IF(AND(R691&gt;=85,P691&gt;=16,N691&gt;=8),"Soru odaklı Reel",IF(AND(R691&gt;=85,P691&gt;=16),"Reel / Short",IF(M691&gt;=11,"Carousel","Kart testi"))))</x:f>
        <x:v>Kart testi</x:v>
      </x:c>
      <x:c r="U691" s="46" t="str">
        <x:v>Bekleyişten zafere geçiş sinematik; İskender anekdotu kaynak ve somut savaş bilgisi olmadan güven vermiyor.</x:v>
      </x:c>
      <x:c r="V691" s="46" t="str">
        <x:f>IF(Q691&lt;=3,"Kaynak kontrolü şart",IF(Q691=4,"Kaynak kontrolü önerilir","Standart doğrulama"))</x:f>
        <x:v>Kaynak kontrolü şart</x:v>
      </x:c>
    </x:row>
    <x:row r="692" ht="24" customHeight="1">
      <x:c r="A692" s="48" t="n">
        <x:f>COUNTIF($R$2:$R$751,"&gt;"&amp;R692)+COUNTIF($R$2:R692,R692)</x:f>
        <x:v>691</x:v>
      </x:c>
      <x:c r="B692" s="48" t="n">
        <x:v>1091</x:v>
      </x:c>
      <x:c r="C692" s="46" t="str">
        <x:v>Jack Canfield'ın 100 dolarlık banknot hedefi</x:v>
      </x:c>
      <x:c r="D692" s="34" t="str">
        <x:v>Verimlilik</x:v>
      </x:c>
      <x:c r="E692" s="34" t="str">
        <x:v>Verimlilik</x:v>
      </x:c>
      <x:c r="F692" s="34" t="str">
        <x:v>Odaklanma Gücü</x:v>
      </x:c>
      <x:c r="G692" s="34" t="str">
        <x:v>Jack Canfield</x:v>
      </x:c>
      <x:c r="H692" s="50" t="str">
        <x:v>1</x:v>
      </x:c>
      <x:c r="I692" s="50" t="str">
        <x:v>Temel</x:v>
      </x:c>
      <x:c r="J692" s="51" t="n">
        <x:v>13</x:v>
      </x:c>
      <x:c r="K692" s="51" t="n">
        <x:v>7</x:v>
      </x:c>
      <x:c r="L692" s="51" t="n">
        <x:v>9</x:v>
      </x:c>
      <x:c r="M692" s="51" t="n">
        <x:v>9</x:v>
      </x:c>
      <x:c r="N692" s="51" t="n">
        <x:v>8</x:v>
      </x:c>
      <x:c r="O692" s="51" t="n">
        <x:v>6</x:v>
      </x:c>
      <x:c r="P692" s="51" t="n">
        <x:v>13</x:v>
      </x:c>
      <x:c r="Q692" s="51" t="n">
        <x:v>0</x:v>
      </x:c>
      <x:c r="R692" s="52" t="n">
        <x:f>SUM(J692:Q692)</x:f>
        <x:v>65</x:v>
      </x:c>
      <x:c r="S692" s="50" t="str">
        <x:f>IF(R692&gt;='Rubrik'!$B$17,"Öncelikli video",IF(R692&gt;='Rubrik'!$B$18,"Video kuyruğu",IF(R692&gt;='Rubrik'!$B$19,"Revize et",IF(R692&gt;='Rubrik'!$B$20,"Kartla test","Düşük öncelik"))))</x:f>
        <x:v>Düşük öncelik</x:v>
      </x:c>
      <x:c r="T692" s="50" t="str">
        <x:f>IF(AND(R692&gt;=85,P692&gt;=16,M692&gt;=12,L692&gt;=12),"Reel + Carousel",IF(AND(R692&gt;=85,P692&gt;=16,N692&gt;=8),"Soru odaklı Reel",IF(AND(R692&gt;=85,P692&gt;=16),"Reel / Short",IF(M692&gt;=11,"Carousel","Kart testi"))))</x:f>
        <x:v>Kart testi</x:v>
      </x:c>
      <x:c r="U692" s="46" t="str">
        <x:v>Aynadaki banknot ve on iki kat gelir dikkat çekiyor; görselleştirmenin başarıyı yarattığı çıkarımı güven vermiyor.</x:v>
      </x:c>
      <x:c r="V692" s="46" t="str">
        <x:f>IF(Q692&lt;=3,"Kaynak kontrolü şart",IF(Q692=4,"Kaynak kontrolü önerilir","Standart doğrulama"))</x:f>
        <x:v>Kaynak kontrolü şart</x:v>
      </x:c>
    </x:row>
    <x:row r="693" ht="24" customHeight="1">
      <x:c r="A693" s="48" t="n">
        <x:f>COUNTIF($R$2:$R$751,"&gt;"&amp;R693)+COUNTIF($R$2:R693,R693)</x:f>
        <x:v>692</x:v>
      </x:c>
      <x:c r="B693" s="48" t="n">
        <x:v>1173</x:v>
      </x:c>
      <x:c r="C693" s="46" t="str">
        <x:v>Köpek çalınan adam</x:v>
      </x:c>
      <x:c r="D693" s="34" t="str">
        <x:v>İletişim</x:v>
      </x:c>
      <x:c r="E693" s="34" t="str">
        <x:v>İletişim</x:v>
      </x:c>
      <x:c r="F693" s="34" t="str">
        <x:v>İkna Sanatı</x:v>
      </x:c>
      <x:c r="G693" s="34" t="str">
        <x:v>Dale Carnegie</x:v>
      </x:c>
      <x:c r="H693" s="50" t="str">
        <x:v>1</x:v>
      </x:c>
      <x:c r="I693" s="50" t="str">
        <x:v>Temel</x:v>
      </x:c>
      <x:c r="J693" s="51" t="n">
        <x:v>12</x:v>
      </x:c>
      <x:c r="K693" s="51" t="n">
        <x:v>7</x:v>
      </x:c>
      <x:c r="L693" s="51" t="n">
        <x:v>8</x:v>
      </x:c>
      <x:c r="M693" s="51" t="n">
        <x:v>9</x:v>
      </x:c>
      <x:c r="N693" s="51" t="n">
        <x:v>9</x:v>
      </x:c>
      <x:c r="O693" s="51" t="n">
        <x:v>6</x:v>
      </x:c>
      <x:c r="P693" s="51" t="n">
        <x:v>13</x:v>
      </x:c>
      <x:c r="Q693" s="51" t="n">
        <x:v>1</x:v>
      </x:c>
      <x:c r="R693" s="52" t="n">
        <x:f>SUM(J693:Q693)</x:f>
        <x:v>65</x:v>
      </x:c>
      <x:c r="S693" s="50" t="str">
        <x:f>IF(R693&gt;='Rubrik'!$B$17,"Öncelikli video",IF(R693&gt;='Rubrik'!$B$18,"Video kuyruğu",IF(R693&gt;='Rubrik'!$B$19,"Revize et",IF(R693&gt;='Rubrik'!$B$20,"Kartla test","Düşük öncelik"))))</x:f>
        <x:v>Düşük öncelik</x:v>
      </x:c>
      <x:c r="T693" s="50" t="str">
        <x:f>IF(AND(R693&gt;=85,P693&gt;=16,M693&gt;=12,L693&gt;=12),"Reel + Carousel",IF(AND(R693&gt;=85,P693&gt;=16,N693&gt;=8),"Soru odaklı Reel",IF(AND(R693&gt;=85,P693&gt;=16),"Reel / Short",IF(M693&gt;=11,"Carousel","Kart testi"))))</x:f>
        <x:v>Kart testi</x:v>
      </x:c>
      <x:c r="U693" s="46" t="str">
        <x:v>Köpeği dinleyerek geri alma sıcak bir mesaj taşıyor; Roosevelt bağlantısı ve olayın kaynağı belirsiz.</x:v>
      </x:c>
      <x:c r="V693" s="46" t="str">
        <x:f>IF(Q693&lt;=3,"Kaynak kontrolü şart",IF(Q693=4,"Kaynak kontrolü önerilir","Standart doğrulama"))</x:f>
        <x:v>Kaynak kontrolü şart</x:v>
      </x:c>
    </x:row>
    <x:row r="694" ht="24" customHeight="1">
      <x:c r="A694" s="48" t="n">
        <x:f>COUNTIF($R$2:$R$751,"&gt;"&amp;R694)+COUNTIF($R$2:R694,R694)</x:f>
        <x:v>693</x:v>
      </x:c>
      <x:c r="B694" s="48" t="n">
        <x:v>1286</x:v>
      </x:c>
      <x:c r="C694" s="46" t="str">
        <x:v>Koşullar değil karakter belirler</x:v>
      </x:c>
      <x:c r="D694" s="34" t="str">
        <x:v>Felsefe</x:v>
      </x:c>
      <x:c r="E694" s="34" t="str">
        <x:v>Felsefe</x:v>
      </x:c>
      <x:c r="F694" s="34" t="str">
        <x:v>İnsan Nasıl Düşünür</x:v>
      </x:c>
      <x:c r="G694" s="34" t="str">
        <x:v>James Allen</x:v>
      </x:c>
      <x:c r="H694" s="50" t="str">
        <x:v>1</x:v>
      </x:c>
      <x:c r="I694" s="50" t="str">
        <x:v>Temel</x:v>
      </x:c>
      <x:c r="J694" s="51" t="n">
        <x:v>11</x:v>
      </x:c>
      <x:c r="K694" s="51" t="n">
        <x:v>7</x:v>
      </x:c>
      <x:c r="L694" s="51" t="n">
        <x:v>8</x:v>
      </x:c>
      <x:c r="M694" s="51" t="n">
        <x:v>10</x:v>
      </x:c>
      <x:c r="N694" s="51" t="n">
        <x:v>8</x:v>
      </x:c>
      <x:c r="O694" s="51" t="n">
        <x:v>6</x:v>
      </x:c>
      <x:c r="P694" s="51" t="n">
        <x:v>13</x:v>
      </x:c>
      <x:c r="Q694" s="51" t="n">
        <x:v>2</x:v>
      </x:c>
      <x:c r="R694" s="52" t="n">
        <x:f>SUM(J694:Q694)</x:f>
        <x:v>65</x:v>
      </x:c>
      <x:c r="S694" s="50" t="str">
        <x:f>IF(R694&gt;='Rubrik'!$B$17,"Öncelikli video",IF(R694&gt;='Rubrik'!$B$18,"Video kuyruğu",IF(R694&gt;='Rubrik'!$B$19,"Revize et",IF(R694&gt;='Rubrik'!$B$20,"Kartla test","Düşük öncelik"))))</x:f>
        <x:v>Düşük öncelik</x:v>
      </x:c>
      <x:c r="T694" s="50" t="str">
        <x:f>IF(AND(R694&gt;=85,P694&gt;=16,M694&gt;=12,L694&gt;=12),"Reel + Carousel",IF(AND(R694&gt;=85,P694&gt;=16,N694&gt;=8),"Soru odaklı Reel",IF(AND(R694&gt;=85,P694&gt;=16),"Reel / Short",IF(M694&gt;=11,"Carousel","Kart testi"))))</x:f>
        <x:v>Kart testi</x:v>
      </x:c>
      <x:c r="U694" s="46" t="str">
        <x:v>Karakter-rotası sözü akılda kalıyor; koşulları kişisel düşünceye bağlamak suçlayıcı ve kanıtsız görünebilir.</x:v>
      </x:c>
      <x:c r="V694" s="46" t="str">
        <x:f>IF(Q694&lt;=3,"Kaynak kontrolü şart",IF(Q694=4,"Kaynak kontrolü önerilir","Standart doğrulama"))</x:f>
        <x:v>Kaynak kontrolü şart</x:v>
      </x:c>
    </x:row>
    <x:row r="695" ht="24" customHeight="1">
      <x:c r="A695" s="48" t="n">
        <x:f>COUNTIF($R$2:$R$751,"&gt;"&amp;R695)+COUNTIF($R$2:R695,R695)</x:f>
        <x:v>694</x:v>
      </x:c>
      <x:c r="B695" s="48" t="n">
        <x:v>1439</x:v>
      </x:c>
      <x:c r="C695" s="46" t="str">
        <x:v>Rasyonel şefkat — empatinin ötesi</x:v>
      </x:c>
      <x:c r="D695" s="34" t="str">
        <x:v>Psikoloji</x:v>
      </x:c>
      <x:c r="E695" s="34" t="str">
        <x:v>Psikoloji</x:v>
      </x:c>
      <x:c r="F695" s="34" t="str">
        <x:v>Against Empathy</x:v>
      </x:c>
      <x:c r="G695" s="34" t="str">
        <x:v>Paul Bloom</x:v>
      </x:c>
      <x:c r="H695" s="50" t="str">
        <x:v>1</x:v>
      </x:c>
      <x:c r="I695" s="50" t="str">
        <x:v>Temel</x:v>
      </x:c>
      <x:c r="J695" s="51" t="n">
        <x:v>10</x:v>
      </x:c>
      <x:c r="K695" s="51" t="n">
        <x:v>5</x:v>
      </x:c>
      <x:c r="L695" s="51" t="n">
        <x:v>10</x:v>
      </x:c>
      <x:c r="M695" s="51" t="n">
        <x:v>12</x:v>
      </x:c>
      <x:c r="N695" s="51" t="n">
        <x:v>7</x:v>
      </x:c>
      <x:c r="O695" s="51" t="n">
        <x:v>5</x:v>
      </x:c>
      <x:c r="P695" s="51" t="n">
        <x:v>12</x:v>
      </x:c>
      <x:c r="Q695" s="51" t="n">
        <x:v>4</x:v>
      </x:c>
      <x:c r="R695" s="52" t="n">
        <x:f>SUM(J695:Q695)</x:f>
        <x:v>65</x:v>
      </x:c>
      <x:c r="S695" s="50" t="str">
        <x:f>IF(R695&gt;='Rubrik'!$B$17,"Öncelikli video",IF(R695&gt;='Rubrik'!$B$18,"Video kuyruğu",IF(R695&gt;='Rubrik'!$B$19,"Revize et",IF(R695&gt;='Rubrik'!$B$20,"Kartla test","Düşük öncelik"))))</x:f>
        <x:v>Düşük öncelik</x:v>
      </x:c>
      <x:c r="T695" s="50" t="str">
        <x:f>IF(AND(R695&gt;=85,P695&gt;=16,M695&gt;=12,L695&gt;=12),"Reel + Carousel",IF(AND(R695&gt;=85,P695&gt;=16,N695&gt;=8),"Soru odaklı Reel",IF(AND(R695&gt;=85,P695&gt;=16),"Reel / Short",IF(M695&gt;=11,"Carousel","Kart testi"))))</x:f>
        <x:v>Carousel</x:v>
      </x:c>
      <x:c r="U695" s="46" t="str">
        <x:v>Rasyonel şefkat ayrımı düşündürücü ve faydalı; somut karakter olmadığı için yayılma gücü orta.</x:v>
      </x:c>
      <x:c r="V695" s="46" t="str">
        <x:f>IF(Q695&lt;=3,"Kaynak kontrolü şart",IF(Q695=4,"Kaynak kontrolü önerilir","Standart doğrulama"))</x:f>
        <x:v>Kaynak kontrolü önerilir</x:v>
      </x:c>
    </x:row>
    <x:row r="696" ht="24" customHeight="1">
      <x:c r="A696" s="48" t="n">
        <x:f>COUNTIF($R$2:$R$751,"&gt;"&amp;R696)+COUNTIF($R$2:R696,R696)</x:f>
        <x:v>695</x:v>
      </x:c>
      <x:c r="B696" s="48" t="n">
        <x:v>1498</x:v>
      </x:c>
      <x:c r="C696" s="46" t="str">
        <x:v>Beş kabile aşaması</x:v>
      </x:c>
      <x:c r="D696" s="34" t="str">
        <x:v>Liderlik</x:v>
      </x:c>
      <x:c r="E696" s="34" t="str">
        <x:v>Liderlik</x:v>
      </x:c>
      <x:c r="F696" s="34" t="str">
        <x:v>Kabile Liderliği</x:v>
      </x:c>
      <x:c r="G696" s="34" t="str">
        <x:v>Dave Logan</x:v>
      </x:c>
      <x:c r="H696" s="50" t="str">
        <x:v>1</x:v>
      </x:c>
      <x:c r="I696" s="50" t="str">
        <x:v>Temel</x:v>
      </x:c>
      <x:c r="J696" s="51" t="n">
        <x:v>10</x:v>
      </x:c>
      <x:c r="K696" s="51" t="n">
        <x:v>4</x:v>
      </x:c>
      <x:c r="L696" s="51" t="n">
        <x:v>9</x:v>
      </x:c>
      <x:c r="M696" s="51" t="n">
        <x:v>14</x:v>
      </x:c>
      <x:c r="N696" s="51" t="n">
        <x:v>7</x:v>
      </x:c>
      <x:c r="O696" s="51" t="n">
        <x:v>5</x:v>
      </x:c>
      <x:c r="P696" s="51" t="n">
        <x:v>12</x:v>
      </x:c>
      <x:c r="Q696" s="51" t="n">
        <x:v>4</x:v>
      </x:c>
      <x:c r="R696" s="52" t="n">
        <x:f>SUM(J696:Q696)</x:f>
        <x:v>65</x:v>
      </x:c>
      <x:c r="S696" s="50" t="str">
        <x:f>IF(R696&gt;='Rubrik'!$B$17,"Öncelikli video",IF(R696&gt;='Rubrik'!$B$18,"Video kuyruğu",IF(R696&gt;='Rubrik'!$B$19,"Revize et",IF(R696&gt;='Rubrik'!$B$20,"Kartla test","Düşük öncelik"))))</x:f>
        <x:v>Düşük öncelik</x:v>
      </x:c>
      <x:c r="T696" s="50" t="str">
        <x:f>IF(AND(R696&gt;=85,P696&gt;=16,M696&gt;=12,L696&gt;=12),"Reel + Carousel",IF(AND(R696&gt;=85,P696&gt;=16,N696&gt;=8),"Soru odaklı Reel",IF(AND(R696&gt;=85,P696&gt;=16),"Reel / Short",IF(M696&gt;=11,"Carousel","Kart testi"))))</x:f>
        <x:v>Carousel</x:v>
      </x:c>
      <x:c r="U696" s="46" t="str">
        <x:v>Beş kabile aşaması ekipleri teşhis etmeye yarıyor; model yoğunluğu kısa videoda sadeleştirme gerektirir.</x:v>
      </x:c>
      <x:c r="V696" s="46" t="str">
        <x:f>IF(Q696&lt;=3,"Kaynak kontrolü şart",IF(Q696=4,"Kaynak kontrolü önerilir","Standart doğrulama"))</x:f>
        <x:v>Kaynak kontrolü önerilir</x:v>
      </x:c>
    </x:row>
    <x:row r="697" ht="24" customHeight="1">
      <x:c r="A697" s="48" t="n">
        <x:f>COUNTIF($R$2:$R$751,"&gt;"&amp;R697)+COUNTIF($R$2:R697,R697)</x:f>
        <x:v>696</x:v>
      </x:c>
      <x:c r="B697" s="48" t="n">
        <x:v>1505</x:v>
      </x:c>
      <x:c r="C697" s="46" t="str">
        <x:v>BATNA — en iyi alternatif</x:v>
      </x:c>
      <x:c r="D697" s="34" t="str">
        <x:v>İletişim</x:v>
      </x:c>
      <x:c r="E697" s="34" t="str">
        <x:v>Müzakere</x:v>
      </x:c>
      <x:c r="F697" s="34" t="str">
        <x:v>Müzakerede Evet Almak</x:v>
      </x:c>
      <x:c r="G697" s="34" t="str">
        <x:v>Roger Fisher</x:v>
      </x:c>
      <x:c r="H697" s="50" t="str">
        <x:v>1</x:v>
      </x:c>
      <x:c r="I697" s="50" t="str">
        <x:v>Temel</x:v>
      </x:c>
      <x:c r="J697" s="51" t="n">
        <x:v>10</x:v>
      </x:c>
      <x:c r="K697" s="51" t="n">
        <x:v>3</x:v>
      </x:c>
      <x:c r="L697" s="51" t="n">
        <x:v>9</x:v>
      </x:c>
      <x:c r="M697" s="51" t="n">
        <x:v>14</x:v>
      </x:c>
      <x:c r="N697" s="51" t="n">
        <x:v>7</x:v>
      </x:c>
      <x:c r="O697" s="51" t="n">
        <x:v>5</x:v>
      </x:c>
      <x:c r="P697" s="51" t="n">
        <x:v>12</x:v>
      </x:c>
      <x:c r="Q697" s="51" t="n">
        <x:v>5</x:v>
      </x:c>
      <x:c r="R697" s="52" t="n">
        <x:f>SUM(J697:Q697)</x:f>
        <x:v>65</x:v>
      </x:c>
      <x:c r="S697" s="50" t="str">
        <x:f>IF(R697&gt;='Rubrik'!$B$17,"Öncelikli video",IF(R697&gt;='Rubrik'!$B$18,"Video kuyruğu",IF(R697&gt;='Rubrik'!$B$19,"Revize et",IF(R697&gt;='Rubrik'!$B$20,"Kartla test","Düşük öncelik"))))</x:f>
        <x:v>Düşük öncelik</x:v>
      </x:c>
      <x:c r="T697" s="50" t="str">
        <x:f>IF(AND(R697&gt;=85,P697&gt;=16,M697&gt;=12,L697&gt;=12),"Reel + Carousel",IF(AND(R697&gt;=85,P697&gt;=16,N697&gt;=8),"Soru odaklı Reel",IF(AND(R697&gt;=85,P697&gt;=16),"Reel / Short",IF(M697&gt;=11,"Carousel","Kart testi"))))</x:f>
        <x:v>Carousel</x:v>
      </x:c>
      <x:c r="U697" s="46" t="str">
        <x:v>BATNA pazarlık öncesi net bir araç sunuyor; eğitim değeri yüksek ama duygu ve doğal paylaşım dürtüsü sınırlı.</x:v>
      </x:c>
      <x:c r="V697" s="46" t="str">
        <x:f>IF(Q697&lt;=3,"Kaynak kontrolü şart",IF(Q697=4,"Kaynak kontrolü önerilir","Standart doğrulama"))</x:f>
        <x:v>Standart doğrulama</x:v>
      </x:c>
    </x:row>
    <x:row r="698" ht="24" customHeight="1">
      <x:c r="A698" s="48" t="n">
        <x:f>COUNTIF($R$2:$R$751,"&gt;"&amp;R698)+COUNTIF($R$2:R698,R698)</x:f>
        <x:v>697</x:v>
      </x:c>
      <x:c r="B698" s="48" t="n">
        <x:v>1532</x:v>
      </x:c>
      <x:c r="C698" s="46" t="str">
        <x:v>Dört soru türü ve ihtiyaç keşfi</x:v>
      </x:c>
      <x:c r="D698" s="34" t="str">
        <x:v>Finans</x:v>
      </x:c>
      <x:c r="E698" s="34" t="str">
        <x:v>Satış</x:v>
      </x:c>
      <x:c r="F698" s="34" t="str">
        <x:v>SPIN Satış</x:v>
      </x:c>
      <x:c r="G698" s="34" t="str">
        <x:v>Neil Rackham</x:v>
      </x:c>
      <x:c r="H698" s="50" t="str">
        <x:v>1</x:v>
      </x:c>
      <x:c r="I698" s="50" t="str">
        <x:v>Temel</x:v>
      </x:c>
      <x:c r="J698" s="51" t="n">
        <x:v>9</x:v>
      </x:c>
      <x:c r="K698" s="51" t="n">
        <x:v>3</x:v>
      </x:c>
      <x:c r="L698" s="51" t="n">
        <x:v>9</x:v>
      </x:c>
      <x:c r="M698" s="51" t="n">
        <x:v>15</x:v>
      </x:c>
      <x:c r="N698" s="51" t="n">
        <x:v>7</x:v>
      </x:c>
      <x:c r="O698" s="51" t="n">
        <x:v>5</x:v>
      </x:c>
      <x:c r="P698" s="51" t="n">
        <x:v>12</x:v>
      </x:c>
      <x:c r="Q698" s="51" t="n">
        <x:v>5</x:v>
      </x:c>
      <x:c r="R698" s="52" t="n">
        <x:f>SUM(J698:Q698)</x:f>
        <x:v>65</x:v>
      </x:c>
      <x:c r="S698" s="50" t="str">
        <x:f>IF(R698&gt;='Rubrik'!$B$17,"Öncelikli video",IF(R698&gt;='Rubrik'!$B$18,"Video kuyruğu",IF(R698&gt;='Rubrik'!$B$19,"Revize et",IF(R698&gt;='Rubrik'!$B$20,"Kartla test","Düşük öncelik"))))</x:f>
        <x:v>Düşük öncelik</x:v>
      </x:c>
      <x:c r="T698" s="50" t="str">
        <x:f>IF(AND(R698&gt;=85,P698&gt;=16,M698&gt;=12,L698&gt;=12),"Reel + Carousel",IF(AND(R698&gt;=85,P698&gt;=16,N698&gt;=8),"Soru odaklı Reel",IF(AND(R698&gt;=85,P698&gt;=16),"Reel / Short",IF(M698&gt;=11,"Carousel","Kart testi"))))</x:f>
        <x:v>Carousel</x:v>
      </x:c>
      <x:c r="U698" s="46" t="str">
        <x:v>SPIN'in dört sorusu çok kaydedilebilir bir şablon; liste yapısı ve kurumsal ton viral duyguyu azaltıyor.</x:v>
      </x:c>
      <x:c r="V698" s="46" t="str">
        <x:f>IF(Q698&lt;=3,"Kaynak kontrolü şart",IF(Q698=4,"Kaynak kontrolü önerilir","Standart doğrulama"))</x:f>
        <x:v>Standart doğrulama</x:v>
      </x:c>
    </x:row>
    <x:row r="699" ht="24" customHeight="1">
      <x:c r="A699" s="48" t="n">
        <x:f>COUNTIF($R$2:$R$751,"&gt;"&amp;R699)+COUNTIF($R$2:R699,R699)</x:f>
        <x:v>698</x:v>
      </x:c>
      <x:c r="B699" s="48" t="n">
        <x:v>1093</x:v>
      </x:c>
      <x:c r="C699" s="46" t="str">
        <x:v>Odak sistemi ve kurbağayı yemek</x:v>
      </x:c>
      <x:c r="D699" s="34" t="str">
        <x:v>Verimlilik</x:v>
      </x:c>
      <x:c r="E699" s="34" t="str">
        <x:v>Verimlilik</x:v>
      </x:c>
      <x:c r="F699" s="34" t="str">
        <x:v>Odaklanma Gücü</x:v>
      </x:c>
      <x:c r="G699" s="34" t="str">
        <x:v>Jack Canfield</x:v>
      </x:c>
      <x:c r="H699" s="50" t="str">
        <x:v>1</x:v>
      </x:c>
      <x:c r="I699" s="50" t="str">
        <x:v>Temel</x:v>
      </x:c>
      <x:c r="J699" s="51" t="n">
        <x:v>12</x:v>
      </x:c>
      <x:c r="K699" s="51" t="n">
        <x:v>6</x:v>
      </x:c>
      <x:c r="L699" s="51" t="n">
        <x:v>8</x:v>
      </x:c>
      <x:c r="M699" s="51" t="n">
        <x:v>13</x:v>
      </x:c>
      <x:c r="N699" s="51" t="n">
        <x:v>8</x:v>
      </x:c>
      <x:c r="O699" s="51" t="n">
        <x:v>5</x:v>
      </x:c>
      <x:c r="P699" s="51" t="n">
        <x:v>12</x:v>
      </x:c>
      <x:c r="Q699" s="51" t="n">
        <x:v>1</x:v>
      </x:c>
      <x:c r="R699" s="52" t="n">
        <x:f>SUM(J699:Q699)</x:f>
        <x:v>65</x:v>
      </x:c>
      <x:c r="S699" s="50" t="str">
        <x:f>IF(R699&gt;='Rubrik'!$B$17,"Öncelikli video",IF(R699&gt;='Rubrik'!$B$18,"Video kuyruğu",IF(R699&gt;='Rubrik'!$B$19,"Revize et",IF(R699&gt;='Rubrik'!$B$20,"Kartla test","Düşük öncelik"))))</x:f>
        <x:v>Düşük öncelik</x:v>
      </x:c>
      <x:c r="T699" s="50" t="str">
        <x:f>IF(AND(R699&gt;=85,P699&gt;=16,M699&gt;=12,L699&gt;=12),"Reel + Carousel",IF(AND(R699&gt;=85,P699&gt;=16,N699&gt;=8),"Soru odaklı Reel",IF(AND(R699&gt;=85,P699&gt;=16),"Reel / Short",IF(M699&gt;=11,"Carousel","Kart testi"))))</x:f>
        <x:v>Carousel</x:v>
      </x:c>
      <x:c r="U699" s="46" t="str">
        <x:v>Kurbağa metaforu kaydedilir ama çok tanıdık; başarı örüntüsü kanıtlanmış gibi sunuluyor.</x:v>
      </x:c>
      <x:c r="V699" s="46" t="str">
        <x:f>IF(Q699&lt;=3,"Kaynak kontrolü şart",IF(Q699=4,"Kaynak kontrolü önerilir","Standart doğrulama"))</x:f>
        <x:v>Kaynak kontrolü şart</x:v>
      </x:c>
    </x:row>
    <x:row r="700" ht="24" customHeight="1">
      <x:c r="A700" s="48" t="n">
        <x:f>COUNTIF($R$2:$R$751,"&gt;"&amp;R700)+COUNTIF($R$2:R700,R700)</x:f>
        <x:v>699</x:v>
      </x:c>
      <x:c r="B700" s="48" t="n">
        <x:v>1229</x:v>
      </x:c>
      <x:c r="C700" s="46" t="str">
        <x:v>Enerji yönetimi ve niyet</x:v>
      </x:c>
      <x:c r="D700" s="34" t="str">
        <x:v>Büyüme</x:v>
      </x:c>
      <x:c r="E700" s="34" t="str">
        <x:v>Kişisel Gelişim</x:v>
      </x:c>
      <x:c r="F700" s="34" t="str">
        <x:v>Yüksek Performans</x:v>
      </x:c>
      <x:c r="G700" s="34" t="str">
        <x:v>Brendon Burchard</x:v>
      </x:c>
      <x:c r="H700" s="50" t="str">
        <x:v>1</x:v>
      </x:c>
      <x:c r="I700" s="50" t="str">
        <x:v>Temel</x:v>
      </x:c>
      <x:c r="J700" s="51" t="n">
        <x:v>11</x:v>
      </x:c>
      <x:c r="K700" s="51" t="n">
        <x:v>6</x:v>
      </x:c>
      <x:c r="L700" s="51" t="n">
        <x:v>8</x:v>
      </x:c>
      <x:c r="M700" s="51" t="n">
        <x:v>12</x:v>
      </x:c>
      <x:c r="N700" s="51" t="n">
        <x:v>9</x:v>
      </x:c>
      <x:c r="O700" s="51" t="n">
        <x:v>5</x:v>
      </x:c>
      <x:c r="P700" s="51" t="n">
        <x:v>11</x:v>
      </x:c>
      <x:c r="Q700" s="51" t="n">
        <x:v>3</x:v>
      </x:c>
      <x:c r="R700" s="52" t="n">
        <x:f>SUM(J700:Q700)</x:f>
        <x:v>65</x:v>
      </x:c>
      <x:c r="S700" s="50" t="str">
        <x:f>IF(R700&gt;='Rubrik'!$B$17,"Öncelikli video",IF(R700&gt;='Rubrik'!$B$18,"Video kuyruğu",IF(R700&gt;='Rubrik'!$B$19,"Revize et",IF(R700&gt;='Rubrik'!$B$20,"Kartla test","Düşük öncelik"))))</x:f>
        <x:v>Düşük öncelik</x:v>
      </x:c>
      <x:c r="T700" s="50" t="str">
        <x:f>IF(AND(R700&gt;=85,P700&gt;=16,M700&gt;=12,L700&gt;=12),"Reel + Carousel",IF(AND(R700&gt;=85,P700&gt;=16,N700&gt;=8),"Soru odaklı Reel",IF(AND(R700&gt;=85,P700&gt;=16),"Reel / Short",IF(M700&gt;=11,"Carousel","Kart testi"))))</x:f>
        <x:v>Carousel</x:v>
      </x:c>
      <x:c r="U700" s="46" t="str">
        <x:v>Zaman yerine enerji yönetimi yararlı ama olay ve veri yok; niyet sorusu kaydetmeye değer.</x:v>
      </x:c>
      <x:c r="V700" s="46" t="str">
        <x:f>IF(Q700&lt;=3,"Kaynak kontrolü şart",IF(Q700=4,"Kaynak kontrolü önerilir","Standart doğrulama"))</x:f>
        <x:v>Kaynak kontrolü şart</x:v>
      </x:c>
    </x:row>
    <x:row r="701" ht="24" customHeight="1">
      <x:c r="A701" s="48" t="n">
        <x:f>COUNTIF($R$2:$R$751,"&gt;"&amp;R701)+COUNTIF($R$2:R701,R701)</x:f>
        <x:v>700</x:v>
      </x:c>
      <x:c r="B701" s="48" t="n">
        <x:v>1634</x:v>
      </x:c>
      <x:c r="C701" s="46" t="str">
        <x:v>Dopamin ve anlam — DEHB beyninin gerçek ihtiyacı</x:v>
      </x:c>
      <x:c r="D701" s="34" t="str">
        <x:v>Psikoloji</x:v>
      </x:c>
      <x:c r="E701" s="34" t="str">
        <x:v>Psikoloji</x:v>
      </x:c>
      <x:c r="F701" s="34" t="str">
        <x:v>Dağınık Beyin</x:v>
      </x:c>
      <x:c r="G701" s="34" t="str">
        <x:v>Gabor Maté</x:v>
      </x:c>
      <x:c r="H701" s="50" t="str">
        <x:v>1</x:v>
      </x:c>
      <x:c r="I701" s="50" t="str">
        <x:v>Temel</x:v>
      </x:c>
      <x:c r="J701" s="51" t="n">
        <x:v>9</x:v>
      </x:c>
      <x:c r="K701" s="51" t="n">
        <x:v>7</x:v>
      </x:c>
      <x:c r="L701" s="51" t="n">
        <x:v>10</x:v>
      </x:c>
      <x:c r="M701" s="51" t="n">
        <x:v>9</x:v>
      </x:c>
      <x:c r="N701" s="51" t="n">
        <x:v>7</x:v>
      </x:c>
      <x:c r="O701" s="51" t="n">
        <x:v>5</x:v>
      </x:c>
      <x:c r="P701" s="51" t="n">
        <x:v>14</x:v>
      </x:c>
      <x:c r="Q701" s="51" t="n">
        <x:v>3</x:v>
      </x:c>
      <x:c r="R701" s="52" t="n">
        <x:f>SUM(J701:Q701)</x:f>
        <x:v>64</x:v>
      </x:c>
      <x:c r="S701" s="50" t="str">
        <x:f>IF(R701&gt;='Rubrik'!$B$17,"Öncelikli video",IF(R701&gt;='Rubrik'!$B$18,"Video kuyruğu",IF(R701&gt;='Rubrik'!$B$19,"Revize et",IF(R701&gt;='Rubrik'!$B$20,"Kartla test","Düşük öncelik"))))</x:f>
        <x:v>Düşük öncelik</x:v>
      </x:c>
      <x:c r="T701" s="50" t="str">
        <x:f>IF(AND(R701&gt;=85,P701&gt;=16,M701&gt;=12,L701&gt;=12),"Reel + Carousel",IF(AND(R701&gt;=85,P701&gt;=16,N701&gt;=8),"Soru odaklı Reel",IF(AND(R701&gt;=85,P701&gt;=16),"Reel / Short",IF(M701&gt;=11,"Carousel","Kart testi"))))</x:f>
        <x:v>Kart testi</x:v>
      </x:c>
      <x:c r="U701" s="46" t="str">
        <x:v>Duygusal karşıtlık paylaşma ve kişisel anlatma isteğini yükseltiyor; olay örgüsü geliştirilmeli.</x:v>
      </x:c>
      <x:c r="V701" s="46" t="str">
        <x:f>IF(Q701&lt;=3,"Kaynak kontrolü şart",IF(Q701=4,"Kaynak kontrolü önerilir","Standart doğrulama"))</x:f>
        <x:v>Kaynak kontrolü şart</x:v>
      </x:c>
    </x:row>
    <x:row r="702" ht="24" customHeight="1">
      <x:c r="A702" s="48" t="n">
        <x:f>COUNTIF($R$2:$R$751,"&gt;"&amp;R702)+COUNTIF($R$2:R702,R702)</x:f>
        <x:v>701</x:v>
      </x:c>
      <x:c r="B702" s="48" t="n">
        <x:v>1643</x:v>
      </x:c>
      <x:c r="C702" s="46" t="str">
        <x:v>Hikaye tamamlama — beyin boşluğu nasıl dolduruyor</x:v>
      </x:c>
      <x:c r="D702" s="34" t="str">
        <x:v>Büyüme</x:v>
      </x:c>
      <x:c r="E702" s="34" t="str">
        <x:v>Dayanıklılık</x:v>
      </x:c>
      <x:c r="F702" s="34" t="str">
        <x:v>Güçlü Kalkmak</x:v>
      </x:c>
      <x:c r="G702" s="34" t="str">
        <x:v>Brené Brown</x:v>
      </x:c>
      <x:c r="H702" s="50" t="str">
        <x:v>1</x:v>
      </x:c>
      <x:c r="I702" s="50" t="str">
        <x:v>Temel</x:v>
      </x:c>
      <x:c r="J702" s="51" t="n">
        <x:v>9</x:v>
      </x:c>
      <x:c r="K702" s="51" t="n">
        <x:v>5</x:v>
      </x:c>
      <x:c r="L702" s="51" t="n">
        <x:v>10</x:v>
      </x:c>
      <x:c r="M702" s="51" t="n">
        <x:v>10</x:v>
      </x:c>
      <x:c r="N702" s="51" t="n">
        <x:v>6</x:v>
      </x:c>
      <x:c r="O702" s="51" t="n">
        <x:v>6</x:v>
      </x:c>
      <x:c r="P702" s="51" t="n">
        <x:v>14</x:v>
      </x:c>
      <x:c r="Q702" s="51" t="n">
        <x:v>4</x:v>
      </x:c>
      <x:c r="R702" s="52" t="n">
        <x:f>SUM(J702:Q702)</x:f>
        <x:v>64</x:v>
      </x:c>
      <x:c r="S702" s="50" t="str">
        <x:f>IF(R702&gt;='Rubrik'!$B$17,"Öncelikli video",IF(R702&gt;='Rubrik'!$B$18,"Video kuyruğu",IF(R702&gt;='Rubrik'!$B$19,"Revize et",IF(R702&gt;='Rubrik'!$B$20,"Kartla test","Düşük öncelik"))))</x:f>
        <x:v>Düşük öncelik</x:v>
      </x:c>
      <x:c r="T702" s="50" t="str">
        <x:f>IF(AND(R702&gt;=85,P702&gt;=16,M702&gt;=12,L702&gt;=12),"Reel + Carousel",IF(AND(R702&gt;=85,P702&gt;=16,N702&gt;=8),"Soru odaklı Reel",IF(AND(R702&gt;=85,P702&gt;=16),"Reel / Short",IF(M702&gt;=11,"Carousel","Kart testi"))))</x:f>
        <x:v>Kart testi</x:v>
      </x:c>
      <x:c r="U702" s="46" t="str">
        <x:v>Uygulanabilir çerçeve, hikâyeyi geri dönüp kaydetmeye değer kılıyor; olay örgüsü geliştirilmeli.</x:v>
      </x:c>
      <x:c r="V702" s="46" t="str">
        <x:f>IF(Q702&lt;=3,"Kaynak kontrolü şart",IF(Q702=4,"Kaynak kontrolü önerilir","Standart doğrulama"))</x:f>
        <x:v>Kaynak kontrolü önerilir</x:v>
      </x:c>
    </x:row>
    <x:row r="703" ht="24" customHeight="1">
      <x:c r="A703" s="48" t="n">
        <x:f>COUNTIF($R$2:$R$751,"&gt;"&amp;R703)+COUNTIF($R$2:R703,R703)</x:f>
        <x:v>702</x:v>
      </x:c>
      <x:c r="B703" s="48" t="n">
        <x:v>1649</x:v>
      </x:c>
      <x:c r="C703" s="46" t="str">
        <x:v>Kıskançlık ve haset — sık karıştırılan iki ayrı yara</x:v>
      </x:c>
      <x:c r="D703" s="34" t="str">
        <x:v>Psikoloji</x:v>
      </x:c>
      <x:c r="E703" s="34" t="str">
        <x:v>Duygular</x:v>
      </x:c>
      <x:c r="F703" s="34" t="str">
        <x:v>Kalbin Haritası</x:v>
      </x:c>
      <x:c r="G703" s="34" t="str">
        <x:v>Brené Brown</x:v>
      </x:c>
      <x:c r="H703" s="50" t="str">
        <x:v>1</x:v>
      </x:c>
      <x:c r="I703" s="50" t="str">
        <x:v>Temel</x:v>
      </x:c>
      <x:c r="J703" s="51" t="n">
        <x:v>9</x:v>
      </x:c>
      <x:c r="K703" s="51" t="n">
        <x:v>7</x:v>
      </x:c>
      <x:c r="L703" s="51" t="n">
        <x:v>10</x:v>
      </x:c>
      <x:c r="M703" s="51" t="n">
        <x:v>7</x:v>
      </x:c>
      <x:c r="N703" s="51" t="n">
        <x:v>7</x:v>
      </x:c>
      <x:c r="O703" s="51" t="n">
        <x:v>6</x:v>
      </x:c>
      <x:c r="P703" s="51" t="n">
        <x:v>14</x:v>
      </x:c>
      <x:c r="Q703" s="51" t="n">
        <x:v>4</x:v>
      </x:c>
      <x:c r="R703" s="52" t="n">
        <x:f>SUM(J703:Q703)</x:f>
        <x:v>64</x:v>
      </x:c>
      <x:c r="S703" s="50" t="str">
        <x:f>IF(R703&gt;='Rubrik'!$B$17,"Öncelikli video",IF(R703&gt;='Rubrik'!$B$18,"Video kuyruğu",IF(R703&gt;='Rubrik'!$B$19,"Revize et",IF(R703&gt;='Rubrik'!$B$20,"Kartla test","Düşük öncelik"))))</x:f>
        <x:v>Düşük öncelik</x:v>
      </x:c>
      <x:c r="T703" s="50" t="str">
        <x:f>IF(AND(R703&gt;=85,P703&gt;=16,M703&gt;=12,L703&gt;=12),"Reel + Carousel",IF(AND(R703&gt;=85,P703&gt;=16,N703&gt;=8),"Soru odaklı Reel",IF(AND(R703&gt;=85,P703&gt;=16),"Reel / Short",IF(M703&gt;=11,"Carousel","Kart testi"))))</x:f>
        <x:v>Kart testi</x:v>
      </x:c>
      <x:c r="U703" s="46" t="str">
        <x:v>Duygusal karşıtlık paylaşma ve kişisel anlatma isteğini yükseltiyor; olay örgüsü geliştirilmeli.</x:v>
      </x:c>
      <x:c r="V703" s="46" t="str">
        <x:f>IF(Q703&lt;=3,"Kaynak kontrolü şart",IF(Q703=4,"Kaynak kontrolü önerilir","Standart doğrulama"))</x:f>
        <x:v>Kaynak kontrolü önerilir</x:v>
      </x:c>
    </x:row>
    <x:row r="704" ht="24" customHeight="1">
      <x:c r="A704" s="48" t="n">
        <x:f>COUNTIF($R$2:$R$751,"&gt;"&amp;R704)+COUNTIF($R$2:R704,R704)</x:f>
        <x:v>703</x:v>
      </x:c>
      <x:c r="B704" s="48" t="n">
        <x:v>1654</x:v>
      </x:c>
      <x:c r="C704" s="46" t="str">
        <x:v>Yaratıcı kişilik — paradoksların insanı</x:v>
      </x:c>
      <x:c r="D704" s="34" t="str">
        <x:v>Verimlilik</x:v>
      </x:c>
      <x:c r="E704" s="34" t="str">
        <x:v>Yaratıcılık</x:v>
      </x:c>
      <x:c r="F704" s="34" t="str">
        <x:v>Yaratıcılık ve Akış</x:v>
      </x:c>
      <x:c r="G704" s="34" t="str">
        <x:v>Mihaly Csikszentmihalyi</x:v>
      </x:c>
      <x:c r="H704" s="50" t="str">
        <x:v>1</x:v>
      </x:c>
      <x:c r="I704" s="50" t="str">
        <x:v>Temel</x:v>
      </x:c>
      <x:c r="J704" s="51" t="n">
        <x:v>10</x:v>
      </x:c>
      <x:c r="K704" s="51" t="n">
        <x:v>4</x:v>
      </x:c>
      <x:c r="L704" s="51" t="n">
        <x:v>10</x:v>
      </x:c>
      <x:c r="M704" s="51" t="n">
        <x:v>10</x:v>
      </x:c>
      <x:c r="N704" s="51" t="n">
        <x:v>6</x:v>
      </x:c>
      <x:c r="O704" s="51" t="n">
        <x:v>5</x:v>
      </x:c>
      <x:c r="P704" s="51" t="n">
        <x:v>14</x:v>
      </x:c>
      <x:c r="Q704" s="51" t="n">
        <x:v>5</x:v>
      </x:c>
      <x:c r="R704" s="52" t="n">
        <x:f>SUM(J704:Q704)</x:f>
        <x:v>64</x:v>
      </x:c>
      <x:c r="S704" s="50" t="str">
        <x:f>IF(R704&gt;='Rubrik'!$B$17,"Öncelikli video",IF(R704&gt;='Rubrik'!$B$18,"Video kuyruğu",IF(R704&gt;='Rubrik'!$B$19,"Revize et",IF(R704&gt;='Rubrik'!$B$20,"Kartla test","Düşük öncelik"))))</x:f>
        <x:v>Düşük öncelik</x:v>
      </x:c>
      <x:c r="T704" s="50" t="str">
        <x:f>IF(AND(R704&gt;=85,P704&gt;=16,M704&gt;=12,L704&gt;=12),"Reel + Carousel",IF(AND(R704&gt;=85,P704&gt;=16,N704&gt;=8),"Soru odaklı Reel",IF(AND(R704&gt;=85,P704&gt;=16),"Reel / Short",IF(M704&gt;=11,"Carousel","Kart testi"))))</x:f>
        <x:v>Kart testi</x:v>
      </x:c>
      <x:c r="U704" s="46" t="str">
        <x:v>Somut sahne ve sayısal ayrıntı güçlü bir video açılışı sağlıyor; olay örgüsü geliştirilmeli.</x:v>
      </x:c>
      <x:c r="V704" s="46" t="str">
        <x:f>IF(Q704&lt;=3,"Kaynak kontrolü şart",IF(Q704=4,"Kaynak kontrolü önerilir","Standart doğrulama"))</x:f>
        <x:v>Standart doğrulama</x:v>
      </x:c>
    </x:row>
    <x:row r="705" ht="24" customHeight="1">
      <x:c r="A705" s="48" t="n">
        <x:f>COUNTIF($R$2:$R$751,"&gt;"&amp;R705)+COUNTIF($R$2:R705,R705)</x:f>
        <x:v>704</x:v>
      </x:c>
      <x:c r="B705" s="48" t="n">
        <x:v>1676</x:v>
      </x:c>
      <x:c r="C705" s="46" t="str">
        <x:v>İki dakika kuralı — başlamak bitirmekten önemlidir</x:v>
      </x:c>
      <x:c r="D705" s="34" t="str">
        <x:v>Liderlik</x:v>
      </x:c>
      <x:c r="E705" s="34" t="str">
        <x:v>Yönetim</x:v>
      </x:c>
      <x:c r="F705" s="34" t="str">
        <x:v>Başarılı Değişim</x:v>
      </x:c>
      <x:c r="G705" s="34" t="str">
        <x:v>James Clear</x:v>
      </x:c>
      <x:c r="H705" s="50" t="str">
        <x:v>1</x:v>
      </x:c>
      <x:c r="I705" s="50" t="str">
        <x:v>Temel</x:v>
      </x:c>
      <x:c r="J705" s="51" t="n">
        <x:v>9</x:v>
      </x:c>
      <x:c r="K705" s="51" t="n">
        <x:v>4</x:v>
      </x:c>
      <x:c r="L705" s="51" t="n">
        <x:v>10</x:v>
      </x:c>
      <x:c r="M705" s="51" t="n">
        <x:v>10</x:v>
      </x:c>
      <x:c r="N705" s="51" t="n">
        <x:v>6</x:v>
      </x:c>
      <x:c r="O705" s="51" t="n">
        <x:v>7</x:v>
      </x:c>
      <x:c r="P705" s="51" t="n">
        <x:v>14</x:v>
      </x:c>
      <x:c r="Q705" s="51" t="n">
        <x:v>4</x:v>
      </x:c>
      <x:c r="R705" s="52" t="n">
        <x:f>SUM(J705:Q705)</x:f>
        <x:v>64</x:v>
      </x:c>
      <x:c r="S705" s="50" t="str">
        <x:f>IF(R705&gt;='Rubrik'!$B$17,"Öncelikli video",IF(R705&gt;='Rubrik'!$B$18,"Video kuyruğu",IF(R705&gt;='Rubrik'!$B$19,"Revize et",IF(R705&gt;='Rubrik'!$B$20,"Kartla test","Düşük öncelik"))))</x:f>
        <x:v>Düşük öncelik</x:v>
      </x:c>
      <x:c r="T705" s="50" t="str">
        <x:f>IF(AND(R705&gt;=85,P705&gt;=16,M705&gt;=12,L705&gt;=12),"Reel + Carousel",IF(AND(R705&gt;=85,P705&gt;=16,N705&gt;=8),"Soru odaklı Reel",IF(AND(R705&gt;=85,P705&gt;=16),"Reel / Short",IF(M705&gt;=11,"Carousel","Kart testi"))))</x:f>
        <x:v>Kart testi</x:v>
      </x:c>
      <x:c r="U705" s="46" t="str">
        <x:v>Uygulanabilir çerçeve, hikâyeyi geri dönüp kaydetmeye değer kılıyor; ilk saniye etkisi geliştirilmeli.</x:v>
      </x:c>
      <x:c r="V705" s="46" t="str">
        <x:f>IF(Q705&lt;=3,"Kaynak kontrolü şart",IF(Q705=4,"Kaynak kontrolü önerilir","Standart doğrulama"))</x:f>
        <x:v>Kaynak kontrolü önerilir</x:v>
      </x:c>
    </x:row>
    <x:row r="706" ht="24" customHeight="1">
      <x:c r="A706" s="48" t="n">
        <x:f>COUNTIF($R$2:$R$751,"&gt;"&amp;R706)+COUNTIF($R$2:R706,R706)</x:f>
        <x:v>705</x:v>
      </x:c>
      <x:c r="B706" s="48" t="n">
        <x:v>1682</x:v>
      </x:c>
      <x:c r="C706" s="46" t="str">
        <x:v>Hafıza ve Google etkisi — bilgiyi saklamaktan aramaya geçiş</x:v>
      </x:c>
      <x:c r="D706" s="34" t="str">
        <x:v>Bilim</x:v>
      </x:c>
      <x:c r="E706" s="34" t="str">
        <x:v>Teknoloji</x:v>
      </x:c>
      <x:c r="F706" s="34" t="str">
        <x:v>The Shallows</x:v>
      </x:c>
      <x:c r="G706" s="34" t="str">
        <x:v>Nicholas Carr</x:v>
      </x:c>
      <x:c r="H706" s="50" t="str">
        <x:v>1</x:v>
      </x:c>
      <x:c r="I706" s="50" t="str">
        <x:v>Temel</x:v>
      </x:c>
      <x:c r="J706" s="51" t="n">
        <x:v>9</x:v>
      </x:c>
      <x:c r="K706" s="51" t="n">
        <x:v>7</x:v>
      </x:c>
      <x:c r="L706" s="51" t="n">
        <x:v>10</x:v>
      </x:c>
      <x:c r="M706" s="51" t="n">
        <x:v>7</x:v>
      </x:c>
      <x:c r="N706" s="51" t="n">
        <x:v>7</x:v>
      </x:c>
      <x:c r="O706" s="51" t="n">
        <x:v>6</x:v>
      </x:c>
      <x:c r="P706" s="51" t="n">
        <x:v>14</x:v>
      </x:c>
      <x:c r="Q706" s="51" t="n">
        <x:v>4</x:v>
      </x:c>
      <x:c r="R706" s="52" t="n">
        <x:f>SUM(J706:Q706)</x:f>
        <x:v>64</x:v>
      </x:c>
      <x:c r="S706" s="50" t="str">
        <x:f>IF(R706&gt;='Rubrik'!$B$17,"Öncelikli video",IF(R706&gt;='Rubrik'!$B$18,"Video kuyruğu",IF(R706&gt;='Rubrik'!$B$19,"Revize et",IF(R706&gt;='Rubrik'!$B$20,"Kartla test","Düşük öncelik"))))</x:f>
        <x:v>Düşük öncelik</x:v>
      </x:c>
      <x:c r="T706" s="50" t="str">
        <x:f>IF(AND(R706&gt;=85,P706&gt;=16,M706&gt;=12,L706&gt;=12),"Reel + Carousel",IF(AND(R706&gt;=85,P706&gt;=16,N706&gt;=8),"Soru odaklı Reel",IF(AND(R706&gt;=85,P706&gt;=16),"Reel / Short",IF(M706&gt;=11,"Carousel","Kart testi"))))</x:f>
        <x:v>Kart testi</x:v>
      </x:c>
      <x:c r="U706" s="46" t="str">
        <x:v>Duygusal karşıtlık paylaşma ve kişisel anlatma isteğini yükseltiyor; olay örgüsü geliştirilmeli.</x:v>
      </x:c>
      <x:c r="V706" s="46" t="str">
        <x:f>IF(Q706&lt;=3,"Kaynak kontrolü şart",IF(Q706=4,"Kaynak kontrolü önerilir","Standart doğrulama"))</x:f>
        <x:v>Kaynak kontrolü önerilir</x:v>
      </x:c>
    </x:row>
    <x:row r="707" ht="24" customHeight="1">
      <x:c r="A707" s="48" t="n">
        <x:f>COUNTIF($R$2:$R$751,"&gt;"&amp;R707)+COUNTIF($R$2:R707,R707)</x:f>
        <x:v>706</x:v>
      </x:c>
      <x:c r="B707" s="48" t="n">
        <x:v>1689</x:v>
      </x:c>
      <x:c r="C707" s="46" t="str">
        <x:v>EQ neden IQ'dan daha belirleyici — başarının gizli faktörü</x:v>
      </x:c>
      <x:c r="D707" s="34" t="str">
        <x:v>Psikoloji</x:v>
      </x:c>
      <x:c r="E707" s="34" t="str">
        <x:v>Psikoloji</x:v>
      </x:c>
      <x:c r="F707" s="34" t="str">
        <x:v>Bütünleşik Zekanın Gücü</x:v>
      </x:c>
      <x:c r="G707" s="34" t="str">
        <x:v>Travis Bradberry</x:v>
      </x:c>
      <x:c r="H707" s="50" t="str">
        <x:v>1</x:v>
      </x:c>
      <x:c r="I707" s="50" t="str">
        <x:v>Temel</x:v>
      </x:c>
      <x:c r="J707" s="51" t="n">
        <x:v>10</x:v>
      </x:c>
      <x:c r="K707" s="51" t="n">
        <x:v>5</x:v>
      </x:c>
      <x:c r="L707" s="51" t="n">
        <x:v>10</x:v>
      </x:c>
      <x:c r="M707" s="51" t="n">
        <x:v>8</x:v>
      </x:c>
      <x:c r="N707" s="51" t="n">
        <x:v>6</x:v>
      </x:c>
      <x:c r="O707" s="51" t="n">
        <x:v>6</x:v>
      </x:c>
      <x:c r="P707" s="51" t="n">
        <x:v>14</x:v>
      </x:c>
      <x:c r="Q707" s="51" t="n">
        <x:v>5</x:v>
      </x:c>
      <x:c r="R707" s="52" t="n">
        <x:f>SUM(J707:Q707)</x:f>
        <x:v>64</x:v>
      </x:c>
      <x:c r="S707" s="50" t="str">
        <x:f>IF(R707&gt;='Rubrik'!$B$17,"Öncelikli video",IF(R707&gt;='Rubrik'!$B$18,"Video kuyruğu",IF(R707&gt;='Rubrik'!$B$19,"Revize et",IF(R707&gt;='Rubrik'!$B$20,"Kartla test","Düşük öncelik"))))</x:f>
        <x:v>Düşük öncelik</x:v>
      </x:c>
      <x:c r="T707" s="50" t="str">
        <x:f>IF(AND(R707&gt;=85,P707&gt;=16,M707&gt;=12,L707&gt;=12),"Reel + Carousel",IF(AND(R707&gt;=85,P707&gt;=16,N707&gt;=8),"Soru odaklı Reel",IF(AND(R707&gt;=85,P707&gt;=16),"Reel / Short",IF(M707&gt;=11,"Carousel","Kart testi"))))</x:f>
        <x:v>Kart testi</x:v>
      </x:c>
      <x:c r="U707" s="46" t="str">
        <x:v>Somut sahne ve sayısal ayrıntı güçlü bir video açılışı sağlıyor; olay örgüsü geliştirilmeli.</x:v>
      </x:c>
      <x:c r="V707" s="46" t="str">
        <x:f>IF(Q707&lt;=3,"Kaynak kontrolü şart",IF(Q707=4,"Kaynak kontrolü önerilir","Standart doğrulama"))</x:f>
        <x:v>Standart doğrulama</x:v>
      </x:c>
    </x:row>
    <x:row r="708" ht="24" customHeight="1">
      <x:c r="A708" s="48" t="n">
        <x:f>COUNTIF($R$2:$R$751,"&gt;"&amp;R708)+COUNTIF($R$2:R708,R708)</x:f>
        <x:v>707</x:v>
      </x:c>
      <x:c r="B708" s="48" t="n">
        <x:v>1670</x:v>
      </x:c>
      <x:c r="C708" s="46" t="str">
        <x:v>Öfkeli bebeği taşımak — şefkatli bakım pratiği</x:v>
      </x:c>
      <x:c r="D708" s="34" t="str">
        <x:v>Psikoloji</x:v>
      </x:c>
      <x:c r="E708" s="34" t="str">
        <x:v>Psikoloji</x:v>
      </x:c>
      <x:c r="F708" s="34" t="str">
        <x:v>Öfke</x:v>
      </x:c>
      <x:c r="G708" s="34" t="str">
        <x:v>Thich Nhat Hanh</x:v>
      </x:c>
      <x:c r="H708" s="50" t="str">
        <x:v>1</x:v>
      </x:c>
      <x:c r="I708" s="50" t="str">
        <x:v>Temel</x:v>
      </x:c>
      <x:c r="J708" s="51" t="n">
        <x:v>9</x:v>
      </x:c>
      <x:c r="K708" s="51" t="n">
        <x:v>7</x:v>
      </x:c>
      <x:c r="L708" s="51" t="n">
        <x:v>9</x:v>
      </x:c>
      <x:c r="M708" s="51" t="n">
        <x:v>8</x:v>
      </x:c>
      <x:c r="N708" s="51" t="n">
        <x:v>7</x:v>
      </x:c>
      <x:c r="O708" s="51" t="n">
        <x:v>6</x:v>
      </x:c>
      <x:c r="P708" s="51" t="n">
        <x:v>14</x:v>
      </x:c>
      <x:c r="Q708" s="51" t="n">
        <x:v>4</x:v>
      </x:c>
      <x:c r="R708" s="52" t="n">
        <x:f>SUM(J708:Q708)</x:f>
        <x:v>64</x:v>
      </x:c>
      <x:c r="S708" s="50" t="str">
        <x:f>IF(R708&gt;='Rubrik'!$B$17,"Öncelikli video",IF(R708&gt;='Rubrik'!$B$18,"Video kuyruğu",IF(R708&gt;='Rubrik'!$B$19,"Revize et",IF(R708&gt;='Rubrik'!$B$20,"Kartla test","Düşük öncelik"))))</x:f>
        <x:v>Düşük öncelik</x:v>
      </x:c>
      <x:c r="T708" s="50" t="str">
        <x:f>IF(AND(R708&gt;=85,P708&gt;=16,M708&gt;=12,L708&gt;=12),"Reel + Carousel",IF(AND(R708&gt;=85,P708&gt;=16,N708&gt;=8),"Soru odaklı Reel",IF(AND(R708&gt;=85,P708&gt;=16),"Reel / Short",IF(M708&gt;=11,"Carousel","Kart testi"))))</x:f>
        <x:v>Kart testi</x:v>
      </x:c>
      <x:c r="U708" s="46" t="str">
        <x:v>Duygusal karşıtlık paylaşma ve kişisel anlatma isteğini yükseltiyor; olay örgüsü geliştirilmeli.</x:v>
      </x:c>
      <x:c r="V708" s="46" t="str">
        <x:f>IF(Q708&lt;=3,"Kaynak kontrolü şart",IF(Q708=4,"Kaynak kontrolü önerilir","Standart doğrulama"))</x:f>
        <x:v>Kaynak kontrolü önerilir</x:v>
      </x:c>
    </x:row>
    <x:row r="709" ht="24" customHeight="1">
      <x:c r="A709" s="48" t="n">
        <x:f>COUNTIF($R$2:$R$751,"&gt;"&amp;R709)+COUNTIF($R$2:R709,R709)</x:f>
        <x:v>708</x:v>
      </x:c>
      <x:c r="B709" s="48" t="n">
        <x:v>1590</x:v>
      </x:c>
      <x:c r="C709" s="46" t="str">
        <x:v>mTOR ve AMPK — hücrenin büyüme-onarım dengesi</x:v>
      </x:c>
      <x:c r="D709" s="34" t="str">
        <x:v>Sağlık</x:v>
      </x:c>
      <x:c r="E709" s="34" t="str">
        <x:v>Sağlık</x:v>
      </x:c>
      <x:c r="F709" s="34" t="str">
        <x:v>Uzun Yaşam Bilimi</x:v>
      </x:c>
      <x:c r="G709" s="34" t="str">
        <x:v>David Sinclair</x:v>
      </x:c>
      <x:c r="H709" s="50" t="str">
        <x:v>1</x:v>
      </x:c>
      <x:c r="I709" s="50" t="str">
        <x:v>Temel</x:v>
      </x:c>
      <x:c r="J709" s="51" t="n">
        <x:v>10</x:v>
      </x:c>
      <x:c r="K709" s="51" t="n">
        <x:v>4</x:v>
      </x:c>
      <x:c r="L709" s="51" t="n">
        <x:v>10</x:v>
      </x:c>
      <x:c r="M709" s="51" t="n">
        <x:v>13</x:v>
      </x:c>
      <x:c r="N709" s="51" t="n">
        <x:v>7</x:v>
      </x:c>
      <x:c r="O709" s="51" t="n">
        <x:v>5</x:v>
      </x:c>
      <x:c r="P709" s="51" t="n">
        <x:v>13</x:v>
      </x:c>
      <x:c r="Q709" s="51" t="n">
        <x:v>2</x:v>
      </x:c>
      <x:c r="R709" s="52" t="n">
        <x:f>SUM(J709:Q709)</x:f>
        <x:v>64</x:v>
      </x:c>
      <x:c r="S709" s="50" t="str">
        <x:f>IF(R709&gt;='Rubrik'!$B$17,"Öncelikli video",IF(R709&gt;='Rubrik'!$B$18,"Video kuyruğu",IF(R709&gt;='Rubrik'!$B$19,"Revize et",IF(R709&gt;='Rubrik'!$B$20,"Kartla test","Düşük öncelik"))))</x:f>
        <x:v>Düşük öncelik</x:v>
      </x:c>
      <x:c r="T709" s="50" t="str">
        <x:f>IF(AND(R709&gt;=85,P709&gt;=16,M709&gt;=12,L709&gt;=12),"Reel + Carousel",IF(AND(R709&gt;=85,P709&gt;=16,N709&gt;=8),"Soru odaklı Reel",IF(AND(R709&gt;=85,P709&gt;=16),"Reel / Short",IF(M709&gt;=11,"Carousel","Kart testi"))))</x:f>
        <x:v>Carousel</x:v>
      </x:c>
      <x:c r="U709" s="46" t="str">
        <x:v>mTOR ve AMPK anahtar metaforu anlaşılır; karmaşık biyolojiyi iki düğmeye indirmek güveni sınırlıyor.</x:v>
      </x:c>
      <x:c r="V709" s="46" t="str">
        <x:f>IF(Q709&lt;=3,"Kaynak kontrolü şart",IF(Q709=4,"Kaynak kontrolü önerilir","Standart doğrulama"))</x:f>
        <x:v>Kaynak kontrolü şart</x:v>
      </x:c>
    </x:row>
    <x:row r="710" ht="24" customHeight="1">
      <x:c r="A710" s="48" t="n">
        <x:f>COUNTIF($R$2:$R$751,"&gt;"&amp;R710)+COUNTIF($R$2:R710,R710)</x:f>
        <x:v>709</x:v>
      </x:c>
      <x:c r="B710" s="48" t="n">
        <x:v>1470</x:v>
      </x:c>
      <x:c r="C710" s="46" t="str">
        <x:v>Bitişen olasılıklar — sınırı genişletmek</x:v>
      </x:c>
      <x:c r="D710" s="34" t="str">
        <x:v>Verimlilik</x:v>
      </x:c>
      <x:c r="E710" s="34" t="str">
        <x:v>Yaratıcılık</x:v>
      </x:c>
      <x:c r="F710" s="34" t="str">
        <x:v>Büyük Fikirler</x:v>
      </x:c>
      <x:c r="G710" s="34" t="str">
        <x:v>Steven Johnson</x:v>
      </x:c>
      <x:c r="H710" s="50" t="str">
        <x:v>1</x:v>
      </x:c>
      <x:c r="I710" s="50" t="str">
        <x:v>Temel</x:v>
      </x:c>
      <x:c r="J710" s="51" t="n">
        <x:v>10</x:v>
      </x:c>
      <x:c r="K710" s="51" t="n">
        <x:v>4</x:v>
      </x:c>
      <x:c r="L710" s="51" t="n">
        <x:v>9</x:v>
      </x:c>
      <x:c r="M710" s="51" t="n">
        <x:v>12</x:v>
      </x:c>
      <x:c r="N710" s="51" t="n">
        <x:v>7</x:v>
      </x:c>
      <x:c r="O710" s="51" t="n">
        <x:v>5</x:v>
      </x:c>
      <x:c r="P710" s="51" t="n">
        <x:v>13</x:v>
      </x:c>
      <x:c r="Q710" s="51" t="n">
        <x:v>4</x:v>
      </x:c>
      <x:c r="R710" s="52" t="n">
        <x:f>SUM(J710:Q710)</x:f>
        <x:v>64</x:v>
      </x:c>
      <x:c r="S710" s="50" t="str">
        <x:f>IF(R710&gt;='Rubrik'!$B$17,"Öncelikli video",IF(R710&gt;='Rubrik'!$B$18,"Video kuyruğu",IF(R710&gt;='Rubrik'!$B$19,"Revize et",IF(R710&gt;='Rubrik'!$B$20,"Kartla test","Düşük öncelik"))))</x:f>
        <x:v>Düşük öncelik</x:v>
      </x:c>
      <x:c r="T710" s="50" t="str">
        <x:f>IF(AND(R710&gt;=85,P710&gt;=16,M710&gt;=12,L710&gt;=12),"Reel + Carousel",IF(AND(R710&gt;=85,P710&gt;=16,N710&gt;=8),"Soru odaklı Reel",IF(AND(R710&gt;=85,P710&gt;=16),"Reel / Short",IF(M710&gt;=11,"Carousel","Kart testi"))))</x:f>
        <x:v>Carousel</x:v>
      </x:c>
      <x:c r="U710" s="46" t="str">
        <x:v>Bitişik mümkün kavramı yeniliği sadeleştiriyor; soyut kaldığı için güçlü görseller ve örnekler gerektiriyor.</x:v>
      </x:c>
      <x:c r="V710" s="46" t="str">
        <x:f>IF(Q710&lt;=3,"Kaynak kontrolü şart",IF(Q710=4,"Kaynak kontrolü önerilir","Standart doğrulama"))</x:f>
        <x:v>Kaynak kontrolü önerilir</x:v>
      </x:c>
    </x:row>
    <x:row r="711" ht="24" customHeight="1">
      <x:c r="A711" s="48" t="n">
        <x:f>COUNTIF($R$2:$R$751,"&gt;"&amp;R711)+COUNTIF($R$2:R711,R711)</x:f>
        <x:v>710</x:v>
      </x:c>
      <x:c r="B711" s="48" t="n">
        <x:v>1240</x:v>
      </x:c>
      <x:c r="C711" s="46" t="str">
        <x:v>Köpek çalan komşuya farklı yaklaşım</x:v>
      </x:c>
      <x:c r="D711" s="34" t="str">
        <x:v>İletişim</x:v>
      </x:c>
      <x:c r="E711" s="34" t="str">
        <x:v>İletişim</x:v>
      </x:c>
      <x:c r="F711" s="34" t="str">
        <x:v>İkna Sanatı</x:v>
      </x:c>
      <x:c r="G711" s="34" t="str">
        <x:v>Dale Carnegie</x:v>
      </x:c>
      <x:c r="H711" s="50" t="str">
        <x:v>1</x:v>
      </x:c>
      <x:c r="I711" s="50" t="str">
        <x:v>Temel</x:v>
      </x:c>
      <x:c r="J711" s="51" t="n">
        <x:v>11</x:v>
      </x:c>
      <x:c r="K711" s="51" t="n">
        <x:v>7</x:v>
      </x:c>
      <x:c r="L711" s="51" t="n">
        <x:v>8</x:v>
      </x:c>
      <x:c r="M711" s="51" t="n">
        <x:v>9</x:v>
      </x:c>
      <x:c r="N711" s="51" t="n">
        <x:v>9</x:v>
      </x:c>
      <x:c r="O711" s="51" t="n">
        <x:v>6</x:v>
      </x:c>
      <x:c r="P711" s="51" t="n">
        <x:v>13</x:v>
      </x:c>
      <x:c r="Q711" s="51" t="n">
        <x:v>1</x:v>
      </x:c>
      <x:c r="R711" s="52" t="n">
        <x:f>SUM(J711:Q711)</x:f>
        <x:v>64</x:v>
      </x:c>
      <x:c r="S711" s="50" t="str">
        <x:f>IF(R711&gt;='Rubrik'!$B$17,"Öncelikli video",IF(R711&gt;='Rubrik'!$B$18,"Video kuyruğu",IF(R711&gt;='Rubrik'!$B$19,"Revize et",IF(R711&gt;='Rubrik'!$B$20,"Kartla test","Düşük öncelik"))))</x:f>
        <x:v>Düşük öncelik</x:v>
      </x:c>
      <x:c r="T711" s="50" t="str">
        <x:f>IF(AND(R711&gt;=85,P711&gt;=16,M711&gt;=12,L711&gt;=12),"Reel + Carousel",IF(AND(R711&gt;=85,P711&gt;=16,N711&gt;=8),"Soru odaklı Reel",IF(AND(R711&gt;=85,P711&gt;=16),"Reel / Short",IF(M711&gt;=11,"Carousel","Kart testi"))))</x:f>
        <x:v>Kart testi</x:v>
      </x:c>
      <x:c r="U711" s="46" t="str">
        <x:v>Suçlamak yerine dinlemek yararlı; benzer köpek öyküsünü tekrar ediyor ve olayın gerçek kaynağı belirsiz.</x:v>
      </x:c>
      <x:c r="V711" s="46" t="str">
        <x:f>IF(Q711&lt;=3,"Kaynak kontrolü şart",IF(Q711=4,"Kaynak kontrolü önerilir","Standart doğrulama"))</x:f>
        <x:v>Kaynak kontrolü şart</x:v>
      </x:c>
    </x:row>
    <x:row r="712" ht="24" customHeight="1">
      <x:c r="A712" s="48" t="n">
        <x:f>COUNTIF($R$2:$R$751,"&gt;"&amp;R712)+COUNTIF($R$2:R712,R712)</x:f>
        <x:v>711</x:v>
      </x:c>
      <x:c r="B712" s="48" t="n">
        <x:v>1531</x:v>
      </x:c>
      <x:c r="C712" s="46" t="str">
        <x:v>Büyük satışın küçük satıştan farkı</x:v>
      </x:c>
      <x:c r="D712" s="34" t="str">
        <x:v>Finans</x:v>
      </x:c>
      <x:c r="E712" s="34" t="str">
        <x:v>Satış</x:v>
      </x:c>
      <x:c r="F712" s="34" t="str">
        <x:v>SPIN Satış</x:v>
      </x:c>
      <x:c r="G712" s="34" t="str">
        <x:v>Neil Rackham</x:v>
      </x:c>
      <x:c r="H712" s="50" t="str">
        <x:v>1</x:v>
      </x:c>
      <x:c r="I712" s="50" t="str">
        <x:v>Temel</x:v>
      </x:c>
      <x:c r="J712" s="51" t="n">
        <x:v>10</x:v>
      </x:c>
      <x:c r="K712" s="51" t="n">
        <x:v>4</x:v>
      </x:c>
      <x:c r="L712" s="51" t="n">
        <x:v>10</x:v>
      </x:c>
      <x:c r="M712" s="51" t="n">
        <x:v>12</x:v>
      </x:c>
      <x:c r="N712" s="51" t="n">
        <x:v>7</x:v>
      </x:c>
      <x:c r="O712" s="51" t="n">
        <x:v>5</x:v>
      </x:c>
      <x:c r="P712" s="51" t="n">
        <x:v>12</x:v>
      </x:c>
      <x:c r="Q712" s="51" t="n">
        <x:v>4</x:v>
      </x:c>
      <x:c r="R712" s="52" t="n">
        <x:f>SUM(J712:Q712)</x:f>
        <x:v>64</x:v>
      </x:c>
      <x:c r="S712" s="50" t="str">
        <x:f>IF(R712&gt;='Rubrik'!$B$17,"Öncelikli video",IF(R712&gt;='Rubrik'!$B$18,"Video kuyruğu",IF(R712&gt;='Rubrik'!$B$19,"Revize et",IF(R712&gt;='Rubrik'!$B$20,"Kartla test","Düşük öncelik"))))</x:f>
        <x:v>Düşük öncelik</x:v>
      </x:c>
      <x:c r="T712" s="50" t="str">
        <x:f>IF(AND(R712&gt;=85,P712&gt;=16,M712&gt;=12,L712&gt;=12),"Reel + Carousel",IF(AND(R712&gt;=85,P712&gt;=16,N712&gt;=8),"Soru odaklı Reel",IF(AND(R712&gt;=85,P712&gt;=16),"Reel / Short",IF(M712&gt;=11,"Carousel","Kart testi"))))</x:f>
        <x:v>Carousel</x:v>
      </x:c>
      <x:c r="U712" s="46" t="str">
        <x:v>Büyük ve küçük satış farkı iş kitlesini yakalar; somut müşteri karakteri eklenirse anlatı daha güçlü olur.</x:v>
      </x:c>
      <x:c r="V712" s="46" t="str">
        <x:f>IF(Q712&lt;=3,"Kaynak kontrolü şart",IF(Q712=4,"Kaynak kontrolü önerilir","Standart doğrulama"))</x:f>
        <x:v>Kaynak kontrolü önerilir</x:v>
      </x:c>
    </x:row>
    <x:row r="713" ht="24" customHeight="1">
      <x:c r="A713" s="48" t="n">
        <x:f>COUNTIF($R$2:$R$751,"&gt;"&amp;R713)+COUNTIF($R$2:R713,R713)</x:f>
        <x:v>712</x:v>
      </x:c>
      <x:c r="B713" s="48" t="n">
        <x:v>1109</x:v>
      </x:c>
      <x:c r="C713" s="46" t="str">
        <x:v>IQ'yu geçen EQ deneyi</x:v>
      </x:c>
      <x:c r="D713" s="34" t="str">
        <x:v>Psikoloji</x:v>
      </x:c>
      <x:c r="E713" s="34" t="str">
        <x:v>Psikoloji</x:v>
      </x:c>
      <x:c r="F713" s="34" t="str">
        <x:v>Emotional Intelligence</x:v>
      </x:c>
      <x:c r="G713" s="34" t="str">
        <x:v>Daniel Goleman</x:v>
      </x:c>
      <x:c r="H713" s="50" t="str">
        <x:v>1</x:v>
      </x:c>
      <x:c r="I713" s="50" t="str">
        <x:v>Temel</x:v>
      </x:c>
      <x:c r="J713" s="51" t="n">
        <x:v>12</x:v>
      </x:c>
      <x:c r="K713" s="51" t="n">
        <x:v>7</x:v>
      </x:c>
      <x:c r="L713" s="51" t="n">
        <x:v>9</x:v>
      </x:c>
      <x:c r="M713" s="51" t="n">
        <x:v>11</x:v>
      </x:c>
      <x:c r="N713" s="51" t="n">
        <x:v>8</x:v>
      </x:c>
      <x:c r="O713" s="51" t="n">
        <x:v>5</x:v>
      </x:c>
      <x:c r="P713" s="51" t="n">
        <x:v>12</x:v>
      </x:c>
      <x:c r="Q713" s="51" t="n">
        <x:v>0</x:v>
      </x:c>
      <x:c r="R713" s="52" t="n">
        <x:f>SUM(J713:Q713)</x:f>
        <x:v>64</x:v>
      </x:c>
      <x:c r="S713" s="50" t="str">
        <x:f>IF(R713&gt;='Rubrik'!$B$17,"Öncelikli video",IF(R713&gt;='Rubrik'!$B$18,"Video kuyruğu",IF(R713&gt;='Rubrik'!$B$19,"Revize et",IF(R713&gt;='Rubrik'!$B$20,"Kartla test","Düşük öncelik"))))</x:f>
        <x:v>Düşük öncelik</x:v>
      </x:c>
      <x:c r="T713" s="50" t="str">
        <x:f>IF(AND(R713&gt;=85,P713&gt;=16,M713&gt;=12,L713&gt;=12),"Reel + Carousel",IF(AND(R713&gt;=85,P713&gt;=16,N713&gt;=8),"Soru odaklı Reel",IF(AND(R713&gt;=85,P713&gt;=16),"Reel / Short",IF(M713&gt;=11,"Carousel","Kart testi"))))</x:f>
        <x:v>Carousel</x:v>
      </x:c>
      <x:c r="U713" s="46" t="str">
        <x:v>IQ-EQ karşıtlığı dikkat çekiyor; isimsiz Harvard araştırması ve üstünlük iddiası güvenilir sunulmuyor.</x:v>
      </x:c>
      <x:c r="V713" s="46" t="str">
        <x:f>IF(Q713&lt;=3,"Kaynak kontrolü şart",IF(Q713=4,"Kaynak kontrolü önerilir","Standart doğrulama"))</x:f>
        <x:v>Kaynak kontrolü şart</x:v>
      </x:c>
    </x:row>
    <x:row r="714" ht="24" customHeight="1">
      <x:c r="A714" s="48" t="n">
        <x:f>COUNTIF($R$2:$R$751,"&gt;"&amp;R714)+COUNTIF($R$2:R714,R714)</x:f>
        <x:v>713</x:v>
      </x:c>
      <x:c r="B714" s="48" t="n">
        <x:v>1084</x:v>
      </x:c>
      <x:c r="C714" s="46" t="str">
        <x:v>Önce kim, sonra ne</x:v>
      </x:c>
      <x:c r="D714" s="34" t="str">
        <x:v>Verimlilik</x:v>
      </x:c>
      <x:c r="E714" s="34" t="str">
        <x:v>İş Dünyası</x:v>
      </x:c>
      <x:c r="F714" s="34" t="str">
        <x:v>Good to Great</x:v>
      </x:c>
      <x:c r="G714" s="34" t="str">
        <x:v>Jim Collins</x:v>
      </x:c>
      <x:c r="H714" s="50" t="str">
        <x:v>1</x:v>
      </x:c>
      <x:c r="I714" s="50" t="str">
        <x:v>Temel</x:v>
      </x:c>
      <x:c r="J714" s="51" t="n">
        <x:v>11</x:v>
      </x:c>
      <x:c r="K714" s="51" t="n">
        <x:v>6</x:v>
      </x:c>
      <x:c r="L714" s="51" t="n">
        <x:v>8</x:v>
      </x:c>
      <x:c r="M714" s="51" t="n">
        <x:v>12</x:v>
      </x:c>
      <x:c r="N714" s="51" t="n">
        <x:v>8</x:v>
      </x:c>
      <x:c r="O714" s="51" t="n">
        <x:v>5</x:v>
      </x:c>
      <x:c r="P714" s="51" t="n">
        <x:v>11</x:v>
      </x:c>
      <x:c r="Q714" s="51" t="n">
        <x:v>3</x:v>
      </x:c>
      <x:c r="R714" s="52" t="n">
        <x:f>SUM(J714:Q714)</x:f>
        <x:v>64</x:v>
      </x:c>
      <x:c r="S714" s="50" t="str">
        <x:f>IF(R714&gt;='Rubrik'!$B$17,"Öncelikli video",IF(R714&gt;='Rubrik'!$B$18,"Video kuyruğu",IF(R714&gt;='Rubrik'!$B$19,"Revize et",IF(R714&gt;='Rubrik'!$B$20,"Kartla test","Düşük öncelik"))))</x:f>
        <x:v>Düşük öncelik</x:v>
      </x:c>
      <x:c r="T714" s="50" t="str">
        <x:f>IF(AND(R714&gt;=85,P714&gt;=16,M714&gt;=12,L714&gt;=12),"Reel + Carousel",IF(AND(R714&gt;=85,P714&gt;=16,N714&gt;=8),"Soru odaklı Reel",IF(AND(R714&gt;=85,P714&gt;=16),"Reel / Short",IF(M714&gt;=11,"Carousel","Kart testi"))))</x:f>
        <x:v>Carousel</x:v>
      </x:c>
      <x:c r="U714" s="46" t="str">
        <x:v>Otobüs metaforu kolay anlatılır fakat somut vaka zayıf; insan seçimine dair nüansları basitleştiriyor.</x:v>
      </x:c>
      <x:c r="V714" s="46" t="str">
        <x:f>IF(Q714&lt;=3,"Kaynak kontrolü şart",IF(Q714=4,"Kaynak kontrolü önerilir","Standart doğrulama"))</x:f>
        <x:v>Kaynak kontrolü şart</x:v>
      </x:c>
    </x:row>
    <x:row r="715" ht="24" customHeight="1">
      <x:c r="A715" s="48" t="n">
        <x:f>COUNTIF($R$2:$R$751,"&gt;"&amp;R715)+COUNTIF($R$2:R715,R715)</x:f>
        <x:v>714</x:v>
      </x:c>
      <x:c r="B715" s="48" t="n">
        <x:v>1139</x:v>
      </x:c>
      <x:c r="C715" s="46" t="str">
        <x:v>Güven inşasının dört çekirdeği</x:v>
      </x:c>
      <x:c r="D715" s="34" t="str">
        <x:v>Liderlik</x:v>
      </x:c>
      <x:c r="E715" s="34" t="str">
        <x:v>Liderlik</x:v>
      </x:c>
      <x:c r="F715" s="34" t="str">
        <x:v>Hız ve Güven</x:v>
      </x:c>
      <x:c r="G715" s="34" t="str">
        <x:v>Stephen M. R. Covey</x:v>
      </x:c>
      <x:c r="H715" s="50" t="str">
        <x:v>1</x:v>
      </x:c>
      <x:c r="I715" s="50" t="str">
        <x:v>Temel</x:v>
      </x:c>
      <x:c r="J715" s="51" t="n">
        <x:v>10</x:v>
      </x:c>
      <x:c r="K715" s="51" t="n">
        <x:v>6</x:v>
      </x:c>
      <x:c r="L715" s="51" t="n">
        <x:v>8</x:v>
      </x:c>
      <x:c r="M715" s="51" t="n">
        <x:v>14</x:v>
      </x:c>
      <x:c r="N715" s="51" t="n">
        <x:v>8</x:v>
      </x:c>
      <x:c r="O715" s="51" t="n">
        <x:v>4</x:v>
      </x:c>
      <x:c r="P715" s="51" t="n">
        <x:v>10</x:v>
      </x:c>
      <x:c r="Q715" s="51" t="n">
        <x:v>4</x:v>
      </x:c>
      <x:c r="R715" s="52" t="n">
        <x:f>SUM(J715:Q715)</x:f>
        <x:v>64</x:v>
      </x:c>
      <x:c r="S715" s="50" t="str">
        <x:f>IF(R715&gt;='Rubrik'!$B$17,"Öncelikli video",IF(R715&gt;='Rubrik'!$B$18,"Video kuyruğu",IF(R715&gt;='Rubrik'!$B$19,"Revize et",IF(R715&gt;='Rubrik'!$B$20,"Kartla test","Düşük öncelik"))))</x:f>
        <x:v>Düşük öncelik</x:v>
      </x:c>
      <x:c r="T715" s="50" t="str">
        <x:f>IF(AND(R715&gt;=85,P715&gt;=16,M715&gt;=12,L715&gt;=12),"Reel + Carousel",IF(AND(R715&gt;=85,P715&gt;=16,N715&gt;=8),"Soru odaklı Reel",IF(AND(R715&gt;=85,P715&gt;=16),"Reel / Short",IF(M715&gt;=11,"Carousel","Kart testi"))))</x:f>
        <x:v>Carousel</x:v>
      </x:c>
      <x:c r="U715" s="46" t="str">
        <x:v>Dört güven bileşeni iyi bir kontrol listesi; hikâye, gerilim ve görsel dönüşüm bulunmuyor.</x:v>
      </x:c>
      <x:c r="V715" s="46" t="str">
        <x:f>IF(Q715&lt;=3,"Kaynak kontrolü şart",IF(Q715=4,"Kaynak kontrolü önerilir","Standart doğrulama"))</x:f>
        <x:v>Kaynak kontrolü önerilir</x:v>
      </x:c>
    </x:row>
    <x:row r="716" ht="24" customHeight="1">
      <x:c r="A716" s="48" t="n">
        <x:f>COUNTIF($R$2:$R$751,"&gt;"&amp;R716)+COUNTIF($R$2:R716,R716)</x:f>
        <x:v>715</x:v>
      </x:c>
      <x:c r="B716" s="48" t="n">
        <x:v>1672</x:v>
      </x:c>
      <x:c r="C716" s="46" t="str">
        <x:v>Derin çalışma — yüzeysel çalışmanın antitezi</x:v>
      </x:c>
      <x:c r="D716" s="34" t="str">
        <x:v>Verimlilik</x:v>
      </x:c>
      <x:c r="E716" s="34" t="str">
        <x:v>Verimlilik</x:v>
      </x:c>
      <x:c r="F716" s="34" t="str">
        <x:v>Konsantrasyon Gücü</x:v>
      </x:c>
      <x:c r="G716" s="34" t="str">
        <x:v>CNewport</x:v>
      </x:c>
      <x:c r="H716" s="50" t="str">
        <x:v>1</x:v>
      </x:c>
      <x:c r="I716" s="50" t="str">
        <x:v>Temel</x:v>
      </x:c>
      <x:c r="J716" s="51" t="n">
        <x:v>9</x:v>
      </x:c>
      <x:c r="K716" s="51" t="n">
        <x:v>5</x:v>
      </x:c>
      <x:c r="L716" s="51" t="n">
        <x:v>10</x:v>
      </x:c>
      <x:c r="M716" s="51" t="n">
        <x:v>9</x:v>
      </x:c>
      <x:c r="N716" s="51" t="n">
        <x:v>6</x:v>
      </x:c>
      <x:c r="O716" s="51" t="n">
        <x:v>6</x:v>
      </x:c>
      <x:c r="P716" s="51" t="n">
        <x:v>14</x:v>
      </x:c>
      <x:c r="Q716" s="51" t="n">
        <x:v>4</x:v>
      </x:c>
      <x:c r="R716" s="52" t="n">
        <x:f>SUM(J716:Q716)</x:f>
        <x:v>63</x:v>
      </x:c>
      <x:c r="S716" s="50" t="str">
        <x:f>IF(R716&gt;='Rubrik'!$B$17,"Öncelikli video",IF(R716&gt;='Rubrik'!$B$18,"Video kuyruğu",IF(R716&gt;='Rubrik'!$B$19,"Revize et",IF(R716&gt;='Rubrik'!$B$20,"Kartla test","Düşük öncelik"))))</x:f>
        <x:v>Düşük öncelik</x:v>
      </x:c>
      <x:c r="T716" s="50" t="str">
        <x:f>IF(AND(R716&gt;=85,P716&gt;=16,M716&gt;=12,L716&gt;=12),"Reel + Carousel",IF(AND(R716&gt;=85,P716&gt;=16,N716&gt;=8),"Soru odaklı Reel",IF(AND(R716&gt;=85,P716&gt;=16),"Reel / Short",IF(M716&gt;=11,"Carousel","Kart testi"))))</x:f>
        <x:v>Kart testi</x:v>
      </x:c>
      <x:c r="U716" s="46" t="str">
        <x:v>Uygulanabilir çerçeve, hikâyeyi geri dönüp kaydetmeye değer kılıyor; olay örgüsü geliştirilmeli.</x:v>
      </x:c>
      <x:c r="V716" s="46" t="str">
        <x:f>IF(Q716&lt;=3,"Kaynak kontrolü şart",IF(Q716=4,"Kaynak kontrolü önerilir","Standart doğrulama"))</x:f>
        <x:v>Kaynak kontrolü önerilir</x:v>
      </x:c>
    </x:row>
    <x:row r="717" ht="24" customHeight="1">
      <x:c r="A717" s="48" t="n">
        <x:f>COUNTIF($R$2:$R$751,"&gt;"&amp;R717)+COUNTIF($R$2:R717,R717)</x:f>
        <x:v>716</x:v>
      </x:c>
      <x:c r="B717" s="48" t="n">
        <x:v>1685</x:v>
      </x:c>
      <x:c r="C717" s="46" t="str">
        <x:v>Düşünce kancaları — zihni ele geçiren hikayeler</x:v>
      </x:c>
      <x:c r="D717" s="34" t="str">
        <x:v>Psikoloji</x:v>
      </x:c>
      <x:c r="E717" s="34" t="str">
        <x:v>Psikoloji</x:v>
      </x:c>
      <x:c r="F717" s="34" t="str">
        <x:v>Duygusal Çeviklik</x:v>
      </x:c>
      <x:c r="G717" s="34" t="str">
        <x:v>Susan David</x:v>
      </x:c>
      <x:c r="H717" s="50" t="str">
        <x:v>1</x:v>
      </x:c>
      <x:c r="I717" s="50" t="str">
        <x:v>Temel</x:v>
      </x:c>
      <x:c r="J717" s="51" t="n">
        <x:v>9</x:v>
      </x:c>
      <x:c r="K717" s="51" t="n">
        <x:v>4</x:v>
      </x:c>
      <x:c r="L717" s="51" t="n">
        <x:v>10</x:v>
      </x:c>
      <x:c r="M717" s="51" t="n">
        <x:v>8</x:v>
      </x:c>
      <x:c r="N717" s="51" t="n">
        <x:v>6</x:v>
      </x:c>
      <x:c r="O717" s="51" t="n">
        <x:v>8</x:v>
      </x:c>
      <x:c r="P717" s="51" t="n">
        <x:v>14</x:v>
      </x:c>
      <x:c r="Q717" s="51" t="n">
        <x:v>4</x:v>
      </x:c>
      <x:c r="R717" s="52" t="n">
        <x:f>SUM(J717:Q717)</x:f>
        <x:v>63</x:v>
      </x:c>
      <x:c r="S717" s="50" t="str">
        <x:f>IF(R717&gt;='Rubrik'!$B$17,"Öncelikli video",IF(R717&gt;='Rubrik'!$B$18,"Video kuyruğu",IF(R717&gt;='Rubrik'!$B$19,"Revize et",IF(R717&gt;='Rubrik'!$B$20,"Kartla test","Düşük öncelik"))))</x:f>
        <x:v>Düşük öncelik</x:v>
      </x:c>
      <x:c r="T717" s="50" t="str">
        <x:f>IF(AND(R717&gt;=85,P717&gt;=16,M717&gt;=12,L717&gt;=12),"Reel + Carousel",IF(AND(R717&gt;=85,P717&gt;=16,N717&gt;=8),"Soru odaklı Reel",IF(AND(R717&gt;=85,P717&gt;=16),"Reel / Short",IF(M717&gt;=11,"Carousel","Kart testi"))))</x:f>
        <x:v>Kart testi</x:v>
      </x:c>
      <x:c r="U717" s="46" t="str">
        <x:v>Somut nesne veya sahne kısa videoda kolayca görselleşebilir; ilk saniye etkisi geliştirilmeli.</x:v>
      </x:c>
      <x:c r="V717" s="46" t="str">
        <x:f>IF(Q717&lt;=3,"Kaynak kontrolü şart",IF(Q717=4,"Kaynak kontrolü önerilir","Standart doğrulama"))</x:f>
        <x:v>Kaynak kontrolü önerilir</x:v>
      </x:c>
    </x:row>
    <x:row r="718" ht="24" customHeight="1">
      <x:c r="A718" s="48" t="n">
        <x:f>COUNTIF($R$2:$R$751,"&gt;"&amp;R718)+COUNTIF($R$2:R718,R718)</x:f>
        <x:v>717</x:v>
      </x:c>
      <x:c r="B718" s="48" t="n">
        <x:v>1104</x:v>
      </x:c>
      <x:c r="C718" s="46" t="str">
        <x:v>Bismarck'ın savaşmadan kazanma sanatı</x:v>
      </x:c>
      <x:c r="D718" s="34" t="str">
        <x:v>Liderlik</x:v>
      </x:c>
      <x:c r="E718" s="34" t="str">
        <x:v>Strateji</x:v>
      </x:c>
      <x:c r="F718" s="34" t="str">
        <x:v>Güç Yasaları</x:v>
      </x:c>
      <x:c r="G718" s="34" t="str">
        <x:v>Robert Greene</x:v>
      </x:c>
      <x:c r="H718" s="50" t="str">
        <x:v>1</x:v>
      </x:c>
      <x:c r="I718" s="50" t="str">
        <x:v>Temel</x:v>
      </x:c>
      <x:c r="J718" s="51" t="n">
        <x:v>13</x:v>
      </x:c>
      <x:c r="K718" s="51" t="n">
        <x:v>6</x:v>
      </x:c>
      <x:c r="L718" s="51" t="n">
        <x:v>8</x:v>
      </x:c>
      <x:c r="M718" s="51" t="n">
        <x:v>8</x:v>
      </x:c>
      <x:c r="N718" s="51" t="n">
        <x:v>8</x:v>
      </x:c>
      <x:c r="O718" s="51" t="n">
        <x:v>6</x:v>
      </x:c>
      <x:c r="P718" s="51" t="n">
        <x:v>14</x:v>
      </x:c>
      <x:c r="Q718" s="51" t="n">
        <x:v>0</x:v>
      </x:c>
      <x:c r="R718" s="52" t="n">
        <x:f>SUM(J718:Q718)</x:f>
        <x:v>63</x:v>
      </x:c>
      <x:c r="S718" s="50" t="str">
        <x:f>IF(R718&gt;='Rubrik'!$B$17,"Öncelikli video",IF(R718&gt;='Rubrik'!$B$18,"Video kuyruğu",IF(R718&gt;='Rubrik'!$B$19,"Revize et",IF(R718&gt;='Rubrik'!$B$20,"Kartla test","Düşük öncelik"))))</x:f>
        <x:v>Düşük öncelik</x:v>
      </x:c>
      <x:c r="T718" s="50" t="str">
        <x:f>IF(AND(R718&gt;=85,P718&gt;=16,M718&gt;=12,L718&gt;=12),"Reel + Carousel",IF(AND(R718&gt;=85,P718&gt;=16,N718&gt;=8),"Soru odaklı Reel",IF(AND(R718&gt;=85,P718&gt;=16),"Reel / Short",IF(M718&gt;=11,"Carousel","Kart testi"))))</x:f>
        <x:v>Kart testi</x:v>
      </x:c>
      <x:c r="U718" s="46" t="str">
        <x:v>Bismarck sahnesi görsel ancak savaşmadan birleşme iddiası tarihsel olarak yanlış; yeniden yazım gerekir.</x:v>
      </x:c>
      <x:c r="V718" s="46" t="str">
        <x:f>IF(Q718&lt;=3,"Kaynak kontrolü şart",IF(Q718=4,"Kaynak kontrolü önerilir","Standart doğrulama"))</x:f>
        <x:v>Kaynak kontrolü şart</x:v>
      </x:c>
    </x:row>
    <x:row r="719" ht="24" customHeight="1">
      <x:c r="A719" s="48" t="n">
        <x:f>COUNTIF($R$2:$R$751,"&gt;"&amp;R719)+COUNTIF($R$2:R719,R719)</x:f>
        <x:v>718</x:v>
      </x:c>
      <x:c r="B719" s="48" t="n">
        <x:v>1328</x:v>
      </x:c>
      <x:c r="C719" s="46" t="str">
        <x:v>Ayna ilkesi ve dış yansıma</x:v>
      </x:c>
      <x:c r="D719" s="34" t="str">
        <x:v>Büyüme</x:v>
      </x:c>
      <x:c r="E719" s="34" t="str">
        <x:v>Motivasyon</x:v>
      </x:c>
      <x:c r="F719" s="34" t="str">
        <x:v>The Success Principles</x:v>
      </x:c>
      <x:c r="G719" s="34" t="str">
        <x:v>Jack Canfield</x:v>
      </x:c>
      <x:c r="H719" s="50" t="str">
        <x:v>1</x:v>
      </x:c>
      <x:c r="I719" s="50" t="str">
        <x:v>Temel</x:v>
      </x:c>
      <x:c r="J719" s="51" t="n">
        <x:v>12</x:v>
      </x:c>
      <x:c r="K719" s="51" t="n">
        <x:v>6</x:v>
      </x:c>
      <x:c r="L719" s="51" t="n">
        <x:v>8</x:v>
      </x:c>
      <x:c r="M719" s="51" t="n">
        <x:v>9</x:v>
      </x:c>
      <x:c r="N719" s="51" t="n">
        <x:v>8</x:v>
      </x:c>
      <x:c r="O719" s="51" t="n">
        <x:v>6</x:v>
      </x:c>
      <x:c r="P719" s="51" t="n">
        <x:v>13</x:v>
      </x:c>
      <x:c r="Q719" s="51" t="n">
        <x:v>1</x:v>
      </x:c>
      <x:c r="R719" s="52" t="n">
        <x:f>SUM(J719:Q719)</x:f>
        <x:v>63</x:v>
      </x:c>
      <x:c r="S719" s="50" t="str">
        <x:f>IF(R719&gt;='Rubrik'!$B$17,"Öncelikli video",IF(R719&gt;='Rubrik'!$B$18,"Video kuyruğu",IF(R719&gt;='Rubrik'!$B$19,"Revize et",IF(R719&gt;='Rubrik'!$B$20,"Kartla test","Düşük öncelik"))))</x:f>
        <x:v>Düşük öncelik</x:v>
      </x:c>
      <x:c r="T719" s="50" t="str">
        <x:f>IF(AND(R719&gt;=85,P719&gt;=16,M719&gt;=12,L719&gt;=12),"Reel + Carousel",IF(AND(R719&gt;=85,P719&gt;=16,N719&gt;=8),"Soru odaklı Reel",IF(AND(R719&gt;=85,P719&gt;=16),"Reel / Short",IF(M719&gt;=11,"Carousel","Kart testi"))))</x:f>
        <x:v>Kart testi</x:v>
      </x:c>
      <x:c r="U719" s="46" t="str">
        <x:v>İnanç-davranış bağı tartışmaya değer; dış dünyayı iç inançların aynası saymak aşırı ve suçlayıcı.</x:v>
      </x:c>
      <x:c r="V719" s="46" t="str">
        <x:f>IF(Q719&lt;=3,"Kaynak kontrolü şart",IF(Q719=4,"Kaynak kontrolü önerilir","Standart doğrulama"))</x:f>
        <x:v>Kaynak kontrolü şart</x:v>
      </x:c>
    </x:row>
    <x:row r="720" ht="24" customHeight="1">
      <x:c r="A720" s="48" t="n">
        <x:f>COUNTIF($R$2:$R$751,"&gt;"&amp;R720)+COUNTIF($R$2:R720,R720)</x:f>
        <x:v>719</x:v>
      </x:c>
      <x:c r="B720" s="48" t="n">
        <x:v>1500</x:v>
      </x:c>
      <x:c r="C720" s="46" t="str">
        <x:v>Liderlik ve kültür şekillendirme</x:v>
      </x:c>
      <x:c r="D720" s="34" t="str">
        <x:v>Liderlik</x:v>
      </x:c>
      <x:c r="E720" s="34" t="str">
        <x:v>Liderlik</x:v>
      </x:c>
      <x:c r="F720" s="34" t="str">
        <x:v>Kabile Liderliği</x:v>
      </x:c>
      <x:c r="G720" s="34" t="str">
        <x:v>Dave Logan</x:v>
      </x:c>
      <x:c r="H720" s="50" t="str">
        <x:v>1</x:v>
      </x:c>
      <x:c r="I720" s="50" t="str">
        <x:v>Temel</x:v>
      </x:c>
      <x:c r="J720" s="51" t="n">
        <x:v>9</x:v>
      </x:c>
      <x:c r="K720" s="51" t="n">
        <x:v>4</x:v>
      </x:c>
      <x:c r="L720" s="51" t="n">
        <x:v>9</x:v>
      </x:c>
      <x:c r="M720" s="51" t="n">
        <x:v>13</x:v>
      </x:c>
      <x:c r="N720" s="51" t="n">
        <x:v>7</x:v>
      </x:c>
      <x:c r="O720" s="51" t="n">
        <x:v>5</x:v>
      </x:c>
      <x:c r="P720" s="51" t="n">
        <x:v>12</x:v>
      </x:c>
      <x:c r="Q720" s="51" t="n">
        <x:v>4</x:v>
      </x:c>
      <x:c r="R720" s="52" t="n">
        <x:f>SUM(J720:Q720)</x:f>
        <x:v>63</x:v>
      </x:c>
      <x:c r="S720" s="50" t="str">
        <x:f>IF(R720&gt;='Rubrik'!$B$17,"Öncelikli video",IF(R720&gt;='Rubrik'!$B$18,"Video kuyruğu",IF(R720&gt;='Rubrik'!$B$19,"Revize et",IF(R720&gt;='Rubrik'!$B$20,"Kartla test","Düşük öncelik"))))</x:f>
        <x:v>Düşük öncelik</x:v>
      </x:c>
      <x:c r="T720" s="50" t="str">
        <x:f>IF(AND(R720&gt;=85,P720&gt;=16,M720&gt;=12,L720&gt;=12),"Reel + Carousel",IF(AND(R720&gt;=85,P720&gt;=16,N720&gt;=8),"Soru odaklı Reel",IF(AND(R720&gt;=85,P720&gt;=16),"Reel / Short",IF(M720&gt;=11,"Carousel","Kart testi"))))</x:f>
        <x:v>Carousel</x:v>
      </x:c>
      <x:c r="U720" s="46" t="str">
        <x:v>Kültürün lider davranışından doğması doğru ve yararlı; somut olay eksikliği paylaşılabilirliği sınırlıyor.</x:v>
      </x:c>
      <x:c r="V720" s="46" t="str">
        <x:f>IF(Q720&lt;=3,"Kaynak kontrolü şart",IF(Q720=4,"Kaynak kontrolü önerilir","Standart doğrulama"))</x:f>
        <x:v>Kaynak kontrolü önerilir</x:v>
      </x:c>
    </x:row>
    <x:row r="721" ht="24" customHeight="1">
      <x:c r="A721" s="48" t="n">
        <x:f>COUNTIF($R$2:$R$751,"&gt;"&amp;R721)+COUNTIF($R$2:R721,R721)</x:f>
        <x:v>720</x:v>
      </x:c>
      <x:c r="B721" s="48" t="n">
        <x:v>1509</x:v>
      </x:c>
      <x:c r="C721" s="46" t="str">
        <x:v>Kısa vadeli kazanımlar ve değişim momentumu</x:v>
      </x:c>
      <x:c r="D721" s="34" t="str">
        <x:v>Liderlik</x:v>
      </x:c>
      <x:c r="E721" s="34" t="str">
        <x:v>Yönetim</x:v>
      </x:c>
      <x:c r="F721" s="34" t="str">
        <x:v>Değişim Yönetimi</x:v>
      </x:c>
      <x:c r="G721" s="34" t="str">
        <x:v>John Kotter</x:v>
      </x:c>
      <x:c r="H721" s="50" t="str">
        <x:v>1</x:v>
      </x:c>
      <x:c r="I721" s="50" t="str">
        <x:v>Temel</x:v>
      </x:c>
      <x:c r="J721" s="51" t="n">
        <x:v>9</x:v>
      </x:c>
      <x:c r="K721" s="51" t="n">
        <x:v>4</x:v>
      </x:c>
      <x:c r="L721" s="51" t="n">
        <x:v>9</x:v>
      </x:c>
      <x:c r="M721" s="51" t="n">
        <x:v>13</x:v>
      </x:c>
      <x:c r="N721" s="51" t="n">
        <x:v>7</x:v>
      </x:c>
      <x:c r="O721" s="51" t="n">
        <x:v>5</x:v>
      </x:c>
      <x:c r="P721" s="51" t="n">
        <x:v>12</x:v>
      </x:c>
      <x:c r="Q721" s="51" t="n">
        <x:v>4</x:v>
      </x:c>
      <x:c r="R721" s="52" t="n">
        <x:f>SUM(J721:Q721)</x:f>
        <x:v>63</x:v>
      </x:c>
      <x:c r="S721" s="50" t="str">
        <x:f>IF(R721&gt;='Rubrik'!$B$17,"Öncelikli video",IF(R721&gt;='Rubrik'!$B$18,"Video kuyruğu",IF(R721&gt;='Rubrik'!$B$19,"Revize et",IF(R721&gt;='Rubrik'!$B$20,"Kartla test","Düşük öncelik"))))</x:f>
        <x:v>Düşük öncelik</x:v>
      </x:c>
      <x:c r="T721" s="50" t="str">
        <x:f>IF(AND(R721&gt;=85,P721&gt;=16,M721&gt;=12,L721&gt;=12),"Reel + Carousel",IF(AND(R721&gt;=85,P721&gt;=16,N721&gt;=8),"Soru odaklı Reel",IF(AND(R721&gt;=85,P721&gt;=16),"Reel / Short",IF(M721&gt;=11,"Carousel","Kart testi"))))</x:f>
        <x:v>Carousel</x:v>
      </x:c>
      <x:c r="U721" s="46" t="str">
        <x:v>Kısa vadeli kazanımlar ilerlemeyi görünür kılıyor; örnek eklenirse video ritmi ve paylaşım değeri yükselir.</x:v>
      </x:c>
      <x:c r="V721" s="46" t="str">
        <x:f>IF(Q721&lt;=3,"Kaynak kontrolü şart",IF(Q721=4,"Kaynak kontrolü önerilir","Standart doğrulama"))</x:f>
        <x:v>Kaynak kontrolü önerilir</x:v>
      </x:c>
    </x:row>
    <x:row r="722" ht="24" customHeight="1">
      <x:c r="A722" s="48" t="n">
        <x:f>COUNTIF($R$2:$R$751,"&gt;"&amp;R722)+COUNTIF($R$2:R722,R722)</x:f>
        <x:v>721</x:v>
      </x:c>
      <x:c r="B722" s="48" t="n">
        <x:v>1514</x:v>
      </x:c>
      <x:c r="C722" s="46" t="str">
        <x:v>İki tür inovasyon</x:v>
      </x:c>
      <x:c r="D722" s="34" t="str">
        <x:v>Verimlilik</x:v>
      </x:c>
      <x:c r="E722" s="34" t="str">
        <x:v>İş Dünyası</x:v>
      </x:c>
      <x:c r="F722" s="34" t="str">
        <x:v>Yıkıcı İnovasyon</x:v>
      </x:c>
      <x:c r="G722" s="34" t="str">
        <x:v>Clayton Christensen</x:v>
      </x:c>
      <x:c r="H722" s="50" t="str">
        <x:v>1</x:v>
      </x:c>
      <x:c r="I722" s="50" t="str">
        <x:v>Temel</x:v>
      </x:c>
      <x:c r="J722" s="51" t="n">
        <x:v>9</x:v>
      </x:c>
      <x:c r="K722" s="51" t="n">
        <x:v>3</x:v>
      </x:c>
      <x:c r="L722" s="51" t="n">
        <x:v>9</x:v>
      </x:c>
      <x:c r="M722" s="51" t="n">
        <x:v>13</x:v>
      </x:c>
      <x:c r="N722" s="51" t="n">
        <x:v>7</x:v>
      </x:c>
      <x:c r="O722" s="51" t="n">
        <x:v>5</x:v>
      </x:c>
      <x:c r="P722" s="51" t="n">
        <x:v>12</x:v>
      </x:c>
      <x:c r="Q722" s="51" t="n">
        <x:v>5</x:v>
      </x:c>
      <x:c r="R722" s="52" t="n">
        <x:f>SUM(J722:Q722)</x:f>
        <x:v>63</x:v>
      </x:c>
      <x:c r="S722" s="50" t="str">
        <x:f>IF(R722&gt;='Rubrik'!$B$17,"Öncelikli video",IF(R722&gt;='Rubrik'!$B$18,"Video kuyruğu",IF(R722&gt;='Rubrik'!$B$19,"Revize et",IF(R722&gt;='Rubrik'!$B$20,"Kartla test","Düşük öncelik"))))</x:f>
        <x:v>Düşük öncelik</x:v>
      </x:c>
      <x:c r="T722" s="50" t="str">
        <x:f>IF(AND(R722&gt;=85,P722&gt;=16,M722&gt;=12,L722&gt;=12),"Reel + Carousel",IF(AND(R722&gt;=85,P722&gt;=16,N722&gt;=8),"Soru odaklı Reel",IF(AND(R722&gt;=85,P722&gt;=16),"Reel / Short",IF(M722&gt;=11,"Carousel","Kart testi"))))</x:f>
        <x:v>Carousel</x:v>
      </x:c>
      <x:c r="U722" s="46" t="str">
        <x:v>Sürdürücü ve yıkıcı yenilik ayrımı stratejik olarak değerli; kavramsal yoğunluk duygusal etkiyi azaltıyor.</x:v>
      </x:c>
      <x:c r="V722" s="46" t="str">
        <x:f>IF(Q722&lt;=3,"Kaynak kontrolü şart",IF(Q722=4,"Kaynak kontrolü önerilir","Standart doğrulama"))</x:f>
        <x:v>Standart doğrulama</x:v>
      </x:c>
    </x:row>
    <x:row r="723" ht="24" customHeight="1">
      <x:c r="A723" s="48" t="n">
        <x:f>COUNTIF($R$2:$R$751,"&gt;"&amp;R723)+COUNTIF($R$2:R723,R723)</x:f>
        <x:v>722</x:v>
      </x:c>
      <x:c r="B723" s="48" t="n">
        <x:v>1528</x:v>
      </x:c>
      <x:c r="C723" s="46" t="str">
        <x:v>Scrum'ın doğuşu</x:v>
      </x:c>
      <x:c r="D723" s="34" t="str">
        <x:v>Liderlik</x:v>
      </x:c>
      <x:c r="E723" s="34" t="str">
        <x:v>Yönetim</x:v>
      </x:c>
      <x:c r="F723" s="34" t="str">
        <x:v>Çevik Yönetim</x:v>
      </x:c>
      <x:c r="G723" s="34" t="str">
        <x:v>Jeff Sutherland</x:v>
      </x:c>
      <x:c r="H723" s="50" t="str">
        <x:v>1</x:v>
      </x:c>
      <x:c r="I723" s="50" t="str">
        <x:v>Temel</x:v>
      </x:c>
      <x:c r="J723" s="51" t="n">
        <x:v>9</x:v>
      </x:c>
      <x:c r="K723" s="51" t="n">
        <x:v>3</x:v>
      </x:c>
      <x:c r="L723" s="51" t="n">
        <x:v>9</x:v>
      </x:c>
      <x:c r="M723" s="51" t="n">
        <x:v>13</x:v>
      </x:c>
      <x:c r="N723" s="51" t="n">
        <x:v>7</x:v>
      </x:c>
      <x:c r="O723" s="51" t="n">
        <x:v>5</x:v>
      </x:c>
      <x:c r="P723" s="51" t="n">
        <x:v>12</x:v>
      </x:c>
      <x:c r="Q723" s="51" t="n">
        <x:v>5</x:v>
      </x:c>
      <x:c r="R723" s="52" t="n">
        <x:f>SUM(J723:Q723)</x:f>
        <x:v>63</x:v>
      </x:c>
      <x:c r="S723" s="50" t="str">
        <x:f>IF(R723&gt;='Rubrik'!$B$17,"Öncelikli video",IF(R723&gt;='Rubrik'!$B$18,"Video kuyruğu",IF(R723&gt;='Rubrik'!$B$19,"Revize et",IF(R723&gt;='Rubrik'!$B$20,"Kartla test","Düşük öncelik"))))</x:f>
        <x:v>Düşük öncelik</x:v>
      </x:c>
      <x:c r="T723" s="50" t="str">
        <x:f>IF(AND(R723&gt;=85,P723&gt;=16,M723&gt;=12,L723&gt;=12),"Reel + Carousel",IF(AND(R723&gt;=85,P723&gt;=16,N723&gt;=8),"Soru odaklı Reel",IF(AND(R723&gt;=85,P723&gt;=16),"Reel / Short",IF(M723&gt;=11,"Carousel","Kart testi"))))</x:f>
        <x:v>Carousel</x:v>
      </x:c>
      <x:c r="U723" s="46" t="str">
        <x:v>Scrum'ın kısa döngüleri ekipler için yararlı; geniş kitlede duygu ve özgün hikâye çekiciliği düşük.</x:v>
      </x:c>
      <x:c r="V723" s="46" t="str">
        <x:f>IF(Q723&lt;=3,"Kaynak kontrolü şart",IF(Q723=4,"Kaynak kontrolü önerilir","Standart doğrulama"))</x:f>
        <x:v>Standart doğrulama</x:v>
      </x:c>
    </x:row>
    <x:row r="724" ht="24" customHeight="1">
      <x:c r="A724" s="48" t="n">
        <x:f>COUNTIF($R$2:$R$751,"&gt;"&amp;R724)+COUNTIF($R$2:R724,R724)</x:f>
        <x:v>723</x:v>
      </x:c>
      <x:c r="B724" s="48" t="n">
        <x:v>1092</x:v>
      </x:c>
      <x:c r="C724" s="46" t="str">
        <x:v>Bir yıl 101 hedef deneyi</x:v>
      </x:c>
      <x:c r="D724" s="34" t="str">
        <x:v>Verimlilik</x:v>
      </x:c>
      <x:c r="E724" s="34" t="str">
        <x:v>Verimlilik</x:v>
      </x:c>
      <x:c r="F724" s="34" t="str">
        <x:v>Odaklanma Gücü</x:v>
      </x:c>
      <x:c r="G724" s="34" t="str">
        <x:v>Jack Canfield</x:v>
      </x:c>
      <x:c r="H724" s="50" t="str">
        <x:v>1</x:v>
      </x:c>
      <x:c r="I724" s="50" t="str">
        <x:v>Temel</x:v>
      </x:c>
      <x:c r="J724" s="51" t="n">
        <x:v>12</x:v>
      </x:c>
      <x:c r="K724" s="51" t="n">
        <x:v>7</x:v>
      </x:c>
      <x:c r="L724" s="51" t="n">
        <x:v>8</x:v>
      </x:c>
      <x:c r="M724" s="51" t="n">
        <x:v>11</x:v>
      </x:c>
      <x:c r="N724" s="51" t="n">
        <x:v>8</x:v>
      </x:c>
      <x:c r="O724" s="51" t="n">
        <x:v>5</x:v>
      </x:c>
      <x:c r="P724" s="51" t="n">
        <x:v>12</x:v>
      </x:c>
      <x:c r="Q724" s="51" t="n">
        <x:v>0</x:v>
      </x:c>
      <x:c r="R724" s="52" t="n">
        <x:f>SUM(J724:Q724)</x:f>
        <x:v>63</x:v>
      </x:c>
      <x:c r="S724" s="50" t="str">
        <x:f>IF(R724&gt;='Rubrik'!$B$17,"Öncelikli video",IF(R724&gt;='Rubrik'!$B$18,"Video kuyruğu",IF(R724&gt;='Rubrik'!$B$19,"Revize et",IF(R724&gt;='Rubrik'!$B$20,"Kartla test","Düşük öncelik"))))</x:f>
        <x:v>Düşük öncelik</x:v>
      </x:c>
      <x:c r="T724" s="50" t="str">
        <x:f>IF(AND(R724&gt;=85,P724&gt;=16,M724&gt;=12,L724&gt;=12),"Reel + Carousel",IF(AND(R724&gt;=85,P724&gt;=16,N724&gt;=8),"Soru odaklı Reel",IF(AND(R724&gt;=85,P724&gt;=16),"Reel / Short",IF(M724&gt;=11,"Carousel","Kart testi"))))</x:f>
        <x:v>Carousel</x:v>
      </x:c>
      <x:c r="U724" s="46" t="str">
        <x:v>101 hedef egzersizi denenebilir; yüzde 70-80 başarı ve araştırma karşılaştırması kaynaksız anlatılıyor.</x:v>
      </x:c>
      <x:c r="V724" s="46" t="str">
        <x:f>IF(Q724&lt;=3,"Kaynak kontrolü şart",IF(Q724=4,"Kaynak kontrolü önerilir","Standart doğrulama"))</x:f>
        <x:v>Kaynak kontrolü şart</x:v>
      </x:c>
    </x:row>
    <x:row r="725" ht="24" customHeight="1">
      <x:c r="A725" s="48" t="n">
        <x:f>COUNTIF($R$2:$R$751,"&gt;"&amp;R725)+COUNTIF($R$2:R725,R725)</x:f>
        <x:v>724</x:v>
      </x:c>
      <x:c r="B725" s="48" t="n">
        <x:v>1103</x:v>
      </x:c>
      <x:c r="C725" s="46" t="str">
        <x:v>Beş saniyelik kural ve erken kalkma</x:v>
      </x:c>
      <x:c r="D725" s="34" t="str">
        <x:v>Sağlık</x:v>
      </x:c>
      <x:c r="E725" s="34" t="str">
        <x:v>Alışkanlıklar</x:v>
      </x:c>
      <x:c r="F725" s="34" t="str">
        <x:v>Sabah Rutini</x:v>
      </x:c>
      <x:c r="G725" s="34" t="str">
        <x:v>Hal Elrod</x:v>
      </x:c>
      <x:c r="H725" s="50" t="str">
        <x:v>1</x:v>
      </x:c>
      <x:c r="I725" s="50" t="str">
        <x:v>Temel</x:v>
      </x:c>
      <x:c r="J725" s="51" t="n">
        <x:v>12</x:v>
      </x:c>
      <x:c r="K725" s="51" t="n">
        <x:v>6</x:v>
      </x:c>
      <x:c r="L725" s="51" t="n">
        <x:v>8</x:v>
      </x:c>
      <x:c r="M725" s="51" t="n">
        <x:v>11</x:v>
      </x:c>
      <x:c r="N725" s="51" t="n">
        <x:v>8</x:v>
      </x:c>
      <x:c r="O725" s="51" t="n">
        <x:v>5</x:v>
      </x:c>
      <x:c r="P725" s="51" t="n">
        <x:v>12</x:v>
      </x:c>
      <x:c r="Q725" s="51" t="n">
        <x:v>1</x:v>
      </x:c>
      <x:c r="R725" s="52" t="n">
        <x:f>SUM(J725:Q725)</x:f>
        <x:v>63</x:v>
      </x:c>
      <x:c r="S725" s="50" t="str">
        <x:f>IF(R725&gt;='Rubrik'!$B$17,"Öncelikli video",IF(R725&gt;='Rubrik'!$B$18,"Video kuyruğu",IF(R725&gt;='Rubrik'!$B$19,"Revize et",IF(R725&gt;='Rubrik'!$B$20,"Kartla test","Düşük öncelik"))))</x:f>
        <x:v>Düşük öncelik</x:v>
      </x:c>
      <x:c r="T725" s="50" t="str">
        <x:f>IF(AND(R725&gt;=85,P725&gt;=16,M725&gt;=12,L725&gt;=12),"Reel + Carousel",IF(AND(R725&gt;=85,P725&gt;=16,N725&gt;=8),"Soru odaklı Reel",IF(AND(R725&gt;=85,P725&gt;=16),"Reel / Short",IF(M725&gt;=11,"Carousel","Kart testi"))))</x:f>
        <x:v>Carousel</x:v>
      </x:c>
      <x:c r="U725" s="46" t="str">
        <x:v>Alarm sahnesi tanıdık ve uygulanabilir; beynin beş saniyede yetişemediği açıklaması kanıtsız.</x:v>
      </x:c>
      <x:c r="V725" s="46" t="str">
        <x:f>IF(Q725&lt;=3,"Kaynak kontrolü şart",IF(Q725=4,"Kaynak kontrolü önerilir","Standart doğrulama"))</x:f>
        <x:v>Kaynak kontrolü şart</x:v>
      </x:c>
    </x:row>
    <x:row r="726" ht="24" customHeight="1">
      <x:c r="A726" s="48" t="n">
        <x:f>COUNTIF($R$2:$R$751,"&gt;"&amp;R726)+COUNTIF($R$2:R726,R726)</x:f>
        <x:v>725</x:v>
      </x:c>
      <x:c r="B726" s="48" t="n">
        <x:v>1134</x:v>
      </x:c>
      <x:c r="C726" s="46" t="str">
        <x:v>Bilinçdışının gizli gücü</x:v>
      </x:c>
      <x:c r="D726" s="34" t="str">
        <x:v>Psikoloji</x:v>
      </x:c>
      <x:c r="E726" s="34" t="str">
        <x:v>Psikoloji</x:v>
      </x:c>
      <x:c r="F726" s="34" t="str">
        <x:v>Sosyal Hayvan</x:v>
      </x:c>
      <x:c r="G726" s="34" t="str">
        <x:v>David Brooks</x:v>
      </x:c>
      <x:c r="H726" s="50" t="str">
        <x:v>1</x:v>
      </x:c>
      <x:c r="I726" s="50" t="str">
        <x:v>Temel</x:v>
      </x:c>
      <x:c r="J726" s="51" t="n">
        <x:v>12</x:v>
      </x:c>
      <x:c r="K726" s="51" t="n">
        <x:v>6</x:v>
      </x:c>
      <x:c r="L726" s="51" t="n">
        <x:v>8</x:v>
      </x:c>
      <x:c r="M726" s="51" t="n">
        <x:v>11</x:v>
      </x:c>
      <x:c r="N726" s="51" t="n">
        <x:v>8</x:v>
      </x:c>
      <x:c r="O726" s="51" t="n">
        <x:v>5</x:v>
      </x:c>
      <x:c r="P726" s="51" t="n">
        <x:v>12</x:v>
      </x:c>
      <x:c r="Q726" s="51" t="n">
        <x:v>1</x:v>
      </x:c>
      <x:c r="R726" s="52" t="n">
        <x:f>SUM(J726:Q726)</x:f>
        <x:v>63</x:v>
      </x:c>
      <x:c r="S726" s="50" t="str">
        <x:f>IF(R726&gt;='Rubrik'!$B$17,"Öncelikli video",IF(R726&gt;='Rubrik'!$B$18,"Video kuyruğu",IF(R726&gt;='Rubrik'!$B$19,"Revize et",IF(R726&gt;='Rubrik'!$B$20,"Kartla test","Düşük öncelik"))))</x:f>
        <x:v>Düşük öncelik</x:v>
      </x:c>
      <x:c r="T726" s="50" t="str">
        <x:f>IF(AND(R726&gt;=85,P726&gt;=16,M726&gt;=12,L726&gt;=12),"Reel + Carousel",IF(AND(R726&gt;=85,P726&gt;=16,N726&gt;=8),"Soru odaklı Reel",IF(AND(R726&gt;=85,P726&gt;=16),"Reel / Short",IF(M726&gt;=11,"Carousel","Kart testi"))))</x:f>
        <x:v>Carousel</x:v>
      </x:c>
      <x:c r="U726" s="46" t="str">
        <x:v>Kararların yüzde doksanı iddiası güçlü kanca ama belirsiz ve aşırı; bilinçdışı fikri fazla genelleniyor.</x:v>
      </x:c>
      <x:c r="V726" s="46" t="str">
        <x:f>IF(Q726&lt;=3,"Kaynak kontrolü şart",IF(Q726=4,"Kaynak kontrolü önerilir","Standart doğrulama"))</x:f>
        <x:v>Kaynak kontrolü şart</x:v>
      </x:c>
    </x:row>
    <x:row r="727" ht="24" customHeight="1">
      <x:c r="A727" s="48" t="n">
        <x:f>COUNTIF($R$2:$R$751,"&gt;"&amp;R727)+COUNTIF($R$2:R727,R727)</x:f>
        <x:v>726</x:v>
      </x:c>
      <x:c r="B727" s="48" t="n">
        <x:v>1145</x:v>
      </x:c>
      <x:c r="C727" s="46" t="str">
        <x:v>Kolay olmayacak, devam et</x:v>
      </x:c>
      <x:c r="D727" s="34" t="str">
        <x:v>Büyüme</x:v>
      </x:c>
      <x:c r="E727" s="34" t="str">
        <x:v>Motivasyon</x:v>
      </x:c>
      <x:c r="F727" s="34" t="str">
        <x:v>Fark Yaratmak</x:v>
      </x:c>
      <x:c r="G727" s="34" t="str">
        <x:v>William H. McRaven</x:v>
      </x:c>
      <x:c r="H727" s="50" t="str">
        <x:v>1</x:v>
      </x:c>
      <x:c r="I727" s="50" t="str">
        <x:v>Temel</x:v>
      </x:c>
      <x:c r="J727" s="51" t="n">
        <x:v>11</x:v>
      </x:c>
      <x:c r="K727" s="51" t="n">
        <x:v>7</x:v>
      </x:c>
      <x:c r="L727" s="51" t="n">
        <x:v>8</x:v>
      </x:c>
      <x:c r="M727" s="51" t="n">
        <x:v>10</x:v>
      </x:c>
      <x:c r="N727" s="51" t="n">
        <x:v>9</x:v>
      </x:c>
      <x:c r="O727" s="51" t="n">
        <x:v>5</x:v>
      </x:c>
      <x:c r="P727" s="51" t="n">
        <x:v>11</x:v>
      </x:c>
      <x:c r="Q727" s="51" t="n">
        <x:v>2</x:v>
      </x:c>
      <x:c r="R727" s="52" t="n">
        <x:f>SUM(J727:Q727)</x:f>
        <x:v>63</x:v>
      </x:c>
      <x:c r="S727" s="50" t="str">
        <x:f>IF(R727&gt;='Rubrik'!$B$17,"Öncelikli video",IF(R727&gt;='Rubrik'!$B$18,"Video kuyruğu",IF(R727&gt;='Rubrik'!$B$19,"Revize et",IF(R727&gt;='Rubrik'!$B$20,"Kartla test","Düşük öncelik"))))</x:f>
        <x:v>Düşük öncelik</x:v>
      </x:c>
      <x:c r="T727" s="50" t="str">
        <x:f>IF(AND(R727&gt;=85,P727&gt;=16,M727&gt;=12,L727&gt;=12),"Reel + Carousel",IF(AND(R727&gt;=85,P727&gt;=16,N727&gt;=8),"Soru odaklı Reel",IF(AND(R727&gt;=85,P727&gt;=16),"Reel / Short",IF(M727&gt;=11,"Carousel","Kart testi"))))</x:f>
        <x:v>Kart testi</x:v>
      </x:c>
      <x:c r="U727" s="46" t="str">
        <x:v>Bu geçecek sözü duygusal ama isimsiz eğitimci ve genel öğüt özgünlük ile güveni azaltıyor.</x:v>
      </x:c>
      <x:c r="V727" s="46" t="str">
        <x:f>IF(Q727&lt;=3,"Kaynak kontrolü şart",IF(Q727=4,"Kaynak kontrolü önerilir","Standart doğrulama"))</x:f>
        <x:v>Kaynak kontrolü şart</x:v>
      </x:c>
    </x:row>
    <x:row r="728" ht="24" customHeight="1">
      <x:c r="A728" s="48" t="n">
        <x:f>COUNTIF($R$2:$R$751,"&gt;"&amp;R728)+COUNTIF($R$2:R728,R728)</x:f>
        <x:v>727</x:v>
      </x:c>
      <x:c r="B728" s="48" t="n">
        <x:v>1655</x:v>
      </x:c>
      <x:c r="C728" s="46" t="str">
        <x:v>Yaratıcı süreç — hazırlık, kuluçka ve aydınlanma</x:v>
      </x:c>
      <x:c r="D728" s="34" t="str">
        <x:v>Verimlilik</x:v>
      </x:c>
      <x:c r="E728" s="34" t="str">
        <x:v>Yaratıcılık</x:v>
      </x:c>
      <x:c r="F728" s="34" t="str">
        <x:v>Yaratıcılık ve Akış</x:v>
      </x:c>
      <x:c r="G728" s="34" t="str">
        <x:v>Mihaly Csikszentmihalyi</x:v>
      </x:c>
      <x:c r="H728" s="50" t="str">
        <x:v>1</x:v>
      </x:c>
      <x:c r="I728" s="50" t="str">
        <x:v>Temel</x:v>
      </x:c>
      <x:c r="J728" s="51" t="n">
        <x:v>9</x:v>
      </x:c>
      <x:c r="K728" s="51" t="n">
        <x:v>4</x:v>
      </x:c>
      <x:c r="L728" s="51" t="n">
        <x:v>10</x:v>
      </x:c>
      <x:c r="M728" s="51" t="n">
        <x:v>9</x:v>
      </x:c>
      <x:c r="N728" s="51" t="n">
        <x:v>6</x:v>
      </x:c>
      <x:c r="O728" s="51" t="n">
        <x:v>6</x:v>
      </x:c>
      <x:c r="P728" s="51" t="n">
        <x:v>14</x:v>
      </x:c>
      <x:c r="Q728" s="51" t="n">
        <x:v>4</x:v>
      </x:c>
      <x:c r="R728" s="52" t="n">
        <x:f>SUM(J728:Q728)</x:f>
        <x:v>62</x:v>
      </x:c>
      <x:c r="S728" s="50" t="str">
        <x:f>IF(R728&gt;='Rubrik'!$B$17,"Öncelikli video",IF(R728&gt;='Rubrik'!$B$18,"Video kuyruğu",IF(R728&gt;='Rubrik'!$B$19,"Revize et",IF(R728&gt;='Rubrik'!$B$20,"Kartla test","Düşük öncelik"))))</x:f>
        <x:v>Düşük öncelik</x:v>
      </x:c>
      <x:c r="T728" s="50" t="str">
        <x:f>IF(AND(R728&gt;=85,P728&gt;=16,M728&gt;=12,L728&gt;=12),"Reel + Carousel",IF(AND(R728&gt;=85,P728&gt;=16,N728&gt;=8),"Soru odaklı Reel",IF(AND(R728&gt;=85,P728&gt;=16),"Reel / Short",IF(M728&gt;=11,"Carousel","Kart testi"))))</x:f>
        <x:v>Kart testi</x:v>
      </x:c>
      <x:c r="U728" s="46" t="str">
        <x:v>Uygulanabilir çerçeve, hikâyeyi geri dönüp kaydetmeye değer kılıyor; olay örgüsü geliştirilmeli.</x:v>
      </x:c>
      <x:c r="V728" s="46" t="str">
        <x:f>IF(Q728&lt;=3,"Kaynak kontrolü şart",IF(Q728=4,"Kaynak kontrolü önerilir","Standart doğrulama"))</x:f>
        <x:v>Kaynak kontrolü önerilir</x:v>
      </x:c>
    </x:row>
    <x:row r="729" ht="24" customHeight="1">
      <x:c r="A729" s="48" t="n">
        <x:f>COUNTIF($R$2:$R$751,"&gt;"&amp;R729)+COUNTIF($R$2:R729,R729)</x:f>
        <x:v>728</x:v>
      </x:c>
      <x:c r="B729" s="48" t="n">
        <x:v>1674</x:v>
      </x:c>
      <x:c r="C729" s="46" t="str">
        <x:v>Derin çalışma ritüelleri — kapasitenin kasıtlı inşası</x:v>
      </x:c>
      <x:c r="D729" s="34" t="str">
        <x:v>Verimlilik</x:v>
      </x:c>
      <x:c r="E729" s="34" t="str">
        <x:v>Verimlilik</x:v>
      </x:c>
      <x:c r="F729" s="34" t="str">
        <x:v>Konsantrasyon Gücü</x:v>
      </x:c>
      <x:c r="G729" s="34" t="str">
        <x:v>CNewport</x:v>
      </x:c>
      <x:c r="H729" s="50" t="str">
        <x:v>1</x:v>
      </x:c>
      <x:c r="I729" s="50" t="str">
        <x:v>Temel</x:v>
      </x:c>
      <x:c r="J729" s="51" t="n">
        <x:v>9</x:v>
      </x:c>
      <x:c r="K729" s="51" t="n">
        <x:v>5</x:v>
      </x:c>
      <x:c r="L729" s="51" t="n">
        <x:v>10</x:v>
      </x:c>
      <x:c r="M729" s="51" t="n">
        <x:v>9</x:v>
      </x:c>
      <x:c r="N729" s="51" t="n">
        <x:v>6</x:v>
      </x:c>
      <x:c r="O729" s="51" t="n">
        <x:v>5</x:v>
      </x:c>
      <x:c r="P729" s="51" t="n">
        <x:v>14</x:v>
      </x:c>
      <x:c r="Q729" s="51" t="n">
        <x:v>4</x:v>
      </x:c>
      <x:c r="R729" s="52" t="n">
        <x:f>SUM(J729:Q729)</x:f>
        <x:v>62</x:v>
      </x:c>
      <x:c r="S729" s="50" t="str">
        <x:f>IF(R729&gt;='Rubrik'!$B$17,"Öncelikli video",IF(R729&gt;='Rubrik'!$B$18,"Video kuyruğu",IF(R729&gt;='Rubrik'!$B$19,"Revize et",IF(R729&gt;='Rubrik'!$B$20,"Kartla test","Düşük öncelik"))))</x:f>
        <x:v>Düşük öncelik</x:v>
      </x:c>
      <x:c r="T729" s="50" t="str">
        <x:f>IF(AND(R729&gt;=85,P729&gt;=16,M729&gt;=12,L729&gt;=12),"Reel + Carousel",IF(AND(R729&gt;=85,P729&gt;=16,N729&gt;=8),"Soru odaklı Reel",IF(AND(R729&gt;=85,P729&gt;=16),"Reel / Short",IF(M729&gt;=11,"Carousel","Kart testi"))))</x:f>
        <x:v>Kart testi</x:v>
      </x:c>
      <x:c r="U729" s="46" t="str">
        <x:v>Uygulanabilir çerçeve, hikâyeyi geri dönüp kaydetmeye değer kılıyor; olay örgüsü geliştirilmeli.</x:v>
      </x:c>
      <x:c r="V729" s="46" t="str">
        <x:f>IF(Q729&lt;=3,"Kaynak kontrolü şart",IF(Q729=4,"Kaynak kontrolü önerilir","Standart doğrulama"))</x:f>
        <x:v>Kaynak kontrolü önerilir</x:v>
      </x:c>
    </x:row>
    <x:row r="730" ht="24" customHeight="1">
      <x:c r="A730" s="48" t="n">
        <x:f>COUNTIF($R$2:$R$751,"&gt;"&amp;R730)+COUNTIF($R$2:R730,R730)</x:f>
        <x:v>729</x:v>
      </x:c>
      <x:c r="B730" s="48" t="n">
        <x:v>1442</x:v>
      </x:c>
      <x:c r="C730" s="46" t="str">
        <x:v>Görünürlük ve geri bildirim — iyi tasarımın iki direği</x:v>
      </x:c>
      <x:c r="D730" s="34" t="str">
        <x:v>Verimlilik</x:v>
      </x:c>
      <x:c r="E730" s="34" t="str">
        <x:v>Tasarım</x:v>
      </x:c>
      <x:c r="F730" s="34" t="str">
        <x:v>Gündelik Nesneler Tasarımı</x:v>
      </x:c>
      <x:c r="G730" s="34" t="str">
        <x:v>Don Norman</x:v>
      </x:c>
      <x:c r="H730" s="50" t="str">
        <x:v>1</x:v>
      </x:c>
      <x:c r="I730" s="50" t="str">
        <x:v>Temel</x:v>
      </x:c>
      <x:c r="J730" s="51" t="n">
        <x:v>9</x:v>
      </x:c>
      <x:c r="K730" s="51" t="n">
        <x:v>4</x:v>
      </x:c>
      <x:c r="L730" s="51" t="n">
        <x:v>9</x:v>
      </x:c>
      <x:c r="M730" s="51" t="n">
        <x:v>12</x:v>
      </x:c>
      <x:c r="N730" s="51" t="n">
        <x:v>7</x:v>
      </x:c>
      <x:c r="O730" s="51" t="n">
        <x:v>4</x:v>
      </x:c>
      <x:c r="P730" s="51" t="n">
        <x:v>12</x:v>
      </x:c>
      <x:c r="Q730" s="51" t="n">
        <x:v>5</x:v>
      </x:c>
      <x:c r="R730" s="52" t="n">
        <x:f>SUM(J730:Q730)</x:f>
        <x:v>62</x:v>
      </x:c>
      <x:c r="S730" s="50" t="str">
        <x:f>IF(R730&gt;='Rubrik'!$B$17,"Öncelikli video",IF(R730&gt;='Rubrik'!$B$18,"Video kuyruğu",IF(R730&gt;='Rubrik'!$B$19,"Revize et",IF(R730&gt;='Rubrik'!$B$20,"Kartla test","Düşük öncelik"))))</x:f>
        <x:v>Düşük öncelik</x:v>
      </x:c>
      <x:c r="T730" s="50" t="str">
        <x:f>IF(AND(R730&gt;=85,P730&gt;=16,M730&gt;=12,L730&gt;=12),"Reel + Carousel",IF(AND(R730&gt;=85,P730&gt;=16,N730&gt;=8),"Soru odaklı Reel",IF(AND(R730&gt;=85,P730&gt;=16),"Reel / Short",IF(M730&gt;=11,"Carousel","Kart testi"))))</x:f>
        <x:v>Carousel</x:v>
      </x:c>
      <x:c r="U730" s="46" t="str">
        <x:v>Görünürlük ve geri bildirim ilkeleri tasarımcıya yararlı; anlatıdan çok eğitim kartı gibi çalışıyor.</x:v>
      </x:c>
      <x:c r="V730" s="46" t="str">
        <x:f>IF(Q730&lt;=3,"Kaynak kontrolü şart",IF(Q730=4,"Kaynak kontrolü önerilir","Standart doğrulama"))</x:f>
        <x:v>Standart doğrulama</x:v>
      </x:c>
    </x:row>
    <x:row r="731" ht="24" customHeight="1">
      <x:c r="A731" s="48" t="n">
        <x:f>COUNTIF($R$2:$R$751,"&gt;"&amp;R731)+COUNTIF($R$2:R731,R731)</x:f>
        <x:v>730</x:v>
      </x:c>
      <x:c r="B731" s="48" t="n">
        <x:v>1507</x:v>
      </x:c>
      <x:c r="C731" s="46" t="str">
        <x:v>Sekiz adım ve hata bir</x:v>
      </x:c>
      <x:c r="D731" s="34" t="str">
        <x:v>Liderlik</x:v>
      </x:c>
      <x:c r="E731" s="34" t="str">
        <x:v>Yönetim</x:v>
      </x:c>
      <x:c r="F731" s="34" t="str">
        <x:v>Değişim Yönetimi</x:v>
      </x:c>
      <x:c r="G731" s="34" t="str">
        <x:v>John Kotter</x:v>
      </x:c>
      <x:c r="H731" s="50" t="str">
        <x:v>1</x:v>
      </x:c>
      <x:c r="I731" s="50" t="str">
        <x:v>Temel</x:v>
      </x:c>
      <x:c r="J731" s="51" t="n">
        <x:v>9</x:v>
      </x:c>
      <x:c r="K731" s="51" t="n">
        <x:v>3</x:v>
      </x:c>
      <x:c r="L731" s="51" t="n">
        <x:v>9</x:v>
      </x:c>
      <x:c r="M731" s="51" t="n">
        <x:v>13</x:v>
      </x:c>
      <x:c r="N731" s="51" t="n">
        <x:v>7</x:v>
      </x:c>
      <x:c r="O731" s="51" t="n">
        <x:v>5</x:v>
      </x:c>
      <x:c r="P731" s="51" t="n">
        <x:v>12</x:v>
      </x:c>
      <x:c r="Q731" s="51" t="n">
        <x:v>4</x:v>
      </x:c>
      <x:c r="R731" s="52" t="n">
        <x:f>SUM(J731:Q731)</x:f>
        <x:v>62</x:v>
      </x:c>
      <x:c r="S731" s="50" t="str">
        <x:f>IF(R731&gt;='Rubrik'!$B$17,"Öncelikli video",IF(R731&gt;='Rubrik'!$B$18,"Video kuyruğu",IF(R731&gt;='Rubrik'!$B$19,"Revize et",IF(R731&gt;='Rubrik'!$B$20,"Kartla test","Düşük öncelik"))))</x:f>
        <x:v>Düşük öncelik</x:v>
      </x:c>
      <x:c r="T731" s="50" t="str">
        <x:f>IF(AND(R731&gt;=85,P731&gt;=16,M731&gt;=12,L731&gt;=12),"Reel + Carousel",IF(AND(R731&gt;=85,P731&gt;=16,N731&gt;=8),"Soru odaklı Reel",IF(AND(R731&gt;=85,P731&gt;=16),"Reel / Short",IF(M731&gt;=11,"Carousel","Kart testi"))))</x:f>
        <x:v>Carousel</x:v>
      </x:c>
      <x:c r="U731" s="46" t="str">
        <x:v>Değişimde aciliyet yaratma iş liderlerine yararlı; yüzde 70 iddiası kaynak ister ve anlatı kurumsal kalıyor.</x:v>
      </x:c>
      <x:c r="V731" s="46" t="str">
        <x:f>IF(Q731&lt;=3,"Kaynak kontrolü şart",IF(Q731=4,"Kaynak kontrolü önerilir","Standart doğrulama"))</x:f>
        <x:v>Kaynak kontrolü önerilir</x:v>
      </x:c>
    </x:row>
    <x:row r="732" ht="24" customHeight="1">
      <x:c r="A732" s="48" t="n">
        <x:f>COUNTIF($R$2:$R$751,"&gt;"&amp;R732)+COUNTIF($R$2:R732,R732)</x:f>
        <x:v>731</x:v>
      </x:c>
      <x:c r="B732" s="48" t="n">
        <x:v>1445</x:v>
      </x:c>
      <x:c r="C732" s="46" t="str">
        <x:v>Net Tavsiye Skoru'nun doğuşu</x:v>
      </x:c>
      <x:c r="D732" s="34" t="str">
        <x:v>Verimlilik</x:v>
      </x:c>
      <x:c r="E732" s="34" t="str">
        <x:v>İş Dünyası</x:v>
      </x:c>
      <x:c r="F732" s="34" t="str">
        <x:v>Sadakat Etkisi</x:v>
      </x:c>
      <x:c r="G732" s="34" t="str">
        <x:v>Frederick Reichheld</x:v>
      </x:c>
      <x:c r="H732" s="50" t="str">
        <x:v>1</x:v>
      </x:c>
      <x:c r="I732" s="50" t="str">
        <x:v>Temel</x:v>
      </x:c>
      <x:c r="J732" s="51" t="n">
        <x:v>9</x:v>
      </x:c>
      <x:c r="K732" s="51" t="n">
        <x:v>3</x:v>
      </x:c>
      <x:c r="L732" s="51" t="n">
        <x:v>8</x:v>
      </x:c>
      <x:c r="M732" s="51" t="n">
        <x:v>13</x:v>
      </x:c>
      <x:c r="N732" s="51" t="n">
        <x:v>6</x:v>
      </x:c>
      <x:c r="O732" s="51" t="n">
        <x:v>6</x:v>
      </x:c>
      <x:c r="P732" s="51" t="n">
        <x:v>12</x:v>
      </x:c>
      <x:c r="Q732" s="51" t="n">
        <x:v>5</x:v>
      </x:c>
      <x:c r="R732" s="52" t="n">
        <x:f>SUM(J732:Q732)</x:f>
        <x:v>62</x:v>
      </x:c>
      <x:c r="S732" s="50" t="str">
        <x:f>IF(R732&gt;='Rubrik'!$B$17,"Öncelikli video",IF(R732&gt;='Rubrik'!$B$18,"Video kuyruğu",IF(R732&gt;='Rubrik'!$B$19,"Revize et",IF(R732&gt;='Rubrik'!$B$20,"Kartla test","Düşük öncelik"))))</x:f>
        <x:v>Düşük öncelik</x:v>
      </x:c>
      <x:c r="T732" s="50" t="str">
        <x:f>IF(AND(R732&gt;=85,P732&gt;=16,M732&gt;=12,L732&gt;=12),"Reel + Carousel",IF(AND(R732&gt;=85,P732&gt;=16,N732&gt;=8),"Soru odaklı Reel",IF(AND(R732&gt;=85,P732&gt;=16),"Reel / Short",IF(M732&gt;=11,"Carousel","Kart testi"))))</x:f>
        <x:v>Carousel</x:v>
      </x:c>
      <x:c r="U732" s="46" t="str">
        <x:v>NPS yöntemi pratik ve kaydedilir; ancak kurumsal anlatım duygu, sesli not ve viral görsellikte zayıf.</x:v>
      </x:c>
      <x:c r="V732" s="46" t="str">
        <x:f>IF(Q732&lt;=3,"Kaynak kontrolü şart",IF(Q732=4,"Kaynak kontrolü önerilir","Standart doğrulama"))</x:f>
        <x:v>Standart doğrulama</x:v>
      </x:c>
    </x:row>
    <x:row r="733" ht="24" customHeight="1">
      <x:c r="A733" s="48" t="n">
        <x:f>COUNTIF($R$2:$R$751,"&gt;"&amp;R733)+COUNTIF($R$2:R733,R733)</x:f>
        <x:v>732</x:v>
      </x:c>
      <x:c r="B733" s="48" t="n">
        <x:v>1530</x:v>
      </x:c>
      <x:c r="C733" s="46" t="str">
        <x:v>Tahmin etmek değil ölçmek</x:v>
      </x:c>
      <x:c r="D733" s="34" t="str">
        <x:v>Liderlik</x:v>
      </x:c>
      <x:c r="E733" s="34" t="str">
        <x:v>Yönetim</x:v>
      </x:c>
      <x:c r="F733" s="34" t="str">
        <x:v>Çevik Yönetim</x:v>
      </x:c>
      <x:c r="G733" s="34" t="str">
        <x:v>Jeff Sutherland</x:v>
      </x:c>
      <x:c r="H733" s="50" t="str">
        <x:v>1</x:v>
      </x:c>
      <x:c r="I733" s="50" t="str">
        <x:v>Temel</x:v>
      </x:c>
      <x:c r="J733" s="51" t="n">
        <x:v>9</x:v>
      </x:c>
      <x:c r="K733" s="51" t="n">
        <x:v>3</x:v>
      </x:c>
      <x:c r="L733" s="51" t="n">
        <x:v>8</x:v>
      </x:c>
      <x:c r="M733" s="51" t="n">
        <x:v>13</x:v>
      </x:c>
      <x:c r="N733" s="51" t="n">
        <x:v>6</x:v>
      </x:c>
      <x:c r="O733" s="51" t="n">
        <x:v>6</x:v>
      </x:c>
      <x:c r="P733" s="51" t="n">
        <x:v>12</x:v>
      </x:c>
      <x:c r="Q733" s="51" t="n">
        <x:v>5</x:v>
      </x:c>
      <x:c r="R733" s="52" t="n">
        <x:f>SUM(J733:Q733)</x:f>
        <x:v>62</x:v>
      </x:c>
      <x:c r="S733" s="50" t="str">
        <x:f>IF(R733&gt;='Rubrik'!$B$17,"Öncelikli video",IF(R733&gt;='Rubrik'!$B$18,"Video kuyruğu",IF(R733&gt;='Rubrik'!$B$19,"Revize et",IF(R733&gt;='Rubrik'!$B$20,"Kartla test","Düşük öncelik"))))</x:f>
        <x:v>Düşük öncelik</x:v>
      </x:c>
      <x:c r="T733" s="50" t="str">
        <x:f>IF(AND(R733&gt;=85,P733&gt;=16,M733&gt;=12,L733&gt;=12),"Reel + Carousel",IF(AND(R733&gt;=85,P733&gt;=16,N733&gt;=8),"Soru odaklı Reel",IF(AND(R733&gt;=85,P733&gt;=16),"Reel / Short",IF(M733&gt;=11,"Carousel","Kart testi"))))</x:f>
        <x:v>Carousel</x:v>
      </x:c>
      <x:c r="U733" s="46" t="str">
        <x:v>Hız ölçümü proje ekiplerine pratik değer sağlar; teknik konu paylaşım, duygu ve sesli not isteğini sınırlıyor.</x:v>
      </x:c>
      <x:c r="V733" s="46" t="str">
        <x:f>IF(Q733&lt;=3,"Kaynak kontrolü şart",IF(Q733=4,"Kaynak kontrolü önerilir","Standart doğrulama"))</x:f>
        <x:v>Standart doğrulama</x:v>
      </x:c>
    </x:row>
    <x:row r="734" ht="24" customHeight="1">
      <x:c r="A734" s="48" t="n">
        <x:f>COUNTIF($R$2:$R$751,"&gt;"&amp;R734)+COUNTIF($R$2:R734,R734)</x:f>
        <x:v>733</x:v>
      </x:c>
      <x:c r="B734" s="48" t="n">
        <x:v>1262</x:v>
      </x:c>
      <x:c r="C734" s="46" t="str">
        <x:v>Genç askerin kibri</x:v>
      </x:c>
      <x:c r="D734" s="34" t="str">
        <x:v>Felsefe</x:v>
      </x:c>
      <x:c r="E734" s="34" t="str">
        <x:v>Felsefe</x:v>
      </x:c>
      <x:c r="F734" s="34" t="str">
        <x:v>Ego Is the Enemy</x:v>
      </x:c>
      <x:c r="G734" s="34" t="str">
        <x:v>Ryan Holiday</x:v>
      </x:c>
      <x:c r="H734" s="50" t="str">
        <x:v>1</x:v>
      </x:c>
      <x:c r="I734" s="50" t="str">
        <x:v>Temel</x:v>
      </x:c>
      <x:c r="J734" s="51" t="n">
        <x:v>10</x:v>
      </x:c>
      <x:c r="K734" s="51" t="n">
        <x:v>6</x:v>
      </x:c>
      <x:c r="L734" s="51" t="n">
        <x:v>9</x:v>
      </x:c>
      <x:c r="M734" s="51" t="n">
        <x:v>11</x:v>
      </x:c>
      <x:c r="N734" s="51" t="n">
        <x:v>7</x:v>
      </x:c>
      <x:c r="O734" s="51" t="n">
        <x:v>5</x:v>
      </x:c>
      <x:c r="P734" s="51" t="n">
        <x:v>11</x:v>
      </x:c>
      <x:c r="Q734" s="51" t="n">
        <x:v>3</x:v>
      </x:c>
      <x:c r="R734" s="52" t="n">
        <x:f>SUM(J734:Q734)</x:f>
        <x:v>62</x:v>
      </x:c>
      <x:c r="S734" s="50" t="str">
        <x:f>IF(R734&gt;='Rubrik'!$B$17,"Öncelikli video",IF(R734&gt;='Rubrik'!$B$18,"Video kuyruğu",IF(R734&gt;='Rubrik'!$B$19,"Revize et",IF(R734&gt;='Rubrik'!$B$20,"Kartla test","Düşük öncelik"))))</x:f>
        <x:v>Düşük öncelik</x:v>
      </x:c>
      <x:c r="T734" s="50" t="str">
        <x:f>IF(AND(R734&gt;=85,P734&gt;=16,M734&gt;=12,L734&gt;=12),"Reel + Carousel",IF(AND(R734&gt;=85,P734&gt;=16,N734&gt;=8),"Soru odaklı Reel",IF(AND(R734&gt;=85,P734&gt;=16),"Reel / Short",IF(M734&gt;=11,"Carousel","Kart testi"))))</x:f>
        <x:v>Carousel</x:v>
      </x:c>
      <x:c r="U734" s="46" t="str">
        <x:v>Ego ve öğrenme mesajı yararlı ama başlığın vadettiği somut asker öyküsü yok; anlatı genellemelerde kalıyor.</x:v>
      </x:c>
      <x:c r="V734" s="46" t="str">
        <x:f>IF(Q734&lt;=3,"Kaynak kontrolü şart",IF(Q734=4,"Kaynak kontrolü önerilir","Standart doğrulama"))</x:f>
        <x:v>Kaynak kontrolü şart</x:v>
      </x:c>
    </x:row>
    <x:row r="735" ht="24" customHeight="1">
      <x:c r="A735" s="48" t="n">
        <x:f>COUNTIF($R$2:$R$751,"&gt;"&amp;R735)+COUNTIF($R$2:R735,R735)</x:f>
        <x:v>734</x:v>
      </x:c>
      <x:c r="B735" s="48" t="n">
        <x:v>1460</x:v>
      </x:c>
      <x:c r="C735" s="46" t="str">
        <x:v>Beş yetkinlik çerçevesi</x:v>
      </x:c>
      <x:c r="D735" s="34" t="str">
        <x:v>Liderlik</x:v>
      </x:c>
      <x:c r="E735" s="34" t="str">
        <x:v>Liderlik</x:v>
      </x:c>
      <x:c r="F735" s="34" t="str">
        <x:v>İş Hayatında Duygusal Zeka</x:v>
      </x:c>
      <x:c r="G735" s="34" t="str">
        <x:v>Daniel Goleman</x:v>
      </x:c>
      <x:c r="H735" s="50" t="str">
        <x:v>1</x:v>
      </x:c>
      <x:c r="I735" s="50" t="str">
        <x:v>Temel</x:v>
      </x:c>
      <x:c r="J735" s="51" t="n">
        <x:v>9</x:v>
      </x:c>
      <x:c r="K735" s="51" t="n">
        <x:v>5</x:v>
      </x:c>
      <x:c r="L735" s="51" t="n">
        <x:v>9</x:v>
      </x:c>
      <x:c r="M735" s="51" t="n">
        <x:v>14</x:v>
      </x:c>
      <x:c r="N735" s="51" t="n">
        <x:v>7</x:v>
      </x:c>
      <x:c r="O735" s="51" t="n">
        <x:v>5</x:v>
      </x:c>
      <x:c r="P735" s="51" t="n">
        <x:v>11</x:v>
      </x:c>
      <x:c r="Q735" s="51" t="n">
        <x:v>2</x:v>
      </x:c>
      <x:c r="R735" s="52" t="n">
        <x:f>SUM(J735:Q735)</x:f>
        <x:v>62</x:v>
      </x:c>
      <x:c r="S735" s="50" t="str">
        <x:f>IF(R735&gt;='Rubrik'!$B$17,"Öncelikli video",IF(R735&gt;='Rubrik'!$B$18,"Video kuyruğu",IF(R735&gt;='Rubrik'!$B$19,"Revize et",IF(R735&gt;='Rubrik'!$B$20,"Kartla test","Düşük öncelik"))))</x:f>
        <x:v>Düşük öncelik</x:v>
      </x:c>
      <x:c r="T735" s="50" t="str">
        <x:f>IF(AND(R735&gt;=85,P735&gt;=16,M735&gt;=12,L735&gt;=12),"Reel + Carousel",IF(AND(R735&gt;=85,P735&gt;=16,N735&gt;=8),"Soru odaklı Reel",IF(AND(R735&gt;=85,P735&gt;=16),"Reel / Short",IF(M735&gt;=11,"Carousel","Kart testi"))))</x:f>
        <x:v>Carousel</x:v>
      </x:c>
      <x:c r="U735" s="46" t="str">
        <x:v>Beş EQ yetkinliği faydalı bir kontrol listesi; yüksek başarı yüzdesi iddiası güven ve paylaşımı sınırlıyor.</x:v>
      </x:c>
      <x:c r="V735" s="46" t="str">
        <x:f>IF(Q735&lt;=3,"Kaynak kontrolü şart",IF(Q735=4,"Kaynak kontrolü önerilir","Standart doğrulama"))</x:f>
        <x:v>Kaynak kontrolü şart</x:v>
      </x:c>
    </x:row>
    <x:row r="736" ht="24" customHeight="1">
      <x:c r="A736" s="48" t="n">
        <x:f>COUNTIF($R$2:$R$751,"&gt;"&amp;R736)+COUNTIF($R$2:R736,R736)</x:f>
        <x:v>735</x:v>
      </x:c>
      <x:c r="B736" s="48" t="n">
        <x:v>1506</x:v>
      </x:c>
      <x:c r="C736" s="46" t="str">
        <x:v>Nesnel kriterler ve meşruiyet</x:v>
      </x:c>
      <x:c r="D736" s="34" t="str">
        <x:v>İletişim</x:v>
      </x:c>
      <x:c r="E736" s="34" t="str">
        <x:v>Müzakere</x:v>
      </x:c>
      <x:c r="F736" s="34" t="str">
        <x:v>Müzakerede Evet Almak</x:v>
      </x:c>
      <x:c r="G736" s="34" t="str">
        <x:v>Roger Fisher</x:v>
      </x:c>
      <x:c r="H736" s="50" t="str">
        <x:v>1</x:v>
      </x:c>
      <x:c r="I736" s="50" t="str">
        <x:v>Temel</x:v>
      </x:c>
      <x:c r="J736" s="51" t="n">
        <x:v>9</x:v>
      </x:c>
      <x:c r="K736" s="51" t="n">
        <x:v>3</x:v>
      </x:c>
      <x:c r="L736" s="51" t="n">
        <x:v>9</x:v>
      </x:c>
      <x:c r="M736" s="51" t="n">
        <x:v>13</x:v>
      </x:c>
      <x:c r="N736" s="51" t="n">
        <x:v>6</x:v>
      </x:c>
      <x:c r="O736" s="51" t="n">
        <x:v>6</x:v>
      </x:c>
      <x:c r="P736" s="51" t="n">
        <x:v>11</x:v>
      </x:c>
      <x:c r="Q736" s="51" t="n">
        <x:v>5</x:v>
      </x:c>
      <x:c r="R736" s="52" t="n">
        <x:f>SUM(J736:Q736)</x:f>
        <x:v>62</x:v>
      </x:c>
      <x:c r="S736" s="50" t="str">
        <x:f>IF(R736&gt;='Rubrik'!$B$17,"Öncelikli video",IF(R736&gt;='Rubrik'!$B$18,"Video kuyruğu",IF(R736&gt;='Rubrik'!$B$19,"Revize et",IF(R736&gt;='Rubrik'!$B$20,"Kartla test","Düşük öncelik"))))</x:f>
        <x:v>Düşük öncelik</x:v>
      </x:c>
      <x:c r="T736" s="50" t="str">
        <x:f>IF(AND(R736&gt;=85,P736&gt;=16,M736&gt;=12,L736&gt;=12),"Reel + Carousel",IF(AND(R736&gt;=85,P736&gt;=16,N736&gt;=8),"Soru odaklı Reel",IF(AND(R736&gt;=85,P736&gt;=16),"Reel / Short",IF(M736&gt;=11,"Carousel","Kart testi"))))</x:f>
        <x:v>Carousel</x:v>
      </x:c>
      <x:c r="U736" s="46" t="str">
        <x:v>Objektif kriter ilkesi sağlam ve faydalı; hikâye, karakter ve görsel sürpriz eksikliği viral etkiyi düşürüyor.</x:v>
      </x:c>
      <x:c r="V736" s="46" t="str">
        <x:f>IF(Q736&lt;=3,"Kaynak kontrolü şart",IF(Q736=4,"Kaynak kontrolü önerilir","Standart doğrulama"))</x:f>
        <x:v>Standart doğrulama</x:v>
      </x:c>
    </x:row>
    <x:row r="737" ht="24" customHeight="1">
      <x:c r="A737" s="48" t="n">
        <x:f>COUNTIF($R$2:$R$751,"&gt;"&amp;R737)+COUNTIF($R$2:R737,R737)</x:f>
        <x:v>736</x:v>
      </x:c>
      <x:c r="B737" s="48" t="n">
        <x:v>1508</x:v>
      </x:c>
      <x:c r="C737" s="46" t="str">
        <x:v>Güçlendirici koalisyon</x:v>
      </x:c>
      <x:c r="D737" s="34" t="str">
        <x:v>Liderlik</x:v>
      </x:c>
      <x:c r="E737" s="34" t="str">
        <x:v>Yönetim</x:v>
      </x:c>
      <x:c r="F737" s="34" t="str">
        <x:v>Değişim Yönetimi</x:v>
      </x:c>
      <x:c r="G737" s="34" t="str">
        <x:v>John Kotter</x:v>
      </x:c>
      <x:c r="H737" s="50" t="str">
        <x:v>1</x:v>
      </x:c>
      <x:c r="I737" s="50" t="str">
        <x:v>Temel</x:v>
      </x:c>
      <x:c r="J737" s="51" t="n">
        <x:v>9</x:v>
      </x:c>
      <x:c r="K737" s="51" t="n">
        <x:v>4</x:v>
      </x:c>
      <x:c r="L737" s="51" t="n">
        <x:v>9</x:v>
      </x:c>
      <x:c r="M737" s="51" t="n">
        <x:v>13</x:v>
      </x:c>
      <x:c r="N737" s="51" t="n">
        <x:v>6</x:v>
      </x:c>
      <x:c r="O737" s="51" t="n">
        <x:v>6</x:v>
      </x:c>
      <x:c r="P737" s="51" t="n">
        <x:v>11</x:v>
      </x:c>
      <x:c r="Q737" s="51" t="n">
        <x:v>4</x:v>
      </x:c>
      <x:c r="R737" s="52" t="n">
        <x:f>SUM(J737:Q737)</x:f>
        <x:v>62</x:v>
      </x:c>
      <x:c r="S737" s="50" t="str">
        <x:f>IF(R737&gt;='Rubrik'!$B$17,"Öncelikli video",IF(R737&gt;='Rubrik'!$B$18,"Video kuyruğu",IF(R737&gt;='Rubrik'!$B$19,"Revize et",IF(R737&gt;='Rubrik'!$B$20,"Kartla test","Düşük öncelik"))))</x:f>
        <x:v>Düşük öncelik</x:v>
      </x:c>
      <x:c r="T737" s="50" t="str">
        <x:f>IF(AND(R737&gt;=85,P737&gt;=16,M737&gt;=12,L737&gt;=12),"Reel + Carousel",IF(AND(R737&gt;=85,P737&gt;=16,N737&gt;=8),"Soru odaklı Reel",IF(AND(R737&gt;=85,P737&gt;=16),"Reel / Short",IF(M737&gt;=11,"Carousel","Kart testi"))))</x:f>
        <x:v>Carousel</x:v>
      </x:c>
      <x:c r="U737" s="46" t="str">
        <x:v>Rehber koalisyon ekip yönetiminde kaydedilebilir; teknik çerçeve tek başına güçlü duygu üretmiyor.</x:v>
      </x:c>
      <x:c r="V737" s="46" t="str">
        <x:f>IF(Q737&lt;=3,"Kaynak kontrolü şart",IF(Q737=4,"Kaynak kontrolü önerilir","Standart doğrulama"))</x:f>
        <x:v>Kaynak kontrolü önerilir</x:v>
      </x:c>
    </x:row>
    <x:row r="738" ht="24" customHeight="1">
      <x:c r="A738" s="48" t="n">
        <x:f>COUNTIF($R$2:$R$751,"&gt;"&amp;R738)+COUNTIF($R$2:R738,R738)</x:f>
        <x:v>737</x:v>
      </x:c>
      <x:c r="B738" s="48" t="n">
        <x:v>1541</x:v>
      </x:c>
      <x:c r="C738" s="46" t="str">
        <x:v>SQVID çerçevesi — doğru görseli seçmek</x:v>
      </x:c>
      <x:c r="D738" s="34" t="str">
        <x:v>Verimlilik</x:v>
      </x:c>
      <x:c r="E738" s="34" t="str">
        <x:v>Yaratıcılık</x:v>
      </x:c>
      <x:c r="F738" s="34" t="str">
        <x:v>Peçete Arkası</x:v>
      </x:c>
      <x:c r="G738" s="34" t="str">
        <x:v>Dan Roam</x:v>
      </x:c>
      <x:c r="H738" s="50" t="str">
        <x:v>1</x:v>
      </x:c>
      <x:c r="I738" s="50" t="str">
        <x:v>Temel</x:v>
      </x:c>
      <x:c r="J738" s="51" t="n">
        <x:v>9</x:v>
      </x:c>
      <x:c r="K738" s="51" t="n">
        <x:v>3</x:v>
      </x:c>
      <x:c r="L738" s="51" t="n">
        <x:v>9</x:v>
      </x:c>
      <x:c r="M738" s="51" t="n">
        <x:v>13</x:v>
      </x:c>
      <x:c r="N738" s="51" t="n">
        <x:v>6</x:v>
      </x:c>
      <x:c r="O738" s="51" t="n">
        <x:v>6</x:v>
      </x:c>
      <x:c r="P738" s="51" t="n">
        <x:v>11</x:v>
      </x:c>
      <x:c r="Q738" s="51" t="n">
        <x:v>5</x:v>
      </x:c>
      <x:c r="R738" s="52" t="n">
        <x:f>SUM(J738:Q738)</x:f>
        <x:v>62</x:v>
      </x:c>
      <x:c r="S738" s="50" t="str">
        <x:f>IF(R738&gt;='Rubrik'!$B$17,"Öncelikli video",IF(R738&gt;='Rubrik'!$B$18,"Video kuyruğu",IF(R738&gt;='Rubrik'!$B$19,"Revize et",IF(R738&gt;='Rubrik'!$B$20,"Kartla test","Düşük öncelik"))))</x:f>
        <x:v>Düşük öncelik</x:v>
      </x:c>
      <x:c r="T738" s="50" t="str">
        <x:f>IF(AND(R738&gt;=85,P738&gt;=16,M738&gt;=12,L738&gt;=12),"Reel + Carousel",IF(AND(R738&gt;=85,P738&gt;=16,N738&gt;=8),"Soru odaklı Reel",IF(AND(R738&gt;=85,P738&gt;=16),"Reel / Short",IF(M738&gt;=11,"Carousel","Kart testi"))))</x:f>
        <x:v>Carousel</x:v>
      </x:c>
      <x:c r="U738" s="46" t="str">
        <x:v>SQVID beşlisi sunum tasarlayanlara yararlı; adı ve soyut çerçevesi geniş kitlede düşük duygu yaratıyor.</x:v>
      </x:c>
      <x:c r="V738" s="46" t="str">
        <x:f>IF(Q738&lt;=3,"Kaynak kontrolü şart",IF(Q738=4,"Kaynak kontrolü önerilir","Standart doğrulama"))</x:f>
        <x:v>Standart doğrulama</x:v>
      </x:c>
    </x:row>
    <x:row r="739" ht="24" customHeight="1">
      <x:c r="A739" s="48" t="n">
        <x:f>COUNTIF($R$2:$R$751,"&gt;"&amp;R739)+COUNTIF($R$2:R739,R739)</x:f>
        <x:v>738</x:v>
      </x:c>
      <x:c r="B739" s="48" t="n">
        <x:v>1549</x:v>
      </x:c>
      <x:c r="C739" s="46" t="str">
        <x:v>Vizyonun kağıtta kalması — EOS neden işletmeleri kurtarıyor</x:v>
      </x:c>
      <x:c r="D739" s="34" t="str">
        <x:v>Liderlik</x:v>
      </x:c>
      <x:c r="E739" s="34" t="str">
        <x:v>Yönetim</x:v>
      </x:c>
      <x:c r="F739" s="34" t="str">
        <x:v>Ölçülebilir Büyüme</x:v>
      </x:c>
      <x:c r="G739" s="34" t="str">
        <x:v>Gino Wickman</x:v>
      </x:c>
      <x:c r="H739" s="50" t="str">
        <x:v>1</x:v>
      </x:c>
      <x:c r="I739" s="50" t="str">
        <x:v>Temel</x:v>
      </x:c>
      <x:c r="J739" s="51" t="n">
        <x:v>9</x:v>
      </x:c>
      <x:c r="K739" s="51" t="n">
        <x:v>3</x:v>
      </x:c>
      <x:c r="L739" s="51" t="n">
        <x:v>9</x:v>
      </x:c>
      <x:c r="M739" s="51" t="n">
        <x:v>13</x:v>
      </x:c>
      <x:c r="N739" s="51" t="n">
        <x:v>6</x:v>
      </x:c>
      <x:c r="O739" s="51" t="n">
        <x:v>6</x:v>
      </x:c>
      <x:c r="P739" s="51" t="n">
        <x:v>11</x:v>
      </x:c>
      <x:c r="Q739" s="51" t="n">
        <x:v>5</x:v>
      </x:c>
      <x:c r="R739" s="52" t="n">
        <x:f>SUM(J739:Q739)</x:f>
        <x:v>62</x:v>
      </x:c>
      <x:c r="S739" s="50" t="str">
        <x:f>IF(R739&gt;='Rubrik'!$B$17,"Öncelikli video",IF(R739&gt;='Rubrik'!$B$18,"Video kuyruğu",IF(R739&gt;='Rubrik'!$B$19,"Revize et",IF(R739&gt;='Rubrik'!$B$20,"Kartla test","Düşük öncelik"))))</x:f>
        <x:v>Düşük öncelik</x:v>
      </x:c>
      <x:c r="T739" s="50" t="str">
        <x:f>IF(AND(R739&gt;=85,P739&gt;=16,M739&gt;=12,L739&gt;=12),"Reel + Carousel",IF(AND(R739&gt;=85,P739&gt;=16,N739&gt;=8),"Soru odaklı Reel",IF(AND(R739&gt;=85,P739&gt;=16),"Reel / Short",IF(M739&gt;=11,"Carousel","Kart testi"))))</x:f>
        <x:v>Carousel</x:v>
      </x:c>
      <x:c r="U739" s="46" t="str">
        <x:v>EOS vizyon çerçevesi işletmeler için düzenleyici; genel izleyicide olay, karakter ve duygu üretmiyor.</x:v>
      </x:c>
      <x:c r="V739" s="46" t="str">
        <x:f>IF(Q739&lt;=3,"Kaynak kontrolü şart",IF(Q739=4,"Kaynak kontrolü önerilir","Standart doğrulama"))</x:f>
        <x:v>Standart doğrulama</x:v>
      </x:c>
    </x:row>
    <x:row r="740" ht="24" customHeight="1">
      <x:c r="A740" s="48" t="n">
        <x:f>COUNTIF($R$2:$R$751,"&gt;"&amp;R740)+COUNTIF($R$2:R740,R740)</x:f>
        <x:v>739</x:v>
      </x:c>
      <x:c r="B740" s="48" t="n">
        <x:v>1555</x:v>
      </x:c>
      <x:c r="C740" s="46" t="str">
        <x:v>Business Model Canvas — bir sayfada tüm iş modeli</x:v>
      </x:c>
      <x:c r="D740" s="34" t="str">
        <x:v>Verimlilik</x:v>
      </x:c>
      <x:c r="E740" s="34" t="str">
        <x:v>Girişimcilik</x:v>
      </x:c>
      <x:c r="F740" s="34" t="str">
        <x:v>İş Modeli Üretimi</x:v>
      </x:c>
      <x:c r="G740" s="34" t="str">
        <x:v>Alexander Osterwalder</x:v>
      </x:c>
      <x:c r="H740" s="50" t="str">
        <x:v>1</x:v>
      </x:c>
      <x:c r="I740" s="50" t="str">
        <x:v>Temel</x:v>
      </x:c>
      <x:c r="J740" s="51" t="n">
        <x:v>9</x:v>
      </x:c>
      <x:c r="K740" s="51" t="n">
        <x:v>3</x:v>
      </x:c>
      <x:c r="L740" s="51" t="n">
        <x:v>9</x:v>
      </x:c>
      <x:c r="M740" s="51" t="n">
        <x:v>14</x:v>
      </x:c>
      <x:c r="N740" s="51" t="n">
        <x:v>6</x:v>
      </x:c>
      <x:c r="O740" s="51" t="n">
        <x:v>5</x:v>
      </x:c>
      <x:c r="P740" s="51" t="n">
        <x:v>11</x:v>
      </x:c>
      <x:c r="Q740" s="51" t="n">
        <x:v>5</x:v>
      </x:c>
      <x:c r="R740" s="52" t="n">
        <x:f>SUM(J740:Q740)</x:f>
        <x:v>62</x:v>
      </x:c>
      <x:c r="S740" s="50" t="str">
        <x:f>IF(R740&gt;='Rubrik'!$B$17,"Öncelikli video",IF(R740&gt;='Rubrik'!$B$18,"Video kuyruğu",IF(R740&gt;='Rubrik'!$B$19,"Revize et",IF(R740&gt;='Rubrik'!$B$20,"Kartla test","Düşük öncelik"))))</x:f>
        <x:v>Düşük öncelik</x:v>
      </x:c>
      <x:c r="T740" s="50" t="str">
        <x:f>IF(AND(R740&gt;=85,P740&gt;=16,M740&gt;=12,L740&gt;=12),"Reel + Carousel",IF(AND(R740&gt;=85,P740&gt;=16,N740&gt;=8),"Soru odaklı Reel",IF(AND(R740&gt;=85,P740&gt;=16),"Reel / Short",IF(M740&gt;=11,"Carousel","Kart testi"))))</x:f>
        <x:v>Carousel</x:v>
      </x:c>
      <x:c r="U740" s="46" t="str">
        <x:v>İş Modeli Kanvası dokuz kutuyla çok kaydedilebilir; geniş kitle için duygu ve video hikâyesi sınırlı.</x:v>
      </x:c>
      <x:c r="V740" s="46" t="str">
        <x:f>IF(Q740&lt;=3,"Kaynak kontrolü şart",IF(Q740=4,"Kaynak kontrolü önerilir","Standart doğrulama"))</x:f>
        <x:v>Standart doğrulama</x:v>
      </x:c>
    </x:row>
    <x:row r="741" ht="24" customHeight="1">
      <x:c r="A741" s="48" t="n">
        <x:f>COUNTIF($R$2:$R$751,"&gt;"&amp;R741)+COUNTIF($R$2:R741,R741)</x:f>
        <x:v>740</x:v>
      </x:c>
      <x:c r="B741" s="48" t="n">
        <x:v>1529</x:v>
      </x:c>
      <x:c r="C741" s="46" t="str">
        <x:v>Günlük stand-up ve şeffaflık</x:v>
      </x:c>
      <x:c r="D741" s="34" t="str">
        <x:v>Liderlik</x:v>
      </x:c>
      <x:c r="E741" s="34" t="str">
        <x:v>Yönetim</x:v>
      </x:c>
      <x:c r="F741" s="34" t="str">
        <x:v>Çevik Yönetim</x:v>
      </x:c>
      <x:c r="G741" s="34" t="str">
        <x:v>Jeff Sutherland</x:v>
      </x:c>
      <x:c r="H741" s="50" t="str">
        <x:v>1</x:v>
      </x:c>
      <x:c r="I741" s="50" t="str">
        <x:v>Temel</x:v>
      </x:c>
      <x:c r="J741" s="51" t="n">
        <x:v>9</x:v>
      </x:c>
      <x:c r="K741" s="51" t="n">
        <x:v>4</x:v>
      </x:c>
      <x:c r="L741" s="51" t="n">
        <x:v>8</x:v>
      </x:c>
      <x:c r="M741" s="51" t="n">
        <x:v>13</x:v>
      </x:c>
      <x:c r="N741" s="51" t="n">
        <x:v>7</x:v>
      </x:c>
      <x:c r="O741" s="51" t="n">
        <x:v>5</x:v>
      </x:c>
      <x:c r="P741" s="51" t="n">
        <x:v>11</x:v>
      </x:c>
      <x:c r="Q741" s="51" t="n">
        <x:v>5</x:v>
      </x:c>
      <x:c r="R741" s="52" t="n">
        <x:f>SUM(J741:Q741)</x:f>
        <x:v>62</x:v>
      </x:c>
      <x:c r="S741" s="50" t="str">
        <x:f>IF(R741&gt;='Rubrik'!$B$17,"Öncelikli video",IF(R741&gt;='Rubrik'!$B$18,"Video kuyruğu",IF(R741&gt;='Rubrik'!$B$19,"Revize et",IF(R741&gt;='Rubrik'!$B$20,"Kartla test","Düşük öncelik"))))</x:f>
        <x:v>Düşük öncelik</x:v>
      </x:c>
      <x:c r="T741" s="50" t="str">
        <x:f>IF(AND(R741&gt;=85,P741&gt;=16,M741&gt;=12,L741&gt;=12),"Reel + Carousel",IF(AND(R741&gt;=85,P741&gt;=16,N741&gt;=8),"Soru odaklı Reel",IF(AND(R741&gt;=85,P741&gt;=16),"Reel / Short",IF(M741&gt;=11,"Carousel","Kart testi"))))</x:f>
        <x:v>Carousel</x:v>
      </x:c>
      <x:c r="U741" s="46" t="str">
        <x:v>Üç soruluk günlük toplantı doğrudan kullanılabilir; içerik daha çok eğitim notu, daha az sosyal medya hikâyesi.</x:v>
      </x:c>
      <x:c r="V741" s="46" t="str">
        <x:f>IF(Q741&lt;=3,"Kaynak kontrolü şart",IF(Q741=4,"Kaynak kontrolü önerilir","Standart doğrulama"))</x:f>
        <x:v>Standart doğrulama</x:v>
      </x:c>
    </x:row>
    <x:row r="742" ht="24" customHeight="1">
      <x:c r="A742" s="48" t="n">
        <x:f>COUNTIF($R$2:$R$751,"&gt;"&amp;R742)+COUNTIF($R$2:R742,R742)</x:f>
        <x:v>741</x:v>
      </x:c>
      <x:c r="B742" s="48" t="n">
        <x:v>1551</x:v>
      </x:c>
      <x:c r="C742" s="46" t="str">
        <x:v>Haftalık L10 toplantısı — kaosun ritme dönüşmesi</x:v>
      </x:c>
      <x:c r="D742" s="34" t="str">
        <x:v>Liderlik</x:v>
      </x:c>
      <x:c r="E742" s="34" t="str">
        <x:v>Yönetim</x:v>
      </x:c>
      <x:c r="F742" s="34" t="str">
        <x:v>Ölçülebilir Büyüme</x:v>
      </x:c>
      <x:c r="G742" s="34" t="str">
        <x:v>Gino Wickman</x:v>
      </x:c>
      <x:c r="H742" s="50" t="str">
        <x:v>1</x:v>
      </x:c>
      <x:c r="I742" s="50" t="str">
        <x:v>Temel</x:v>
      </x:c>
      <x:c r="J742" s="51" t="n">
        <x:v>9</x:v>
      </x:c>
      <x:c r="K742" s="51" t="n">
        <x:v>3</x:v>
      </x:c>
      <x:c r="L742" s="51" t="n">
        <x:v>8</x:v>
      </x:c>
      <x:c r="M742" s="51" t="n">
        <x:v>14</x:v>
      </x:c>
      <x:c r="N742" s="51" t="n">
        <x:v>6</x:v>
      </x:c>
      <x:c r="O742" s="51" t="n">
        <x:v>6</x:v>
      </x:c>
      <x:c r="P742" s="51" t="n">
        <x:v>11</x:v>
      </x:c>
      <x:c r="Q742" s="51" t="n">
        <x:v>5</x:v>
      </x:c>
      <x:c r="R742" s="52" t="n">
        <x:f>SUM(J742:Q742)</x:f>
        <x:v>62</x:v>
      </x:c>
      <x:c r="S742" s="50" t="str">
        <x:f>IF(R742&gt;='Rubrik'!$B$17,"Öncelikli video",IF(R742&gt;='Rubrik'!$B$18,"Video kuyruğu",IF(R742&gt;='Rubrik'!$B$19,"Revize et",IF(R742&gt;='Rubrik'!$B$20,"Kartla test","Düşük öncelik"))))</x:f>
        <x:v>Düşük öncelik</x:v>
      </x:c>
      <x:c r="T742" s="50" t="str">
        <x:f>IF(AND(R742&gt;=85,P742&gt;=16,M742&gt;=12,L742&gt;=12),"Reel + Carousel",IF(AND(R742&gt;=85,P742&gt;=16,N742&gt;=8),"Soru odaklı Reel",IF(AND(R742&gt;=85,P742&gt;=16),"Reel / Short",IF(M742&gt;=11,"Carousel","Kart testi"))))</x:f>
        <x:v>Carousel</x:v>
      </x:c>
      <x:c r="U742" s="46" t="str">
        <x:v>L10 toplantı sistemi kaydetmelik bir yönetim aracı; teknik format sosyal paylaşım ve duygusal bağda zayıf.</x:v>
      </x:c>
      <x:c r="V742" s="46" t="str">
        <x:f>IF(Q742&lt;=3,"Kaynak kontrolü şart",IF(Q742=4,"Kaynak kontrolü önerilir","Standart doğrulama"))</x:f>
        <x:v>Standart doğrulama</x:v>
      </x:c>
    </x:row>
    <x:row r="743" ht="24" customHeight="1">
      <x:c r="A743" s="48" t="n">
        <x:f>COUNTIF($R$2:$R$751,"&gt;"&amp;R743)+COUNTIF($R$2:R743,R743)</x:f>
        <x:v>742</x:v>
      </x:c>
      <x:c r="B743" s="48" t="n">
        <x:v>1434</x:v>
      </x:c>
      <x:c r="C743" s="46" t="str">
        <x:v>Şeffaflık ve hizalanma</x:v>
      </x:c>
      <x:c r="D743" s="34" t="str">
        <x:v>Liderlik</x:v>
      </x:c>
      <x:c r="E743" s="34" t="str">
        <x:v>Yönetim</x:v>
      </x:c>
      <x:c r="F743" s="34" t="str">
        <x:v>Büyüme Kültürü</x:v>
      </x:c>
      <x:c r="G743" s="34" t="str">
        <x:v>John Doerr</x:v>
      </x:c>
      <x:c r="H743" s="50" t="str">
        <x:v>1</x:v>
      </x:c>
      <x:c r="I743" s="50" t="str">
        <x:v>Temel</x:v>
      </x:c>
      <x:c r="J743" s="51" t="n">
        <x:v>9</x:v>
      </x:c>
      <x:c r="K743" s="51" t="n">
        <x:v>4</x:v>
      </x:c>
      <x:c r="L743" s="51" t="n">
        <x:v>9</x:v>
      </x:c>
      <x:c r="M743" s="51" t="n">
        <x:v>13</x:v>
      </x:c>
      <x:c r="N743" s="51" t="n">
        <x:v>6</x:v>
      </x:c>
      <x:c r="O743" s="51" t="n">
        <x:v>6</x:v>
      </x:c>
      <x:c r="P743" s="51" t="n">
        <x:v>10</x:v>
      </x:c>
      <x:c r="Q743" s="51" t="n">
        <x:v>5</x:v>
      </x:c>
      <x:c r="R743" s="52" t="n">
        <x:f>SUM(J743:Q743)</x:f>
        <x:v>62</x:v>
      </x:c>
      <x:c r="S743" s="50" t="str">
        <x:f>IF(R743&gt;='Rubrik'!$B$17,"Öncelikli video",IF(R743&gt;='Rubrik'!$B$18,"Video kuyruğu",IF(R743&gt;='Rubrik'!$B$19,"Revize et",IF(R743&gt;='Rubrik'!$B$20,"Kartla test","Düşük öncelik"))))</x:f>
        <x:v>Düşük öncelik</x:v>
      </x:c>
      <x:c r="T743" s="50" t="str">
        <x:f>IF(AND(R743&gt;=85,P743&gt;=16,M743&gt;=12,L743&gt;=12),"Reel + Carousel",IF(AND(R743&gt;=85,P743&gt;=16,N743&gt;=8),"Soru odaklı Reel",IF(AND(R743&gt;=85,P743&gt;=16),"Reel / Short",IF(M743&gt;=11,"Carousel","Kart testi"))))</x:f>
        <x:v>Carousel</x:v>
      </x:c>
      <x:c r="U743" s="46" t="str">
        <x:v>Şeffaf OKR fikri ekipler için faydalı; fakat dramatik gerilim ve görsel çeşit sınırlı.</x:v>
      </x:c>
      <x:c r="V743" s="46" t="str">
        <x:f>IF(Q743&lt;=3,"Kaynak kontrolü şart",IF(Q743=4,"Kaynak kontrolü önerilir","Standart doğrulama"))</x:f>
        <x:v>Standart doğrulama</x:v>
      </x:c>
    </x:row>
    <x:row r="744" ht="24" customHeight="1">
      <x:c r="A744" s="48" t="n">
        <x:f>COUNTIF($R$2:$R$751,"&gt;"&amp;R744)+COUNTIF($R$2:R744,R744)</x:f>
        <x:v>743</x:v>
      </x:c>
      <x:c r="B744" s="48" t="n">
        <x:v>1208</x:v>
      </x:c>
      <x:c r="C744" s="46" t="str">
        <x:v>Karakter ve koşullar</x:v>
      </x:c>
      <x:c r="D744" s="34" t="str">
        <x:v>Felsefe</x:v>
      </x:c>
      <x:c r="E744" s="34" t="str">
        <x:v>Felsefe</x:v>
      </x:c>
      <x:c r="F744" s="34" t="str">
        <x:v>İnsan Nasıl Düşünür</x:v>
      </x:c>
      <x:c r="G744" s="34" t="str">
        <x:v>James Allen</x:v>
      </x:c>
      <x:c r="H744" s="50" t="str">
        <x:v>1</x:v>
      </x:c>
      <x:c r="I744" s="50" t="str">
        <x:v>Temel</x:v>
      </x:c>
      <x:c r="J744" s="51" t="n">
        <x:v>12</x:v>
      </x:c>
      <x:c r="K744" s="51" t="n">
        <x:v>6</x:v>
      </x:c>
      <x:c r="L744" s="51" t="n">
        <x:v>7</x:v>
      </x:c>
      <x:c r="M744" s="51" t="n">
        <x:v>10</x:v>
      </x:c>
      <x:c r="N744" s="51" t="n">
        <x:v>8</x:v>
      </x:c>
      <x:c r="O744" s="51" t="n">
        <x:v>5</x:v>
      </x:c>
      <x:c r="P744" s="51" t="n">
        <x:v>12</x:v>
      </x:c>
      <x:c r="Q744" s="51" t="n">
        <x:v>1</x:v>
      </x:c>
      <x:c r="R744" s="52" t="n">
        <x:f>SUM(J744:Q744)</x:f>
        <x:v>61</x:v>
      </x:c>
      <x:c r="S744" s="50" t="str">
        <x:f>IF(R744&gt;='Rubrik'!$B$17,"Öncelikli video",IF(R744&gt;='Rubrik'!$B$18,"Video kuyruğu",IF(R744&gt;='Rubrik'!$B$19,"Revize et",IF(R744&gt;='Rubrik'!$B$20,"Kartla test","Düşük öncelik"))))</x:f>
        <x:v>Düşük öncelik</x:v>
      </x:c>
      <x:c r="T744" s="50" t="str">
        <x:f>IF(AND(R744&gt;=85,P744&gt;=16,M744&gt;=12,L744&gt;=12),"Reel + Carousel",IF(AND(R744&gt;=85,P744&gt;=16,N744&gt;=8),"Soru odaklı Reel",IF(AND(R744&gt;=85,P744&gt;=16),"Reel / Short",IF(M744&gt;=11,"Carousel","Kart testi"))))</x:f>
        <x:v>Kart testi</x:v>
      </x:c>
      <x:c r="U744" s="46" t="str">
        <x:v>İç tutum mesajı düşündürücü; dış koşulları kişinin yarattığı iddiası mağduru suçlama ve doğruluk riski taşır.</x:v>
      </x:c>
      <x:c r="V744" s="46" t="str">
        <x:f>IF(Q744&lt;=3,"Kaynak kontrolü şart",IF(Q744=4,"Kaynak kontrolü önerilir","Standart doğrulama"))</x:f>
        <x:v>Kaynak kontrolü şart</x:v>
      </x:c>
    </x:row>
    <x:row r="745" ht="24" customHeight="1">
      <x:c r="A745" s="48" t="n">
        <x:f>COUNTIF($R$2:$R$751,"&gt;"&amp;R745)+COUNTIF($R$2:R745,R745)</x:f>
        <x:v>744</x:v>
      </x:c>
      <x:c r="B745" s="48" t="n">
        <x:v>1254</x:v>
      </x:c>
      <x:c r="C745" s="46" t="str">
        <x:v>Her iki beyin yarımküresini birlikte kullanmak</x:v>
      </x:c>
      <x:c r="D745" s="34" t="str">
        <x:v>Felsefe</x:v>
      </x:c>
      <x:c r="E745" s="34" t="str">
        <x:v>Öğrenme</x:v>
      </x:c>
      <x:c r="F745" s="34" t="str">
        <x:v>Zihin Haritası</x:v>
      </x:c>
      <x:c r="G745" s="34" t="str">
        <x:v>Tony Buzan</x:v>
      </x:c>
      <x:c r="H745" s="50" t="str">
        <x:v>1</x:v>
      </x:c>
      <x:c r="I745" s="50" t="str">
        <x:v>Temel</x:v>
      </x:c>
      <x:c r="J745" s="51" t="n">
        <x:v>11</x:v>
      </x:c>
      <x:c r="K745" s="51" t="n">
        <x:v>6</x:v>
      </x:c>
      <x:c r="L745" s="51" t="n">
        <x:v>7</x:v>
      </x:c>
      <x:c r="M745" s="51" t="n">
        <x:v>10</x:v>
      </x:c>
      <x:c r="N745" s="51" t="n">
        <x:v>7</x:v>
      </x:c>
      <x:c r="O745" s="51" t="n">
        <x:v>6</x:v>
      </x:c>
      <x:c r="P745" s="51" t="n">
        <x:v>12</x:v>
      </x:c>
      <x:c r="Q745" s="51" t="n">
        <x:v>1</x:v>
      </x:c>
      <x:c r="R745" s="52" t="n">
        <x:f>SUM(J745:Q745)</x:f>
        <x:v>60</x:v>
      </x:c>
      <x:c r="S745" s="50" t="str">
        <x:f>IF(R745&gt;='Rubrik'!$B$17,"Öncelikli video",IF(R745&gt;='Rubrik'!$B$18,"Video kuyruğu",IF(R745&gt;='Rubrik'!$B$19,"Revize et",IF(R745&gt;='Rubrik'!$B$20,"Kartla test","Düşük öncelik"))))</x:f>
        <x:v>Düşük öncelik</x:v>
      </x:c>
      <x:c r="T745" s="50" t="str">
        <x:f>IF(AND(R745&gt;=85,P745&gt;=16,M745&gt;=12,L745&gt;=12),"Reel + Carousel",IF(AND(R745&gt;=85,P745&gt;=16,N745&gt;=8),"Soru odaklı Reel",IF(AND(R745&gt;=85,P745&gt;=16),"Reel / Short",IF(M745&gt;=11,"Carousel","Kart testi"))))</x:f>
        <x:v>Kart testi</x:v>
      </x:c>
      <x:c r="U745" s="46" t="str">
        <x:v>Zihin haritası kullanışlı olsa da sol-sağ beyin ayrımı nöromit niteliğinde; anlatının temeli yeniden kurulmalı.</x:v>
      </x:c>
      <x:c r="V745" s="46" t="str">
        <x:f>IF(Q745&lt;=3,"Kaynak kontrolü şart",IF(Q745=4,"Kaynak kontrolü önerilir","Standart doğrulama"))</x:f>
        <x:v>Kaynak kontrolü şart</x:v>
      </x:c>
    </x:row>
    <x:row r="746" ht="24" customHeight="1">
      <x:c r="A746" s="48" t="n">
        <x:f>COUNTIF($R$2:$R$751,"&gt;"&amp;R746)+COUNTIF($R$2:R746,R746)</x:f>
        <x:v>745</x:v>
      </x:c>
      <x:c r="B746" s="48" t="n">
        <x:v>1102</x:v>
      </x:c>
      <x:c r="C746" s="46" t="str">
        <x:v>SAVERS — altı alışkanlığın bilimi</x:v>
      </x:c>
      <x:c r="D746" s="34" t="str">
        <x:v>Sağlık</x:v>
      </x:c>
      <x:c r="E746" s="34" t="str">
        <x:v>Alışkanlıklar</x:v>
      </x:c>
      <x:c r="F746" s="34" t="str">
        <x:v>Sabah Rutini</x:v>
      </x:c>
      <x:c r="G746" s="34" t="str">
        <x:v>Hal Elrod</x:v>
      </x:c>
      <x:c r="H746" s="50" t="str">
        <x:v>1</x:v>
      </x:c>
      <x:c r="I746" s="50" t="str">
        <x:v>Temel</x:v>
      </x:c>
      <x:c r="J746" s="51" t="n">
        <x:v>11</x:v>
      </x:c>
      <x:c r="K746" s="51" t="n">
        <x:v>6</x:v>
      </x:c>
      <x:c r="L746" s="51" t="n">
        <x:v>7</x:v>
      </x:c>
      <x:c r="M746" s="51" t="n">
        <x:v>13</x:v>
      </x:c>
      <x:c r="N746" s="51" t="n">
        <x:v>7</x:v>
      </x:c>
      <x:c r="O746" s="51" t="n">
        <x:v>4</x:v>
      </x:c>
      <x:c r="P746" s="51" t="n">
        <x:v>11</x:v>
      </x:c>
      <x:c r="Q746" s="51" t="n">
        <x:v>1</x:v>
      </x:c>
      <x:c r="R746" s="52" t="n">
        <x:f>SUM(J746:Q746)</x:f>
        <x:v>60</x:v>
      </x:c>
      <x:c r="S746" s="50" t="str">
        <x:f>IF(R746&gt;='Rubrik'!$B$17,"Öncelikli video",IF(R746&gt;='Rubrik'!$B$18,"Video kuyruğu",IF(R746&gt;='Rubrik'!$B$19,"Revize et",IF(R746&gt;='Rubrik'!$B$20,"Kartla test","Düşük öncelik"))))</x:f>
        <x:v>Düşük öncelik</x:v>
      </x:c>
      <x:c r="T746" s="50" t="str">
        <x:f>IF(AND(R746&gt;=85,P746&gt;=16,M746&gt;=12,L746&gt;=12),"Reel + Carousel",IF(AND(R746&gt;=85,P746&gt;=16,N746&gt;=8),"Soru odaklı Reel",IF(AND(R746&gt;=85,P746&gt;=16),"Reel / Short",IF(M746&gt;=11,"Carousel","Kart testi"))))</x:f>
        <x:v>Carousel</x:v>
      </x:c>
      <x:c r="U746" s="46" t="str">
        <x:v>SAVERS listesi kaydedilebilir; olumlama, nöron ve toplam etki iddiaları bilimsel olarak aşırı kesin.</x:v>
      </x:c>
      <x:c r="V746" s="46" t="str">
        <x:f>IF(Q746&lt;=3,"Kaynak kontrolü şart",IF(Q746=4,"Kaynak kontrolü önerilir","Standart doğrulama"))</x:f>
        <x:v>Kaynak kontrolü şart</x:v>
      </x:c>
    </x:row>
    <x:row r="747" ht="24" customHeight="1">
      <x:c r="A747" s="48" t="n">
        <x:f>COUNTIF($R$2:$R$751,"&gt;"&amp;R747)+COUNTIF($R$2:R747,R747)</x:f>
        <x:v>746</x:v>
      </x:c>
      <x:c r="B747" s="48" t="n">
        <x:v>1106</x:v>
      </x:c>
      <x:c r="C747" s="46" t="str">
        <x:v>Sergileme ve itibar yasası</x:v>
      </x:c>
      <x:c r="D747" s="34" t="str">
        <x:v>Liderlik</x:v>
      </x:c>
      <x:c r="E747" s="34" t="str">
        <x:v>Strateji</x:v>
      </x:c>
      <x:c r="F747" s="34" t="str">
        <x:v>Güç Yasaları</x:v>
      </x:c>
      <x:c r="G747" s="34" t="str">
        <x:v>Robert Greene</x:v>
      </x:c>
      <x:c r="H747" s="50" t="str">
        <x:v>1</x:v>
      </x:c>
      <x:c r="I747" s="50" t="str">
        <x:v>Temel</x:v>
      </x:c>
      <x:c r="J747" s="51" t="n">
        <x:v>10</x:v>
      </x:c>
      <x:c r="K747" s="51" t="n">
        <x:v>6</x:v>
      </x:c>
      <x:c r="L747" s="51" t="n">
        <x:v>7</x:v>
      </x:c>
      <x:c r="M747" s="51" t="n">
        <x:v>11</x:v>
      </x:c>
      <x:c r="N747" s="51" t="n">
        <x:v>8</x:v>
      </x:c>
      <x:c r="O747" s="51" t="n">
        <x:v>4</x:v>
      </x:c>
      <x:c r="P747" s="51" t="n">
        <x:v>10</x:v>
      </x:c>
      <x:c r="Q747" s="51" t="n">
        <x:v>4</x:v>
      </x:c>
      <x:c r="R747" s="52" t="n">
        <x:f>SUM(J747:Q747)</x:f>
        <x:v>60</x:v>
      </x:c>
      <x:c r="S747" s="50" t="str">
        <x:f>IF(R747&gt;='Rubrik'!$B$17,"Öncelikli video",IF(R747&gt;='Rubrik'!$B$18,"Video kuyruğu",IF(R747&gt;='Rubrik'!$B$19,"Revize et",IF(R747&gt;='Rubrik'!$B$20,"Kartla test","Düşük öncelik"))))</x:f>
        <x:v>Düşük öncelik</x:v>
      </x:c>
      <x:c r="T747" s="50" t="str">
        <x:f>IF(AND(R747&gt;=85,P747&gt;=16,M747&gt;=12,L747&gt;=12),"Reel + Carousel",IF(AND(R747&gt;=85,P747&gt;=16,N747&gt;=8),"Soru odaklı Reel",IF(AND(R747&gt;=85,P747&gt;=16),"Reel / Short",IF(M747&gt;=11,"Carousel","Kart testi"))))</x:f>
        <x:v>Carousel</x:v>
      </x:c>
      <x:c r="U747" s="46" t="str">
        <x:v>İtibar dersi doğru ve kaydedilir, fakat Nixon dışında olay örgüsü yok; kısa videoda genel kalıyor.</x:v>
      </x:c>
      <x:c r="V747" s="46" t="str">
        <x:f>IF(Q747&lt;=3,"Kaynak kontrolü şart",IF(Q747=4,"Kaynak kontrolü önerilir","Standart doğrulama"))</x:f>
        <x:v>Kaynak kontrolü önerilir</x:v>
      </x:c>
    </x:row>
    <x:row r="748" ht="24" customHeight="1">
      <x:c r="A748" s="48" t="n">
        <x:f>COUNTIF($R$2:$R$751,"&gt;"&amp;R748)+COUNTIF($R$2:R748,R748)</x:f>
        <x:v>747</x:v>
      </x:c>
      <x:c r="B748" s="48" t="n">
        <x:v>1216</x:v>
      </x:c>
      <x:c r="C748" s="46" t="str">
        <x:v>Tek gemi filosu</x:v>
      </x:c>
      <x:c r="D748" s="34" t="str">
        <x:v>Verimlilik</x:v>
      </x:c>
      <x:c r="E748" s="34" t="str">
        <x:v>Verimlilik</x:v>
      </x:c>
      <x:c r="F748" s="34" t="str">
        <x:v>Minimalizm</x:v>
      </x:c>
      <x:c r="G748" s="34" t="str">
        <x:v>Greg McKeown</x:v>
      </x:c>
      <x:c r="H748" s="50" t="str">
        <x:v>1</x:v>
      </x:c>
      <x:c r="I748" s="50" t="str">
        <x:v>Temel</x:v>
      </x:c>
      <x:c r="J748" s="51" t="n">
        <x:v>10</x:v>
      </x:c>
      <x:c r="K748" s="51" t="n">
        <x:v>6</x:v>
      </x:c>
      <x:c r="L748" s="51" t="n">
        <x:v>7</x:v>
      </x:c>
      <x:c r="M748" s="51" t="n">
        <x:v>12</x:v>
      </x:c>
      <x:c r="N748" s="51" t="n">
        <x:v>8</x:v>
      </x:c>
      <x:c r="O748" s="51" t="n">
        <x:v>4</x:v>
      </x:c>
      <x:c r="P748" s="51" t="n">
        <x:v>10</x:v>
      </x:c>
      <x:c r="Q748" s="51" t="n">
        <x:v>2</x:v>
      </x:c>
      <x:c r="R748" s="52" t="n">
        <x:f>SUM(J748:Q748)</x:f>
        <x:v>59</x:v>
      </x:c>
      <x:c r="S748" s="50" t="str">
        <x:f>IF(R748&gt;='Rubrik'!$B$17,"Öncelikli video",IF(R748&gt;='Rubrik'!$B$18,"Video kuyruğu",IF(R748&gt;='Rubrik'!$B$19,"Revize et",IF(R748&gt;='Rubrik'!$B$20,"Kartla test","Düşük öncelik"))))</x:f>
        <x:v>Düşük öncelik</x:v>
      </x:c>
      <x:c r="T748" s="50" t="str">
        <x:f>IF(AND(R748&gt;=85,P748&gt;=16,M748&gt;=12,L748&gt;=12),"Reel + Carousel",IF(AND(R748&gt;=85,P748&gt;=16,N748&gt;=8),"Soru odaklı Reel",IF(AND(R748&gt;=85,P748&gt;=16),"Reel / Short",IF(M748&gt;=11,"Carousel","Kart testi"))))</x:f>
        <x:v>Carousel</x:v>
      </x:c>
      <x:c r="U748" s="46" t="str">
        <x:v>Tek noktada güç fikri yararlı; başlığın vaat ettiği tarihsel filo hikâyesi yok ve Apple örneği yüzeysel.</x:v>
      </x:c>
      <x:c r="V748" s="46" t="str">
        <x:f>IF(Q748&lt;=3,"Kaynak kontrolü şart",IF(Q748=4,"Kaynak kontrolü önerilir","Standart doğrulama"))</x:f>
        <x:v>Kaynak kontrolü şart</x:v>
      </x:c>
    </x:row>
    <x:row r="749" ht="24" customHeight="1">
      <x:c r="A749" s="48" t="n">
        <x:f>COUNTIF($R$2:$R$751,"&gt;"&amp;R749)+COUNTIF($R$2:R749,R749)</x:f>
        <x:v>748</x:v>
      </x:c>
      <x:c r="B749" s="48" t="n">
        <x:v>1156</x:v>
      </x:c>
      <x:c r="C749" s="46" t="str">
        <x:v>PQ — olumlu zeka kası</x:v>
      </x:c>
      <x:c r="D749" s="34" t="str">
        <x:v>Psikoloji</x:v>
      </x:c>
      <x:c r="E749" s="34" t="str">
        <x:v>Psikoloji</x:v>
      </x:c>
      <x:c r="F749" s="34" t="str">
        <x:v>Olumlu Zeka</x:v>
      </x:c>
      <x:c r="G749" s="34" t="str">
        <x:v>Shirzad Chamine</x:v>
      </x:c>
      <x:c r="H749" s="50" t="str">
        <x:v>1</x:v>
      </x:c>
      <x:c r="I749" s="50" t="str">
        <x:v>Temel</x:v>
      </x:c>
      <x:c r="J749" s="51" t="n">
        <x:v>11</x:v>
      </x:c>
      <x:c r="K749" s="51" t="n">
        <x:v>6</x:v>
      </x:c>
      <x:c r="L749" s="51" t="n">
        <x:v>7</x:v>
      </x:c>
      <x:c r="M749" s="51" t="n">
        <x:v>11</x:v>
      </x:c>
      <x:c r="N749" s="51" t="n">
        <x:v>8</x:v>
      </x:c>
      <x:c r="O749" s="51" t="n">
        <x:v>4</x:v>
      </x:c>
      <x:c r="P749" s="51" t="n">
        <x:v>11</x:v>
      </x:c>
      <x:c r="Q749" s="51" t="n">
        <x:v>0</x:v>
      </x:c>
      <x:c r="R749" s="52" t="n">
        <x:f>SUM(J749:Q749)</x:f>
        <x:v>58</x:v>
      </x:c>
      <x:c r="S749" s="50" t="str">
        <x:f>IF(R749&gt;='Rubrik'!$B$17,"Öncelikli video",IF(R749&gt;='Rubrik'!$B$18,"Video kuyruğu",IF(R749&gt;='Rubrik'!$B$19,"Revize et",IF(R749&gt;='Rubrik'!$B$20,"Kartla test","Düşük öncelik"))))</x:f>
        <x:v>Düşük öncelik</x:v>
      </x:c>
      <x:c r="T749" s="50" t="str">
        <x:f>IF(AND(R749&gt;=85,P749&gt;=16,M749&gt;=12,L749&gt;=12),"Reel + Carousel",IF(AND(R749&gt;=85,P749&gt;=16,N749&gt;=8),"Soru odaklı Reel",IF(AND(R749&gt;=85,P749&gt;=16),"Reel / Short",IF(M749&gt;=11,"Carousel","Kart testi"))))</x:f>
        <x:v>Carousel</x:v>
      </x:c>
      <x:c r="U749" s="46" t="str">
        <x:v>PQ kası kolay anlaşılır; 177 ülke ve 500 bin kişi iddiası bağımsız bilimsel destek olmadan güven vermiyor.</x:v>
      </x:c>
      <x:c r="V749" s="46" t="str">
        <x:f>IF(Q749&lt;=3,"Kaynak kontrolü şart",IF(Q749=4,"Kaynak kontrolü önerilir","Standart doğrulama"))</x:f>
        <x:v>Kaynak kontrolü şart</x:v>
      </x:c>
    </x:row>
    <x:row r="750" ht="24" customHeight="1">
      <x:c r="A750" s="48" t="n">
        <x:f>COUNTIF($R$2:$R$751,"&gt;"&amp;R750)+COUNTIF($R$2:R750,R750)</x:f>
        <x:v>749</x:v>
      </x:c>
      <x:c r="B750" s="48" t="n">
        <x:v>1225</x:v>
      </x:c>
      <x:c r="C750" s="46" t="str">
        <x:v>Hız okuma ve anlama</x:v>
      </x:c>
      <x:c r="D750" s="34" t="str">
        <x:v>Felsefe</x:v>
      </x:c>
      <x:c r="E750" s="34" t="str">
        <x:v>Öğrenme</x:v>
      </x:c>
      <x:c r="F750" s="34" t="str">
        <x:v>İnsan Beyninin Gücü</x:v>
      </x:c>
      <x:c r="G750" s="34" t="str">
        <x:v>Jim Kwik</x:v>
      </x:c>
      <x:c r="H750" s="50" t="str">
        <x:v>1</x:v>
      </x:c>
      <x:c r="I750" s="50" t="str">
        <x:v>Temel</x:v>
      </x:c>
      <x:c r="J750" s="51" t="n">
        <x:v>12</x:v>
      </x:c>
      <x:c r="K750" s="51" t="n">
        <x:v>5</x:v>
      </x:c>
      <x:c r="L750" s="51" t="n">
        <x:v>7</x:v>
      </x:c>
      <x:c r="M750" s="51" t="n">
        <x:v>10</x:v>
      </x:c>
      <x:c r="N750" s="51" t="n">
        <x:v>6</x:v>
      </x:c>
      <x:c r="O750" s="51" t="n">
        <x:v>4</x:v>
      </x:c>
      <x:c r="P750" s="51" t="n">
        <x:v>11</x:v>
      </x:c>
      <x:c r="Q750" s="51" t="n">
        <x:v>0</x:v>
      </x:c>
      <x:c r="R750" s="52" t="n">
        <x:f>SUM(J750:Q750)</x:f>
        <x:v>55</x:v>
      </x:c>
      <x:c r="S750" s="50" t="str">
        <x:f>IF(R750&gt;='Rubrik'!$B$17,"Öncelikli video",IF(R750&gt;='Rubrik'!$B$18,"Video kuyruğu",IF(R750&gt;='Rubrik'!$B$19,"Revize et",IF(R750&gt;='Rubrik'!$B$20,"Kartla test","Düşük öncelik"))))</x:f>
        <x:v>Düşük öncelik</x:v>
      </x:c>
      <x:c r="T750" s="50" t="str">
        <x:f>IF(AND(R750&gt;=85,P750&gt;=16,M750&gt;=12,L750&gt;=12),"Reel + Carousel",IF(AND(R750&gt;=85,P750&gt;=16,N750&gt;=8),"Soru odaklı Reel",IF(AND(R750&gt;=85,P750&gt;=16),"Reel / Short",IF(M750&gt;=11,"Carousel","Kart testi"))))</x:f>
        <x:v>Kart testi</x:v>
      </x:c>
      <x:c r="U750" s="46" t="str">
        <x:v>Hızlı okuma vaadi dikkat çeker; iç sesi azaltıp anlamayı koruma ve üç kat hız iddiaları bilimsel açıdan zayıf.</x:v>
      </x:c>
      <x:c r="V750" s="46" t="str">
        <x:f>IF(Q750&lt;=3,"Kaynak kontrolü şart",IF(Q750=4,"Kaynak kontrolü önerilir","Standart doğrulama"))</x:f>
        <x:v>Kaynak kontrolü şart</x:v>
      </x:c>
    </x:row>
    <x:row r="751" ht="24" customHeight="1">
      <x:c r="A751" s="49" t="n">
        <x:f>COUNTIF($R$2:$R$751,"&gt;"&amp;R751)+COUNTIF($R$2:R751,R751)</x:f>
        <x:v>750</x:v>
      </x:c>
      <x:c r="B751" s="49" t="n">
        <x:v>1077</x:v>
      </x:c>
      <x:c r="C751" s="47" t="str">
        <x:v>500 dolarlık karar</x:v>
      </x:c>
      <x:c r="D751" s="36" t="str">
        <x:v>Büyüme</x:v>
      </x:c>
      <x:c r="E751" s="36" t="str">
        <x:v>Motivasyon</x:v>
      </x:c>
      <x:c r="F751" s="36" t="str">
        <x:v>Düşün ve Zengin Ol</x:v>
      </x:c>
      <x:c r="G751" s="36" t="str">
        <x:v>Napoleon Hill</x:v>
      </x:c>
      <x:c r="H751" s="53" t="str">
        <x:v>1</x:v>
      </x:c>
      <x:c r="I751" s="53" t="str">
        <x:v>Temel</x:v>
      </x:c>
      <x:c r="J751" s="54" t="n">
        <x:v>10</x:v>
      </x:c>
      <x:c r="K751" s="54" t="n">
        <x:v>6</x:v>
      </x:c>
      <x:c r="L751" s="54" t="n">
        <x:v>6</x:v>
      </x:c>
      <x:c r="M751" s="54" t="n">
        <x:v>8</x:v>
      </x:c>
      <x:c r="N751" s="54" t="n">
        <x:v>7</x:v>
      </x:c>
      <x:c r="O751" s="54" t="n">
        <x:v>5</x:v>
      </x:c>
      <x:c r="P751" s="54" t="n">
        <x:v>11</x:v>
      </x:c>
      <x:c r="Q751" s="54" t="n">
        <x:v>0</x:v>
      </x:c>
      <x:c r="R751" s="55" t="n">
        <x:f>SUM(J751:Q751)</x:f>
        <x:v>53</x:v>
      </x:c>
      <x:c r="S751" s="53" t="str">
        <x:f>IF(R751&gt;='Rubrik'!$B$17,"Öncelikli video",IF(R751&gt;='Rubrik'!$B$18,"Video kuyruğu",IF(R751&gt;='Rubrik'!$B$19,"Revize et",IF(R751&gt;='Rubrik'!$B$20,"Kartla test","Düşük öncelik"))))</x:f>
        <x:v>Düşük öncelik</x:v>
      </x:c>
      <x:c r="T751" s="53" t="str">
        <x:f>IF(AND(R751&gt;=85,P751&gt;=16,M751&gt;=12,L751&gt;=12),"Reel + Carousel",IF(AND(R751&gt;=85,P751&gt;=16,N751&gt;=8),"Soru odaklı Reel",IF(AND(R751&gt;=85,P751&gt;=16),"Reel / Short",IF(M751&gt;=11,"Carousel","Kart testi"))))</x:f>
        <x:v>Kart testi</x:v>
      </x:c>
      <x:c r="U751" s="47" t="str">
        <x:v>500 dolardan milyonlara vaat dikkat çekse de kişi, iş ve kanıt yok; anlatı motivasyon klişesinde kalıyor.</x:v>
      </x:c>
      <x:c r="V751" s="47" t="str">
        <x:f>IF(Q751&lt;=3,"Kaynak kontrolü şart",IF(Q751=4,"Kaynak kontrolü önerilir","Standart doğrulama"))</x:f>
        <x:v>Kaynak kontrolü şart</x:v>
      </x:c>
    </x:row>
  </x:sheetData>
  <x:conditionalFormatting sqref="R2:R751">
    <x:cfRule type="colorScale" priority="1">
      <x:colorScale>
        <x:cfvo type="min"/>
        <x:cfvo type="percentile" val="50"/>
        <x:cfvo type="max"/>
        <x:color rgb="FFF8D7DA"/>
        <x:color rgb="FFFFF4D6"/>
        <x:color rgb="FFDDEED8"/>
      </x:colorScale>
    </x:cfRule>
  </x:conditionalFormatting>
  <x:conditionalFormatting sqref="S2:S751">
    <x:cfRule type="containsText" dxfId="0" priority="2" operator="containsText" text="Öncelikli video"/>
    <x:cfRule type="containsText" dxfId="1" priority="3" operator="containsText" text="Düşük öncelik"/>
  </x:conditionalFormatting>
  <x:pageMargins left="0.7" right="0.7" top="0.75" bottom="0.75" header="0.3" footer="0.3"/>
  <x:tableParts count="1">
    <x:tablePart xmlns:r="http://schemas.openxmlformats.org/officeDocument/2006/relationships" r:id="Ra786d9a3030046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78" hidden="0" customWidth="1"/>
  </x:cols>
  <x:sheetData>
    <x:row r="1" ht="34" customHeight="1">
      <x:c r="A1" s="3" t="str">
        <x:v>Sosyal Potansiyel Puanlama Rubriği</x:v>
      </x:c>
      <x:c r="B1" s="3"/>
      <x:c r="C1" s="3"/>
    </x:row>
    <x:row r="2" ht="28" customHeight="1">
      <x:c r="A2" s="5" t="str">
        <x:v>Puanlar editoryal tahmindir; gerçek beğeni, paylaşım, kaydetme ve ses kaydı verisi değildir.</x:v>
      </x:c>
      <x:c r="B2" s="5"/>
      <x:c r="C2" s="22"/>
    </x:row>
    <x:row r="3">
      <x:c r="C3" s="23"/>
    </x:row>
    <x:row r="4" ht="26" customHeight="1">
      <x:c r="A4" s="16" t="str">
        <x:v>Kriter</x:v>
      </x:c>
      <x:c r="B4" s="16" t="str">
        <x:v>Azami Puan</x:v>
      </x:c>
      <x:c r="C4" s="24" t="str">
        <x:v>Tam puan ölçütü</x:v>
      </x:c>
    </x:row>
    <x:row r="5">
      <x:c r="A5" s="17" t="str">
        <x:v>Dikkat / Hook</x:v>
      </x:c>
      <x:c r="B5" s="17" t="n">
        <x:v>15</x:v>
      </x:c>
      <x:c r="C5" s="25" t="str">
        <x:v>İlk 2 saniyede anlaşılır; dürüst bir merak veya ters köşe yaratır.</x:v>
      </x:c>
    </x:row>
    <x:row r="6">
      <x:c r="A6" s="17" t="str">
        <x:v>Duygusal Bağ / Beğeni</x:v>
      </x:c>
      <x:c r="B6" s="17" t="n">
        <x:v>10</x:v>
      </x:c>
      <x:c r="C6" s="25" t="str">
        <x:v>Şaşkınlık, umut, empati veya “bu tam ben” hissi oluşturur.</x:v>
      </x:c>
    </x:row>
    <x:row r="7">
      <x:c r="A7" s="17" t="str">
        <x:v>Paylaşma Dürtüsü</x:v>
      </x:c>
      <x:c r="B7" s="17" t="n">
        <x:v>15</x:v>
      </x:c>
      <x:c r="C7" s="25" t="str">
        <x:v>Okur hikâyeyi kime göndereceğini hemen düşünür.</x:v>
      </x:c>
    </x:row>
    <x:row r="8">
      <x:c r="A8" s="17" t="str">
        <x:v>Kaydetme Değeri</x:v>
      </x:c>
      <x:c r="B8" s="17" t="n">
        <x:v>15</x:v>
      </x:c>
      <x:c r="C8" s="25" t="str">
        <x:v>Sonra kullanılacak bir fikir, soru, yöntem veya çerçeve verir.</x:v>
      </x:c>
    </x:row>
    <x:row r="9">
      <x:c r="A9" s="17" t="str">
        <x:v>Sesli Not / Sohbet</x:v>
      </x:c>
      <x:c r="B9" s="17" t="n">
        <x:v>10</x:v>
      </x:c>
      <x:c r="C9" s="25" t="str">
        <x:v>Kullanıcı kendi örneğini 30–60 saniyede anlatabilir.</x:v>
      </x:c>
    </x:row>
    <x:row r="10">
      <x:c r="A10" s="17" t="str">
        <x:v>Hikâye Akışı</x:v>
      </x:c>
      <x:c r="B10" s="17" t="n">
        <x:v>10</x:v>
      </x:c>
      <x:c r="C10" s="25" t="str">
        <x:v>Sahne, gerilim, dönüş ve tatmin edici sonuç içerir.</x:v>
      </x:c>
    </x:row>
    <x:row r="11">
      <x:c r="A11" s="17" t="str">
        <x:v>Kısa Video Uygunluğu</x:v>
      </x:c>
      <x:c r="B11" s="17" t="n">
        <x:v>20</x:v>
      </x:c>
      <x:c r="C11" s="25" t="str">
        <x:v>30–45 saniyeye sığar; 3–5 görsel sahne ve net final sunar.</x:v>
      </x:c>
    </x:row>
    <x:row r="12">
      <x:c r="A12" s="17" t="str">
        <x:v>Güven / Doğruluk</x:v>
      </x:c>
      <x:c r="B12" s="17" t="n">
        <x:v>5</x:v>
      </x:c>
      <x:c r="C12" s="25" t="str">
        <x:v>Ana iddia doğrulanabilir, dikkatli ifade edilmiş ve marka güvenlidir.</x:v>
      </x:c>
    </x:row>
    <x:row r="13">
      <x:c r="A13" s="18" t="str">
        <x:v>Toplam</x:v>
      </x:c>
      <x:c r="B13" s="18" t="n">
        <x:v>100</x:v>
      </x:c>
      <x:c r="C13" s="26"/>
    </x:row>
    <x:row r="14">
      <x:c r="A14" s="17"/>
      <x:c r="B14" s="17"/>
      <x:c r="C14" s="25"/>
    </x:row>
    <x:row r="15">
      <x:c r="A15" s="17"/>
      <x:c r="B15" s="17"/>
      <x:c r="C15" s="25"/>
    </x:row>
    <x:row r="16" ht="26" customHeight="1">
      <x:c r="A16" s="19" t="str">
        <x:v>Karar Eşiği</x:v>
      </x:c>
      <x:c r="B16" s="19" t="str">
        <x:v>Alt Sınır</x:v>
      </x:c>
      <x:c r="C16" s="25"/>
    </x:row>
    <x:row r="17">
      <x:c r="A17" s="17" t="str">
        <x:v>Öncelikli video</x:v>
      </x:c>
      <x:c r="B17" s="20" t="n">
        <x:v>90</x:v>
      </x:c>
      <x:c r="C17" s="25"/>
    </x:row>
    <x:row r="18">
      <x:c r="A18" s="17" t="str">
        <x:v>Video kuyruğu</x:v>
      </x:c>
      <x:c r="B18" s="20" t="n">
        <x:v>85</x:v>
      </x:c>
      <x:c r="C18" s="25"/>
    </x:row>
    <x:row r="19">
      <x:c r="A19" s="17" t="str">
        <x:v>Revize et</x:v>
      </x:c>
      <x:c r="B19" s="20" t="n">
        <x:v>78</x:v>
      </x:c>
      <x:c r="C19" s="25"/>
    </x:row>
    <x:row r="20">
      <x:c r="A20" s="17" t="str">
        <x:v>Kartla test</x:v>
      </x:c>
      <x:c r="B20" s="20" t="n">
        <x:v>70</x:v>
      </x:c>
      <x:c r="C20" s="25"/>
    </x:row>
    <x:row r="21">
      <x:c r="A21" s="17" t="str">
        <x:v>Düşük öncelik</x:v>
      </x:c>
      <x:c r="B21" s="20" t="n">
        <x:v>0</x:v>
      </x:c>
      <x:c r="C21" s="25"/>
    </x:row>
    <x:row r="22">
      <x:c r="A22" s="17"/>
      <x:c r="B22" s="17"/>
      <x:c r="C22" s="25"/>
    </x:row>
    <x:row r="23">
      <x:c r="A23" s="17"/>
      <x:c r="B23" s="17"/>
      <x:c r="C23" s="25"/>
    </x:row>
    <x:row r="24">
      <x:c r="A24" s="21" t="str">
        <x:v>Yöntem Notları</x:v>
      </x:c>
      <x:c r="B24" s="21" t="str"/>
      <x:c r="C24" s="27" t="str"/>
    </x:row>
    <x:row r="25">
      <x:c r="A25" s="17" t="str">
        <x:v>Kapsam</x:v>
      </x:c>
      <x:c r="B25" s="17" t="str">
        <x:v>750</x:v>
      </x:c>
      <x:c r="C25" s="25" t="str">
        <x:v>Türkçe hikâyenin tamamı; story_id 1059–1808.</x:v>
      </x:c>
    </x:row>
    <x:row r="26">
      <x:c r="A26" s="17" t="str">
        <x:v>Hazırlık</x:v>
      </x:c>
      <x:c r="B26" s="17" t="str">
        <x:v>117 zengin</x:v>
      </x:c>
      <x:c r="C26" s="25" t="str">
        <x:v>Hook, punchline, 30 saniye, soru ve karşıtlık alanları tam.</x:v>
      </x:c>
    </x:row>
    <x:row r="27">
      <x:c r="A27" s="17" t="str">
        <x:v>Sıralama</x:v>
      </x:c>
      <x:c r="B27" s="17" t="str">
        <x:v>Tahmini</x:v>
      </x:c>
      <x:c r="C27" s="25" t="str">
        <x:v>Toplam puana; eşitlikte video ve paylaşım puanına göre.</x:v>
      </x:c>
    </x:row>
    <x:row r="28">
      <x:c r="A28" s="17" t="str">
        <x:v>Doğrulama</x:v>
      </x:c>
      <x:c r="B28" s="17" t="str">
        <x:v>Zorunlu</x:v>
      </x:c>
      <x:c r="C28" s="25" t="str">
        <x:v>Video üretiminden önce ana iddia ve görsel hakları kontrol edilmelidir.</x:v>
      </x:c>
    </x:row>
    <x:row r="29">
      <x:c r="A29" s="17" t="str">
        <x:v>Veri Kaynağı</x:v>
      </x:c>
      <x:c r="B29" s="17" t="str">
        <x:v>Yerel katalog</x:v>
      </x:c>
      <x:c r="C29" s="25" t="str">
        <x:v>assets/kivilcim.db — 18 Temmuz 2026 tarihli çalışma kopyası.</x:v>
      </x:c>
    </x:row>
  </x:sheetData>
  <x:mergeCells>
    <x:mergeCell ref="A1:C1"/>
    <x:mergeCell ref="A2:C2"/>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0" hidden="0" customWidth="1"/>
    <x:col min="3" max="3" width="16" hidden="0" customWidth="1"/>
    <x:col min="4" max="4" width="24" hidden="0" customWidth="1"/>
    <x:col min="5" max="5" width="32" hidden="0" customWidth="1"/>
    <x:col min="6" max="6" width="24" hidden="0" customWidth="1"/>
    <x:col min="7" max="7" width="10" hidden="0" customWidth="1"/>
    <x:col min="8" max="8" width="42" hidden="0" customWidth="1"/>
    <x:col min="9" max="9" width="60" hidden="0" customWidth="1"/>
    <x:col min="10" max="10" width="80" hidden="0" customWidth="1"/>
    <x:col min="11" max="11" width="44" hidden="0" customWidth="1"/>
    <x:col min="12" max="12" width="44" hidden="0" customWidth="1"/>
    <x:col min="13" max="13" width="60" hidden="0" customWidth="1"/>
    <x:col min="14" max="14" width="44" hidden="0" customWidth="1"/>
    <x:col min="15" max="15" width="42" hidden="0" customWidth="1"/>
  </x:cols>
  <x:sheetData>
    <x:row r="1" ht="30" customHeight="1">
      <x:c r="A1" s="32" t="str">
        <x:v>Story ID</x:v>
      </x:c>
      <x:c r="B1" s="32" t="str">
        <x:v>Versiyon</x:v>
      </x:c>
      <x:c r="C1" s="32" t="str">
        <x:v>Ana Kategori</x:v>
      </x:c>
      <x:c r="D1" s="32" t="str">
        <x:v>Alt Kategori</x:v>
      </x:c>
      <x:c r="E1" s="32" t="str">
        <x:v>Kaynak Kitap</x:v>
      </x:c>
      <x:c r="F1" s="32" t="str">
        <x:v>Yazar</x:v>
      </x:c>
      <x:c r="G1" s="32" t="str">
        <x:v>Yayın Yılı</x:v>
      </x:c>
      <x:c r="H1" s="32" t="str">
        <x:v>Başlık</x:v>
      </x:c>
      <x:c r="I1" s="32" t="str">
        <x:v>Açıklama</x:v>
      </x:c>
      <x:c r="J1" s="32" t="str">
        <x:v>Gövde</x:v>
      </x:c>
      <x:c r="K1" s="32" t="str">
        <x:v>Hook</x:v>
      </x:c>
      <x:c r="L1" s="32" t="str">
        <x:v>Punchline</x:v>
      </x:c>
      <x:c r="M1" s="32" t="str">
        <x:v>30 Saniye</x:v>
      </x:c>
      <x:c r="N1" s="32" t="str">
        <x:v>Soru</x:v>
      </x:c>
      <x:c r="O1" s="32" t="str">
        <x:v>Ana Karşıtlık</x:v>
      </x:c>
    </x:row>
    <x:row r="2" ht="20" customHeight="1">
      <x:c r="A2" s="33" t="n">
        <x:v>1059</x:v>
      </x:c>
      <x:c r="B2" s="34" t="str">
        <x:v>1</x:v>
      </x:c>
      <x:c r="C2" s="34" t="str">
        <x:v>Sağlık</x:v>
      </x:c>
      <x:c r="D2" s="34" t="str">
        <x:v>Alışkanlıklar</x:v>
      </x:c>
      <x:c r="E2" s="34" t="str">
        <x:v>Atomic Habits</x:v>
      </x:c>
      <x:c r="F2" s="34" t="str">
        <x:v>James Clear</x:v>
      </x:c>
      <x:c r="G2" s="34" t="str">
        <x:v>2018</x:v>
      </x:c>
      <x:c r="H2" s="37" t="str">
        <x:v>Britanya bisiklet takımının yüzde iki felsefesi</x:v>
      </x:c>
      <x:c r="I2" s="37" t="str">
        <x:v>Antrenör Dave Brailsford, her şeyde yalnızca yüzde iki iyileştirme yaparak hiç şampiyon olmamış takımı 5 yılda dünya şampiyonu yaptı.</x:v>
      </x:c>
      <x:c r="J2" s="37" t="str">
        <x:v>1998 yılına kadar Britanya milli bisiklet takımı, neredeyse hiç önemli başarı elde edememişti. Tam 76 yıl boyunca takım, Olimpiyat'ta yalnızca tek bir altın madalya kazanabilmişti.
Sonra Dave Brailsford sahneye çıktı.
Brailsford'un yaklaşımı çılgınca basitti: Her şeyi yüzde iki iyileştir. Bisikletin koltuğunun ergonomisini, sporcuların kullandığı yastığın sertliğini, ısınma ritüellerini, beslenme düzenini... Hatta sporcuların hangi jel ile ellerini yıkadığını bile.
Her iyileştirme tek başına önemsiz görünüyordu. Ama onlarca küçük kazanım birleştiğinde mucize gerçekleşti.
##5 yıl sonra, 2008 Pekin Olimpiyatları'nda Britanya bisiklet takımı 8 altın madalya kazandı.##
2012 Londra Olimpiyatları'nda bu sayı 7 oldu. Ardından Tour de France zaferlerini peş peşe dizdi.
Brailsford bu felsefeye bir isim koydu: "Marjinal kazanımların birleşimi."
Çoğumuz büyük değişiklikler bekliyoruz. Sıfırdan yüze geçmek istiyoruz, sabahtan akşama dönüşmek istiyoruz.
$$Oysa büyük sonuçlar her zaman küçük, görünmez iyileştirmelerin birikmesinden doğar.$$
&amp;&amp;Bugün hayatında — işinde, ilişkilerinde ya da sağlığında — yüzde iki daha iyi yapabileceğin tek bir şey nedir? Onu yaz.&amp;&amp;</x:v>
      </x:c>
      <x:c r="K2" s="37" t="str"/>
      <x:c r="L2" s="37" t="str"/>
      <x:c r="M2" s="37" t="str"/>
      <x:c r="N2" s="37" t="str"/>
      <x:c r="O2" s="37" t="str"/>
    </x:row>
    <x:row r="3" ht="20" customHeight="1">
      <x:c r="A3" s="33" t="n">
        <x:v>1060</x:v>
      </x:c>
      <x:c r="B3" s="34" t="str">
        <x:v>1</x:v>
      </x:c>
      <x:c r="C3" s="34" t="str">
        <x:v>Sağlık</x:v>
      </x:c>
      <x:c r="D3" s="34" t="str">
        <x:v>Alışkanlıklar</x:v>
      </x:c>
      <x:c r="E3" s="34" t="str">
        <x:v>Atomic Habits</x:v>
      </x:c>
      <x:c r="F3" s="34" t="str">
        <x:v>James Clear</x:v>
      </x:c>
      <x:c r="G3" s="34" t="str">
        <x:v>2018</x:v>
      </x:c>
      <x:c r="H3" s="37" t="str">
        <x:v>Kimlik temelli alışkanlık</x:v>
      </x:c>
      <x:c r="I3" s="37" t="str">
        <x:v>Sigara bırakan biri 'hayır teşekkürler, sigara içmiyorum' dediğinde alışkanlığı kimliğinin parçası haline getirir; bu fark her şeyi değiştirir.</x:v>
      </x:c>
      <x:c r="J3" s="37" t="str">
        <x:v>Deneyi düşün: İki kişiye sigara ikram ediliyor.
Birincisi: "Hayır teşekkürler, sigara bırakmaya çalışıyorum."
İkincisi: "Hayır teşekkürler, sigara içmiyorum."
Kulağa benzer geliyor, değil mi? Ama aslında bu iki cümle arasında dağlar kadar fark var.
Birinci kişi kendini "sigara içen biri" olarak görüyor, sadece bu alışkanlıkla savaşıyor. İkinci kişi ise alışkanlığı kimliğinin bir parçası haline getirmiş.
##Her eylem, "ben kimim?" sorusuna verdiğin bir oy gibidir.##
Sigarayı her reddettiğinde "sigara içmeyen biri" kimliğine bir oy daha atıyorsun. Zamanla oylar birikmektedir. Ve kimlik değiştiğinde, davranışı değiştirmek artık çaba gerektirmez — sadece kim olduğunla tutarlı davranmak olur.
$$Alışkanlık değiştirmenin en derin yolu davranıştan değil, kimlikten başlar.$$
&amp;&amp;Sen kendini nasıl tanımlıyorsun? "Kilo vermeye çalışıyorum" mu diyorsun, yoksa "sağlıklı biriyim" mi? O iki kelimelik fark, yıllar içinde hayatını nasıl şekillendirmiş olabilir?&amp;&amp;</x:v>
      </x:c>
      <x:c r="K3" s="37" t="str"/>
      <x:c r="L3" s="37" t="str"/>
      <x:c r="M3" s="37" t="str"/>
      <x:c r="N3" s="37" t="str"/>
      <x:c r="O3" s="37" t="str"/>
    </x:row>
    <x:row r="4" ht="20" customHeight="1">
      <x:c r="A4" s="33" t="n">
        <x:v>1061</x:v>
      </x:c>
      <x:c r="B4" s="34" t="str">
        <x:v>1</x:v>
      </x:c>
      <x:c r="C4" s="34" t="str">
        <x:v>Sağlık</x:v>
      </x:c>
      <x:c r="D4" s="34" t="str">
        <x:v>Alışkanlıklar</x:v>
      </x:c>
      <x:c r="E4" s="34" t="str">
        <x:v>Atomic Habits</x:v>
      </x:c>
      <x:c r="F4" s="34" t="str">
        <x:v>James Clear</x:v>
      </x:c>
      <x:c r="G4" s="34" t="str">
        <x:v>2018</x:v>
      </x:c>
      <x:c r="H4" s="37" t="str">
        <x:v>Fotoğraf öğrencilerinin kalite vs miktar deneyi</x:v>
      </x:c>
      <x:c r="I4" s="37" t="str">
        <x:v>Yüzlerce fotoğraf çeken miktar grubu, tek mükemmel kare peşinde koşan kalite grubundan çok daha iyi işler ortaya koydu.</x:v>
      </x:c>
      <x:c r="J4" s="37" t="str">
        <x:v>Bir fotoğraf hocası, dönem başında sınıfı ikiye böler.
Birinci gruba der ki: "Dönem sonunda bana yalnızca tek bir fotoğraf teslim edeceksiniz. Ama o fotoğraf mükemmel olmalı."
İkinci gruba der ki: "Dönem boyunca olabildiğince çok fotoğraf çekeceksiniz. Ben de kiloya göre not vereceğim."
Dönem sonunda hoca fotoğrafları inceler ve şaşırır.
##En iyi, en çarpıcı, en etkileyici fotoğrafların neredeyse tamamı "miktar" grubundan çıkmıştır.##
Neden? Çünkü kalite grubu vakit harcamadan mükemmel planını zihninde kurmuştur. Miktar grubu ise her gün çekmiş, her gün hata yapmış, her hatadan bir şeyler öğrenmiş ve zamanla gerçekten iyi olmaya başlamıştır.
$$Mükemmeliyetçilik çoğu zaman hareketsizliğin kibar adıdır.$$
&amp;&amp;Şu an "hazır olmadığın için" başlamadığın bir şey var mı? O şeyi yarın mükemmel değil, sadece "başlamış" olarak yapmaya başlarsan ne olur?&amp;&amp;</x:v>
      </x:c>
      <x:c r="K4" s="37" t="str"/>
      <x:c r="L4" s="37" t="str"/>
      <x:c r="M4" s="37" t="str"/>
      <x:c r="N4" s="37" t="str"/>
      <x:c r="O4" s="37" t="str"/>
    </x:row>
    <x:row r="5" ht="20" customHeight="1">
      <x:c r="A5" s="33" t="n">
        <x:v>1062</x:v>
      </x:c>
      <x:c r="B5" s="34" t="str">
        <x:v>1</x:v>
      </x:c>
      <x:c r="C5" s="34" t="str">
        <x:v>Sağlık</x:v>
      </x:c>
      <x:c r="D5" s="34" t="str">
        <x:v>Alışkanlıklar</x:v>
      </x:c>
      <x:c r="E5" s="34" t="str">
        <x:v>Atomic Habits</x:v>
      </x:c>
      <x:c r="F5" s="34" t="str">
        <x:v>James Clear</x:v>
      </x:c>
      <x:c r="G5" s="34" t="str">
        <x:v>2018</x:v>
      </x:c>
      <x:c r="H5" s="37" t="str">
        <x:v>Çevre tasarımı ile alışkanlık</x:v>
      </x:c>
      <x:c r="I5" s="37" t="str">
        <x:v>Bir araştırmacı, meyveleri buzdolabı yerine tezgaha koyunca sağlıklı beslenme alışkanlığını hiç çaba harcamadan edindi.</x:v>
      </x:c>
      <x:c r="J5" s="37" t="str">
        <x:v>Anne Thorndike, bir hastanenin diyetisyeniydi ve insanların hastane kafeteryasında neden bu kadar çok kola tükettiğini merak ediyordu.
Menüyü değiştirmedi. Fiyatları artırmadı. Sağlıklı seçimleri teşvik eden afişler asmadı.
Sadece şunu yaptı: Kolayı daha ulaşılmaz, suyu daha erişilebilir hale getirdi.
Kola makinelerinin yanına su koydu. Kasaların yanına su şişeleri yerleştirdi. Kafeteryayı yeniden düzenledi, sağlıklı içecekler daha görünür yerlere geldi.
##Üç ay sonra kafeteryada kola satışı yüzde on bir azaldı, su satışı yüzde yirmi beş arttı. Kimseye tek bir kelime söylenmemişti.##
James Clear bunu şöyle özetliyor: "Motivasyona güvenme. Ortamı tasarla."
Sağlıklı yemek istiyorsan meyveleri buzdolabının arkasına değil, gözünün önüne koy. Kitap okumak istiyorsan telefonu uzağa bırak, kitabı yastığının yanına koy.
$$Çevre, iraden olmasa bile doğru seçimi yapmanı sağlar.$$
&amp;&amp;Evinde ya da iş yerinde, seni kötü bir alışkanlığa yönlendiren bir nesne veya düzenleme var mı? O nesneyi ya da o düzenlemeyi bugün değiştirirsen ne değişir?&amp;&amp;</x:v>
      </x:c>
      <x:c r="K5" s="37" t="str"/>
      <x:c r="L5" s="37" t="str"/>
      <x:c r="M5" s="37" t="str"/>
      <x:c r="N5" s="37" t="str"/>
      <x:c r="O5" s="37" t="str"/>
    </x:row>
    <x:row r="6" ht="20" customHeight="1">
      <x:c r="A6" s="33" t="n">
        <x:v>1063</x:v>
      </x:c>
      <x:c r="B6" s="34" t="str">
        <x:v>1</x:v>
      </x:c>
      <x:c r="C6" s="34" t="str">
        <x:v>Sağlık</x:v>
      </x:c>
      <x:c r="D6" s="34" t="str">
        <x:v>Alışkanlıklar</x:v>
      </x:c>
      <x:c r="E6" s="34" t="str">
        <x:v>Atomic Habits</x:v>
      </x:c>
      <x:c r="F6" s="34" t="str">
        <x:v>James Clear</x:v>
      </x:c>
      <x:c r="G6" s="34" t="str">
        <x:v>2018</x:v>
      </x:c>
      <x:c r="H6" s="37" t="str">
        <x:v>İki dakika kuralı</x:v>
      </x:c>
      <x:c r="I6" s="37" t="str">
        <x:v>Koşuya başlamak için sadece spor ayakkabılarını giymeyi hedefleyen biri, çoğu zaman zaten koşuya çıktığını fark eder.</x:v>
      </x:c>
      <x:c r="J6" s="37" t="str">
        <x:v>James Clear bir soruyla başlıyor: Bir alışkanlığı neden başlatmak bu kadar zor?
Cevap: Beyin, eylemi başlatmak için gereken enerjiyi abartılı görüyor.
Bu yüzden Clear "İki Dakika Kuralı"nı geliştirdi: Her yeni alışkanlığı iki dakikadan kısa sürecek şekilde tanımla.
"Her gün 30 dakika koş" yerine → "koşu ayakkabılarımı giyin."
"Her gece meditasyon yap" yerine → "meditasyon minderi üzerine otur."
"Her gün kitap oku" yerine → "bir sayfa oku."
##Koşu ayakkabılarını giyen insan büyük ihtimalle dışarı çıkacaktır. Minderin üzerine oturan kişi büyük ihtimalle meditasyon yapacaktır.##
Alışkanlıkların kapısı küçüktür. Ama o kapıdan bir kez geçtikten sonra, yol kendiliğinden uzar.
$$Başlamak, devam etmekten çok daha zordur — ve iki dakika her şeyi başlatmaya yeter.$$
&amp;&amp;Uzun süredir ertelediğin bir alışkanlığı düşün. Onu "iki dakikalık" bir versiyona indirgersen nasıl görünür? Şimdi, bugün, o iki dakikayı yapar mısın?&amp;&amp;</x:v>
      </x:c>
      <x:c r="K6" s="37" t="str"/>
      <x:c r="L6" s="37" t="str"/>
      <x:c r="M6" s="37" t="str"/>
      <x:c r="N6" s="37" t="str"/>
      <x:c r="O6" s="37" t="str"/>
    </x:row>
    <x:row r="7" ht="20" customHeight="1">
      <x:c r="A7" s="33" t="n">
        <x:v>1064</x:v>
      </x:c>
      <x:c r="B7" s="34" t="str">
        <x:v>1</x:v>
      </x:c>
      <x:c r="C7" s="34" t="str">
        <x:v>Liderlik</x:v>
      </x:c>
      <x:c r="D7" s="34" t="str">
        <x:v>Liderlik</x:v>
      </x:c>
      <x:c r="E7" s="34" t="str">
        <x:v>Dürüst Olmak</x:v>
      </x:c>
      <x:c r="F7" s="34" t="str">
        <x:v>Kim Scott</x:v>
      </x:c>
      <x:c r="G7" s="34" t="str">
        <x:v>2017</x:v>
      </x:c>
      <x:c r="H7" s="37" t="str">
        <x:v>Google çalışanına verilen dürüst geri bildirim</x:v>
      </x:c>
      <x:c r="I7" s="37" t="str">
        <x:v>Kim Scott, bir sunumun ardından çalışanını 'harika iş' diyerek övmek yerine zayıf yönlerini açıkça söyledi ve bu dürüstlük o kişinin kariyerini dönüştürdü.</x:v>
      </x:c>
      <x:c r="J7" s="37" t="str">
        <x:v>Kim Scott, Google'da yönetici olarak çalışırken bir gün ekibinden biri önemli bir sunum yaptı.
Sunum bitti. Herkes alkışladı.
Scott da çalışanına teşekkür etti, güzel bir iş çıkardığını söyledi. Ama içinde bir şeyler onu rahatsız ediyordu — sunum gerçekten o kadar iyi değildi.
Sonra Google'ın kurucularından biri Scott'ı kenara çekti ve sordu: "Neden ona gerçeği söylemedin?"
Scott savunmaya geçti. Kurucu ise şöyle dedi:
##"Kim, iyi niyet yeterli değil. Eğer ona gerçeği söylemiyorsan, onu koruyormuşsun gibi görünüyorsun ama aslında büyümesini engelliyorsun."##
Bu an Scott'ın liderlik anlayışını temelden sarstı.
Gerçek ilgi, insanları rahatsız edici gerçeklerden korumak değil, onlara büyüme şansı vermektir. Sahte nezaket kısa vadede iyi hissettiren, uzun vadede zarar veren bir davranıştır.
$$Radikal dürüstlük: Doğrudan eleştir, ama bunu gerçekten önemsediğin için yap.$$
&amp;&amp;Hayatında, "zarar vermesin" diye gerçeği söylemediğin biri var mı? O kişiye söylemediğin şey ne — ve onu söylememek gerçekten ona yardım mı ediyor?&amp;&amp;</x:v>
      </x:c>
      <x:c r="K7" s="37" t="str"/>
      <x:c r="L7" s="37" t="str"/>
      <x:c r="M7" s="37" t="str"/>
      <x:c r="N7" s="37" t="str"/>
      <x:c r="O7" s="37" t="str"/>
    </x:row>
    <x:row r="8" ht="20" customHeight="1">
      <x:c r="A8" s="33" t="n">
        <x:v>1065</x:v>
      </x:c>
      <x:c r="B8" s="34" t="str">
        <x:v>1</x:v>
      </x:c>
      <x:c r="C8" s="34" t="str">
        <x:v>Liderlik</x:v>
      </x:c>
      <x:c r="D8" s="34" t="str">
        <x:v>Liderlik</x:v>
      </x:c>
      <x:c r="E8" s="34" t="str">
        <x:v>Dürüst Olmak</x:v>
      </x:c>
      <x:c r="F8" s="34" t="str">
        <x:v>Kim Scott</x:v>
      </x:c>
      <x:c r="G8" s="34" t="str">
        <x:v>2017</x:v>
      </x:c>
      <x:c r="H8" s="37" t="str">
        <x:v>Steve Jobs'ın yıkıcı eleştirisi</x:v>
      </x:c>
      <x:c r="I8" s="37" t="str">
        <x:v>Jobs bir çalışanına 'bu aptalca' dedi; yıkıcı görünen bu dürüstlük, çalışanı daha iyi iş yapmaya zorladı ve nihayetinde minnetle hatırlandı.</x:v>
      </x:c>
      <x:c r="J8" s="37" t="str">
        <x:v>1997. Steve Jobs Apple'a döndü ve şirketi kurtarmaya çalışıyordu.
Bir tasarım toplantısında genç bir mühendis aylarca üzerinde çalıştığı bir ürünü sundu. Sunum bitti.
Jobs bir an baktı ve şöyle dedi: "Bu berbat."
Odada sessizlik çöktü. Mühendis yıkılmıştı.
Ama Jobs devam etti. Neden berbat olduğunu adım adım açıkladı. Tasarımın neresinin işe yaramadığını, kullanıcının ne hissedeceğini, ürünün hangi sorunu gerçekten çözmesi gerektiğini anlattı.
##Yıllar sonra o mühendis şöyle dedi: "O gün hayatımın en zor anıydı. Ama aynı zamanda en çok öğrendiğim andı. Jobs beni umursamasaydı, hiçbir şey söylemezdi."##
Yıkıcı empati şudur: İnsanı korumak için gerçeği gizlemek. Kısa vadede nazik görünür, uzun vadede acımasızdır.
$$Jobs'ın sertliği, derin bir inancın yansımasıydı: Bu kişi daha iyisini yapabilir.$$
&amp;&amp;Sana en sert geribildirim veren kişiyi düşün. O an seni incitti mi? Geriye dönüp baktığında o dürüstlük sana ne kattı?&amp;&amp;</x:v>
      </x:c>
      <x:c r="K8" s="37" t="str"/>
      <x:c r="L8" s="37" t="str"/>
      <x:c r="M8" s="37" t="str"/>
      <x:c r="N8" s="37" t="str"/>
      <x:c r="O8" s="37" t="str"/>
    </x:row>
    <x:row r="9" ht="20" customHeight="1">
      <x:c r="A9" s="33" t="n">
        <x:v>1066</x:v>
      </x:c>
      <x:c r="B9" s="34" t="str">
        <x:v>1</x:v>
      </x:c>
      <x:c r="C9" s="34" t="str">
        <x:v>Liderlik</x:v>
      </x:c>
      <x:c r="D9" s="34" t="str">
        <x:v>Liderlik</x:v>
      </x:c>
      <x:c r="E9" s="34" t="str">
        <x:v>Dürüst Olmak</x:v>
      </x:c>
      <x:c r="F9" s="34" t="str">
        <x:v>Kim Scott</x:v>
      </x:c>
      <x:c r="G9" s="34" t="str">
        <x:v>2017</x:v>
      </x:c>
      <x:c r="H9" s="37" t="str">
        <x:v>Kötü haber veremeyen yöneticinin bedeli</x:v>
      </x:c>
      <x:c r="I9" s="37" t="str">
        <x:v>Bir yönetici, projenin başarısız olduğunu aylarca üstlerine söyleyemedi; geç gelen bu sessizlik, küçük bir düzeltmeyle çözülebilecek sorunu şirket krizine dönüştürdü.</x:v>
      </x:c>
      <x:c r="J9" s="37" t="str">
        <x:v>Büyük bir teknoloji şirketinde bir proje yöneticisi, altı aydır üzerinde çalışılan bir projenin çıkmaza girdiğini fark etmişti.
Veriler açıktı. Kullanıcılar ürünü beğenmiyordu. Teknik borç birikiyordu. Strateji değişmeden başarı gelmeyecekti.
Ama yönetici bunu üstlerine söyleyemedi.
"Belki düzelir," diye düşündü. Her hafta toplantıda "İlerliyoruz" dedi.
##Ta ki proje tamamen çöküp şirkete milyonlarca dolara mal olana kadar.##
Kim Scott bu tür yöneticileri "Yıkıcı Empati" tuzağına düşmüş olarak tanımlıyor. Kötü haber vermekten kaçınmak, nezaket değildir.
Erken söylenen bir kötü haber, küçük bir ders alınmasını sağlar. Geç söylenen kötü haber ise çoğu zaman felakete dönüşür.
$$Sessizlik bazen en pahalı karardır.$$
&amp;&amp;Şu an paylaşmaktan kaçındığın, "belki düzelir" diye ertelediğin bir durum var mı? O haberi bir hafta daha ertelemenin gerçek bedeli ne olabilir?&amp;&amp;</x:v>
      </x:c>
      <x:c r="K9" s="37" t="str"/>
      <x:c r="L9" s="37" t="str"/>
      <x:c r="M9" s="37" t="str"/>
      <x:c r="N9" s="37" t="str"/>
      <x:c r="O9" s="37" t="str"/>
    </x:row>
    <x:row r="10" ht="20" customHeight="1">
      <x:c r="A10" s="33" t="n">
        <x:v>1067</x:v>
      </x:c>
      <x:c r="B10" s="34" t="str">
        <x:v>1</x:v>
      </x:c>
      <x:c r="C10" s="34" t="str">
        <x:v>Verimlilik</x:v>
      </x:c>
      <x:c r="D10" s="34" t="str">
        <x:v>Verimlilik</x:v>
      </x:c>
      <x:c r="E10" s="34" t="str">
        <x:v>Şimdi Başla</x:v>
      </x:c>
      <x:c r="F10" s="34" t="str">
        <x:v>Neil Fiore</x:v>
      </x:c>
      <x:c r="G10" s="34" t="str">
        <x:v>1988</x:v>
      </x:c>
      <x:c r="H10" s="37" t="str">
        <x:v>Ertelemenin gerçek kökü: korku</x:v>
      </x:c>
      <x:c r="I10" s="37" t="str">
        <x:v>Neil Fiore, bir danışanının işi sürekli ertelemesinin tembelllik değil başarısızlık korkusu olduğunu keşfeder; bu farkındalık tek başına hayatını değiştirir.</x:v>
      </x:c>
      <x:c r="J10" s="37" t="str">
        <x:v>Neil Fiore, terapistliği boyunca onlarca "tembel" danışanla çalışmıştı.
Ama zamanla fark etti: Bunlar tembel insanlar değildi.
Bir danışanı vardı — zeki, yetenekli, iddialı bir genç. Ama doktora tezini aylardır yazamamıştı. Masasına her oturduğunda bir bahanesi çıkıyordu.
Fiore danışanına sordu: "Tezi bitirdiğinde ne olacak?"
Danışan düşündü ve itiraf etti:
##"Belki yeterince iyi olmayacak. Belki herkes benim aslında zannettikleri kadar zeki olmadığımı görecek."##
İşte gerçek neden buydu. Tembelllik değil, korku. Daha derinde bir şey: Ortaya koyduğun en iyi işin "yetmez" sayılma korkusu.
Ertelemek bir koruma mekanizmasıdır. "Elimden gelenin en iyisini yaptım ve başarısız oldum" demek çok acıtır. Ama "Gerçekten uğraşmadım zaten" demek daha az acıtır.
$$Ertelemek tembellik değil, başarısız görünme korkusunun zekice bir savunmasıdır.$$
&amp;&amp;Uzun süredir ertelediğin o şeyi düşün. Gerçekten "zamanın yok" mu, yoksa derinlerde bir yerde "yetmeyecek" korkusu mu var? O korku sana ne söylemeye çalışıyor?&amp;&amp;</x:v>
      </x:c>
      <x:c r="K10" s="37" t="str"/>
      <x:c r="L10" s="37" t="str"/>
      <x:c r="M10" s="37" t="str"/>
      <x:c r="N10" s="37" t="str"/>
      <x:c r="O10" s="37" t="str"/>
    </x:row>
    <x:row r="11" ht="20" customHeight="1">
      <x:c r="A11" s="33" t="n">
        <x:v>1068</x:v>
      </x:c>
      <x:c r="B11" s="34" t="str">
        <x:v>1</x:v>
      </x:c>
      <x:c r="C11" s="34" t="str">
        <x:v>Verimlilik</x:v>
      </x:c>
      <x:c r="D11" s="34" t="str">
        <x:v>Verimlilik</x:v>
      </x:c>
      <x:c r="E11" s="34" t="str">
        <x:v>Şimdi Başla</x:v>
      </x:c>
      <x:c r="F11" s="34" t="str">
        <x:v>Neil Fiore</x:v>
      </x:c>
      <x:c r="G11" s="34" t="str">
        <x:v>1988</x:v>
      </x:c>
      <x:c r="H11" s="37" t="str">
        <x:v>İtalyan ressam ve gevşeme paradoksu</x:v>
      </x:c>
      <x:c r="I11" s="37" t="str">
        <x:v>Çalışma saatlerini azaltıp daha fazla dinlenen bir ressam, eserlerinin kalitesinin arttığını fark etti; üretkenlik çoğu zaman daha az çabadan doğar.</x:v>
      </x:c>
      <x:c r="J11" s="37" t="str">
        <x:v>Fiore, kitabında bir İtalyan ressam hikayesi anlatır.
Ressam, her gün on iki saat çalışıyordu. Stüdyosundan çıkmıyordu. Ama eserlerinden memnun değildi. Her geçen ay daha da tükeniyordu.
Bir gün Fiore ile konuştu. Fiore ona garip bir şey önerdi: "Bu hafta hiç çalışma. Sadece dinlen, gez, hayatın tadını çıkar."
Ressam itiraz etti. Fiore ısrar etti. Ressam denedi.
Bir hafta sonra ressam şaşkınlıkla döndü:
##"Gezintide aklıma o kadar çok fikir geldi ki not almaya yetişemedim. Stüdyoda oturduğumda hiçbir şey gelmiyordu."##
Beyin, baskı altında yaratıcılığını kaybeder. En iyi fikirler genellikle duş alırken, yürüyüşte ya da uyku öncesinde gelir.
Fiore buna "Yapılandırılmış Oyun Zamanı" der. Verimlilik sadece çalışma saatlerini doldurmak değildir.
$$Asıl verimlilik, zihnin nefes almasına izin vermektir.$$
&amp;&amp;Son ne zaman tamamen "boş" bir gün geçirdin — hiçbir şey üretmeden, sadece var olarak? O boşlukta ne hissettin ya da ne buldun?&amp;&amp;</x:v>
      </x:c>
      <x:c r="K11" s="37" t="str"/>
      <x:c r="L11" s="37" t="str"/>
      <x:c r="M11" s="37" t="str"/>
      <x:c r="N11" s="37" t="str"/>
      <x:c r="O11" s="37" t="str"/>
    </x:row>
    <x:row r="12" ht="20" customHeight="1">
      <x:c r="A12" s="33" t="n">
        <x:v>1069</x:v>
      </x:c>
      <x:c r="B12" s="34" t="str">
        <x:v>1</x:v>
      </x:c>
      <x:c r="C12" s="34" t="str">
        <x:v>Verimlilik</x:v>
      </x:c>
      <x:c r="D12" s="34" t="str">
        <x:v>Verimlilik</x:v>
      </x:c>
      <x:c r="E12" s="34" t="str">
        <x:v>Şimdi Başla</x:v>
      </x:c>
      <x:c r="F12" s="34" t="str">
        <x:v>Neil Fiore</x:v>
      </x:c>
      <x:c r="G12" s="34" t="str">
        <x:v>1988</x:v>
      </x:c>
      <x:c r="H12" s="37" t="str">
        <x:v>Karşı konulmaz bir güç olarak 'şimdi'</x:v>
      </x:c>
      <x:c r="I12" s="37" t="str">
        <x:v>Fiore, bir öğrencinin tez yazımını sürekli ertelemesini, işi büyütüp mükemmeliyetçilikle içinden çıkılmaz hale getirmesinin doğrudan sonucu olarak gösterir.</x:v>
      </x:c>
      <x:c r="J12" s="37" t="str">
        <x:v>Sarah, beş yıldır doktora tezini yazıyordu.
Aslında tezi "yazıyordu" demek doğru değildi. Tezini yazmayı planlamak için araştırma yapıyor, araştırma yapmak için kaynak topluyor, kaynak toplamak için liste hazırlıyordu.
Her şey mükemmel olmalıydı. Hata yapamazdı.
Neil Fiore Sarah'yı dinledi ve şunu fark etti: Sarah tezi yazmıyordu, tezden kaçıyordu.
Fiore Sarah'ya bir egzersiz verdi: "Sadece yarın sabah 9'da, 30 dakika boyunca, mükemmel olmasını beklemeden yaz. İstersen çöp olsun."
Sarah denedi.
##30 dakika içinde iki sayfa yazdı. Bu, beş yılda yazdığı toplam miktarın yarısıydı.##
Mükemmeliyetçilik, üretkenliğin düşmanıdır. "Şimdi başla, sonra düzelt" yaklaşımı her zaman "mükemmel olunca başla" yaklaşımını yener.
$$Mükemmel an hiç gelmez. Ama şimdi, her zaman burada.$$
&amp;&amp;Beş yıl sonra geriye baktığında, bugün başlamamanın en büyük pişmanlığın olmasını ister misin? Şu an, sadece 30 dakika için, neyi başlatabilirsin?&amp;&amp;</x:v>
      </x:c>
      <x:c r="K12" s="37" t="str"/>
      <x:c r="L12" s="37" t="str"/>
      <x:c r="M12" s="37" t="str"/>
      <x:c r="N12" s="37" t="str"/>
      <x:c r="O12" s="37" t="str"/>
    </x:row>
    <x:row r="13" ht="20" customHeight="1">
      <x:c r="A13" s="33" t="n">
        <x:v>1070</x:v>
      </x:c>
      <x:c r="B13" s="34" t="str">
        <x:v>1</x:v>
      </x:c>
      <x:c r="C13" s="34" t="str">
        <x:v>Verimlilik</x:v>
      </x:c>
      <x:c r="D13" s="34" t="str">
        <x:v>Verimlilik</x:v>
      </x:c>
      <x:c r="E13" s="34" t="str">
        <x:v>Derin Çalışma</x:v>
      </x:c>
      <x:c r="F13" s="34" t="str">
        <x:v>Cal Newport</x:v>
      </x:c>
      <x:c r="G13" s="34" t="str">
        <x:v>2016</x:v>
      </x:c>
      <x:c r="H13" s="37" t="str">
        <x:v>Carl Jung'un taş kulesi inzivası</x:v>
      </x:c>
      <x:c r="I13" s="37" t="str">
        <x:v>Jung, her yıl İsviçre'deki kulübesine çekilir, telefonsuz ve ziyaretçisiz çalışarak en derin fikirlerini yalnızca orada üretirdi.</x:v>
      </x:c>
      <x:c r="J13" s="37" t="str">
        <x:v>Carl Jung, dünyanın en ünlü psikologlarından biriydi. Zürih'te kalabalık bir danışan kitlesi, konferanslar, kitaplar, toplantılar...
Ama Jung her yıl düzenli olarak tüm bunları bırakıyordu.
İsviçre'nin Bollingen köyünde, kendi eliyle inşa ettiği taş kule vardı. Elektrik yoktu. Telefon yoktu. Ziyaretçi yoktu.
Jung burada günlerce, bazen haftalarca kalırdı. Odun keser, yemek pişirir, düşünürdü.
##"Kulede olmak bana dünyanın hiçbir yerinde veremeyeceği bir şey veriyor," diyordu Jung. "Sessizlik içinde gerçek sorularla yüzleşiyorum."##
Jung'un en derin fikirleri, en önemli teorileri hep bu inzivalar sırasında doğdu.
Cal Newport şöyle yorumluyor: Büyük zihinler her zaman derin çalışma için kasıtlı bir alan yaratmıştır. Sürekli ulaşılabilir olmak, sürekli meşgul olmak demektir.
$$Meşgul olmak ile üretken olmak çok farklı şeylerdir — gerçek düşünce, sessizlik ister.$$
&amp;&amp;Senin "taş kuleni" nerede kurardın? Tüm bildirimleri, toplantıları ve beklentileri bir kenara koyup sadece düşünmek için bir gün ayırsaydın, o günde ne ortaya çıkardı?&amp;&amp;</x:v>
      </x:c>
      <x:c r="K13" s="37" t="str"/>
      <x:c r="L13" s="37" t="str"/>
      <x:c r="M13" s="37" t="str"/>
      <x:c r="N13" s="37" t="str"/>
      <x:c r="O13" s="37" t="str"/>
    </x:row>
    <x:row r="14" ht="20" customHeight="1">
      <x:c r="A14" s="33" t="n">
        <x:v>1071</x:v>
      </x:c>
      <x:c r="B14" s="34" t="str">
        <x:v>1</x:v>
      </x:c>
      <x:c r="C14" s="34" t="str">
        <x:v>Verimlilik</x:v>
      </x:c>
      <x:c r="D14" s="34" t="str">
        <x:v>Verimlilik</x:v>
      </x:c>
      <x:c r="E14" s="34" t="str">
        <x:v>Derin Çalışma</x:v>
      </x:c>
      <x:c r="F14" s="34" t="str">
        <x:v>Cal Newport</x:v>
      </x:c>
      <x:c r="G14" s="34" t="str">
        <x:v>2016</x:v>
      </x:c>
      <x:c r="H14" s="37" t="str">
        <x:v>Adam Grant'in toplu e-posta stratejisi</x:v>
      </x:c>
      <x:c r="I14" s="37" t="str">
        <x:v>Wharton profesörü Grant, e-postalarını toplu yanıtlayarak derin çalışma için büyük bloklar oluşturdu ve akademik verimliliğini ikiye katladı.</x:v>
      </x:c>
      <x:c r="J14" s="37" t="str">
        <x:v>Adam Grant, Wharton İşletme Okulu'nun en genç "tam profesörü" unvanını almış bir akademisyendi.
Ve herkese yardım etmeyi seven biriydi. Her e-postaya cevap veriyordu. Her soruya yanıt yazıyordu.
Sonra bir gün fark etti: Zamanının büyük çoğunluğunu e-postalara harcıyor, asıl işine yeterince vakit ayıramıyordu.
Grant bir deney yaptı: E-postaları tek tek yanıtlamak yerine, hepsini haftada bir veya iki kez toplu olarak yanıtlamaya başladı.
##Sonuç? Akademik verimliliği ikiye katladı. Üstelik e-postalara verdiği yanıtların kalitesi de arttı.##
Cal Newport bu yaklaşıma "toplu işlem" diyor. Benzer görevleri bir araya toplayarak her birini ayrı ayrı yapmaktan çok daha verimli hale getirebilirsin.
Her bildirime anında tepki vermek meşgul hissettirir.
$$Ama bu his, üretkenlikle aynı şey değildir.$$
&amp;&amp;Günün kaç saatini reaktif görevlere — e-posta, mesaj, bildirim — harcıyorsun? O süreyi tek bir bloğa toplarsan, geriye kalan zamanda ne yapardın?&amp;&amp;</x:v>
      </x:c>
      <x:c r="K14" s="37" t="str"/>
      <x:c r="L14" s="37" t="str"/>
      <x:c r="M14" s="37" t="str"/>
      <x:c r="N14" s="37" t="str"/>
      <x:c r="O14" s="37" t="str"/>
    </x:row>
    <x:row r="15" ht="20" customHeight="1">
      <x:c r="A15" s="33" t="n">
        <x:v>1072</x:v>
      </x:c>
      <x:c r="B15" s="34" t="str">
        <x:v>1</x:v>
      </x:c>
      <x:c r="C15" s="34" t="str">
        <x:v>Verimlilik</x:v>
      </x:c>
      <x:c r="D15" s="34" t="str">
        <x:v>Verimlilik</x:v>
      </x:c>
      <x:c r="E15" s="34" t="str">
        <x:v>Derin Çalışma</x:v>
      </x:c>
      <x:c r="F15" s="34" t="str">
        <x:v>Cal Newport</x:v>
      </x:c>
      <x:c r="G15" s="34" t="str">
        <x:v>2016</x:v>
      </x:c>
      <x:c r="H15" s="37" t="str">
        <x:v>J.K. Rowling'in otel odası sırrı</x:v>
      </x:c>
      <x:c r="I15" s="37" t="str">
        <x:v>Rowling, Harry Potter serisini tamamlamak için yalnızca derin çalışma yapabileceği bir otel odasına kapandı ve en az dikkat dağıtan ortamı kasıtlı olarak seçti.</x:v>
      </x:c>
      <x:c r="J15" s="37" t="str">
        <x:v>2007 yılı. J.K. Rowling, Harry Potter serisinin son kitabını yazmaya çalışıyordu.
Ama evde yazamıyordu. Telefon çalıyordu. Kapı zili çalıyordu. Çocuklar vardı. Her köşede bir dikkat dağıtıcı vardı.
Rowling alışılmadık bir karar aldı: Edinburgh'daki Balmoral Oteli'ne yerleşti.
Otelde Wi-Fi kullanmıyordu. Telefonu kapatıyordu. Sabah kahvaltısını alıyor, odaya kapanıyor ve yazıyordu.
##Günde sekiz, on saat kesintisiz yazıyordu. Yıllarca süren bir serinin son kitabı böyle tamamlandı.##
Cal Newport şöyle değerlendiriyor: Rowling'in yeteneği evde de aynıydı. Ama yeteneğin ortaya çıkması için doğru ortam gerekiyordu.
Derin çalışma tesadüfen olmaz. Kasıtlı olarak tasarlanır.
$$En iyi çalışman, en az dikkat dağıtıcı ortamında yapılır.$$
&amp;&amp;Senin en iyi işini çıkardığın ortam nasıldı? O ortamı bugün kasıtlı olarak yeniden yaratmak için ne yapman gerekir?&amp;&amp;</x:v>
      </x:c>
      <x:c r="K15" s="37" t="str"/>
      <x:c r="L15" s="37" t="str"/>
      <x:c r="M15" s="37" t="str"/>
      <x:c r="N15" s="37" t="str"/>
      <x:c r="O15" s="37" t="str"/>
    </x:row>
    <x:row r="16" ht="20" customHeight="1">
      <x:c r="A16" s="33" t="n">
        <x:v>1073</x:v>
      </x:c>
      <x:c r="B16" s="34" t="str">
        <x:v>1</x:v>
      </x:c>
      <x:c r="C16" s="34" t="str">
        <x:v>Verimlilik</x:v>
      </x:c>
      <x:c r="D16" s="34" t="str">
        <x:v>Verimlilik</x:v>
      </x:c>
      <x:c r="E16" s="34" t="str">
        <x:v>Derin Çalışma</x:v>
      </x:c>
      <x:c r="F16" s="34" t="str">
        <x:v>Cal Newport</x:v>
      </x:c>
      <x:c r="G16" s="34" t="str">
        <x:v>2016</x:v>
      </x:c>
      <x:c r="H16" s="37" t="str">
        <x:v>Newport'un sosyal medyasız akademik kariyeri</x:v>
      </x:c>
      <x:c r="I16" s="37" t="str">
        <x:v>Cal Newport, sosyal medya hesabı açmadan akademide üst sıralara çıktı; bu, derin çalışmanın sığ dikkat çekme stratejilerini her zaman geçtiğini kanıtlar.</x:v>
      </x:c>
      <x:c r="J16" s="37" t="str">
        <x:v>Cal Newport bir akademisyen ve yazar. Ama 2016'da bir kitap yazdığında insanlar şaştı.
Kitabın adı "Derin Çalışma"ydı ve sosyal medyanın üretkenliği yok ettiğini anlatıyordu.
Gazeteciler Newport'u aramaya başladı. Sosyal medya hesabını bulmak istediler.
Yoktu. Twitter hesabı yoktu. Facebook yoktu. Instagram yoktu. Hiçbiri.
##Newport şöyle açıkladı: "Akademik kariyerimde sosyal medyaya hiç ihtiyaç duymadım. Dikkatimi bölecek her şeyden uzak durdum ve bu sayede gerçekten önemli olan işe odaklanabildim."##
Newport, Georgetown Üniversitesi'nde bilgisayar bilimleri profesörü. Aynı zamanda milyonlarca okuyucuya ulaşan bir yazar. Sosyal medya olmadan.
$$"Herkes kullanıyor" argümanı, bir şeyin senin için gerekli olduğu anlamına gelmez.$$
&amp;&amp;Hangi dijital alışkanlığın gerçekten seni ilerletiyor, hangisi sadece seni meşgul ediyor? O ikisini ayırt edebilseydin, gününü nasıl farklı geçirirdin?&amp;&amp;</x:v>
      </x:c>
      <x:c r="K16" s="37" t="str"/>
      <x:c r="L16" s="37" t="str"/>
      <x:c r="M16" s="37" t="str"/>
      <x:c r="N16" s="37" t="str"/>
      <x:c r="O16" s="37" t="str"/>
    </x:row>
    <x:row r="17" ht="20" customHeight="1">
      <x:c r="A17" s="33" t="n">
        <x:v>1074</x:v>
      </x:c>
      <x:c r="B17" s="34" t="str">
        <x:v>1</x:v>
      </x:c>
      <x:c r="C17" s="34" t="str">
        <x:v>Büyüme</x:v>
      </x:c>
      <x:c r="D17" s="34" t="str">
        <x:v>Motivasyon</x:v>
      </x:c>
      <x:c r="E17" s="34" t="str">
        <x:v>Düşün ve Zengin Ol</x:v>
      </x:c>
      <x:c r="F17" s="34" t="str">
        <x:v>Napoleon Hill</x:v>
      </x:c>
      <x:c r="G17" s="34" t="str">
        <x:v>1937</x:v>
      </x:c>
      <x:c r="H17" s="37" t="str">
        <x:v>Andrew Carnegie'nin çelik imparatorluğu</x:v>
      </x:c>
      <x:c r="I17" s="37" t="str">
        <x:v>Carnegie yoksulluktan dünyanın en zengin adamına dönüşme yolculuğunu, zihinsel odaklanmanın ve net hedefler belirlemenin gücüyle açıkladı.</x:v>
      </x:c>
      <x:c r="J17" s="37" t="str">
        <x:v>1848. On üç yaşında bir İskoç çocuğu ailesiyle birlikte Amerika'ya göç etti. Cebinde beş sent bile yoktu.
Adı Andrew Carnegie'ydi.
Carnegie önce pamuk fabrikasında çalıştı. Sonra telgraf operatörü oldu. Sonra demiryollarında çalıştı. Her adımda daha fazlasını öğrendi, daha fazlasını gözlemledi.
Ve sürekli şunu sordu kendine: "İnsanların en çok ihtiyaç duyacağı şey ne olacak?"
##Cevabı buldu: Çelik. Tüm birikimini, tüm enerjisini çeliğe yatırdı. 1901'de şirketini 480 milyon dolara sattı — bugünün parasıyla yaklaşık 14 milyar dolar.##
Napoleon Hill bu hikayeyi şöyle özetliyor: Carnegie'nin başarısının sırrı ne zeka, ne şans, ne de ayrıcalıktı.
$$Tek bir net hedef belirleme ve o hedeften asla vazgeçmeme kararlılığıydı.$$
&amp;&amp;Eğer tüm dikkat dağıtıcıları bir kenara bırakıp yalnızca tek bir şeye odaklanacak olsaydın, o şey ne olurdu? Ve şu an o şeye ne kadar zaman ayırıyorsun?&amp;&amp;</x:v>
      </x:c>
      <x:c r="K17" s="37" t="str"/>
      <x:c r="L17" s="37" t="str"/>
      <x:c r="M17" s="37" t="str"/>
      <x:c r="N17" s="37" t="str"/>
      <x:c r="O17" s="37" t="str"/>
    </x:row>
    <x:row r="18" ht="20" customHeight="1">
      <x:c r="A18" s="33" t="n">
        <x:v>1075</x:v>
      </x:c>
      <x:c r="B18" s="34" t="str">
        <x:v>1</x:v>
      </x:c>
      <x:c r="C18" s="34" t="str">
        <x:v>Büyüme</x:v>
      </x:c>
      <x:c r="D18" s="34" t="str">
        <x:v>Motivasyon</x:v>
      </x:c>
      <x:c r="E18" s="34" t="str">
        <x:v>Düşün ve Zengin Ol</x:v>
      </x:c>
      <x:c r="F18" s="34" t="str">
        <x:v>Napoleon Hill</x:v>
      </x:c>
      <x:c r="G18" s="34" t="str">
        <x:v>1937</x:v>
      </x:c>
      <x:c r="H18" s="37" t="str">
        <x:v>Edison'ın 10.000 başarısızlığı</x:v>
      </x:c>
      <x:c r="I18" s="37" t="str">
        <x:v>Edison ampulü icat etmeden önce 10.000 kez başarısız olduğunu söyledi; bu inat, ısrarın en güçlü silah olduğunu kanıtlar.</x:v>
      </x:c>
      <x:c r="J18" s="37" t="str">
        <x:v>Bir gazeteci Thomas Edison'a sordu: "Bay Edison, ampulü icat etmeden önce 10.000 kez başarısız oldunuz. Bu kadar başarısızlık karşısında nasıl devam edebildiniz?"
Edison güldü ve şöyle dedi:
##"Ben hiç başarısız olmadım. Sadece ampulün 10.000 çalışmayan yolunu keşfettim."##
Bu cevap kulağa klişe gelebilir. Ama Edison'ın hayatına baktığında bunun gerçek olduğunu görürsün.
Edison bir deneyi bitirdiğinde not defterine sadece sonucu değil, neden işe yaramadığını da yazardı. Her başarısızlık, bir sonraki denemenin daha iyi olmasını sağlayan bilgiye dönüşürdü.
Ampul icat edildiğinde Edison'ın not defterinde binlerce başarısız deney vardı. Ama o notlar olmadan ampul de olmazdı.
$$Başarısızlık, başarının karşıtı değildir — başarıya giden yolun kendisidir.$$
&amp;&amp;En son "başarısız olduğun" şeyi düşün. O deneyimden öğrendiğin bir şeyi Edison gibi bir deftere yazsaydın, ne yazardın?&amp;&amp;</x:v>
      </x:c>
      <x:c r="K18" s="37" t="str"/>
      <x:c r="L18" s="37" t="str"/>
      <x:c r="M18" s="37" t="str"/>
      <x:c r="N18" s="37" t="str"/>
      <x:c r="O18" s="37" t="str"/>
    </x:row>
    <x:row r="19" ht="20" customHeight="1">
      <x:c r="A19" s="33" t="n">
        <x:v>1076</x:v>
      </x:c>
      <x:c r="B19" s="34" t="str">
        <x:v>1</x:v>
      </x:c>
      <x:c r="C19" s="34" t="str">
        <x:v>Büyüme</x:v>
      </x:c>
      <x:c r="D19" s="34" t="str">
        <x:v>Motivasyon</x:v>
      </x:c>
      <x:c r="E19" s="34" t="str">
        <x:v>Düşün ve Zengin Ol</x:v>
      </x:c>
      <x:c r="F19" s="34" t="str">
        <x:v>Napoleon Hill</x:v>
      </x:c>
      <x:c r="G19" s="34" t="str">
        <x:v>1937</x:v>
      </x:c>
      <x:c r="H19" s="37" t="str">
        <x:v>Barnes'ın Edison ortaklığı hayali</x:v>
      </x:c>
      <x:c r="I19" s="37" t="str">
        <x:v>Edwin Barnes, Edison ile ortak olmak için parasız ve tanınmaz halde New Jersey'e geldi; yıllar içinde hayalini gerçeğe dönüştürdü çünkü hiç vazgeçmedi.</x:v>
      </x:c>
      <x:c r="J19" s="37" t="str">
        <x:v>Edwin Barnes, 1905 yılında bir hayalle uyandı: Thomas Edison ile iş ortağı olmak istiyordu.
Ama elinde hiçbir şey yoktu. Para yoktu. Bağlantı yoktu. Edison ile tanışıklık yoktu.
Yine de New Jersey'e gitti. Trenle değil, yük vagonuyla — çünkü trene parası yoktu.
Edison'ın ofisine girdi ve dedi ki: "Sizinle iş ortağı olmak istiyorum."
##Edison, etrafındakilerin güldüğünü fark etti. Ama Barnes'ın gözlerinde bir şey gördü. Ve onu kapıcı olarak işe aldı.##
Barnes beş yıl boyunca en küçük işleri yaptı. Ama hiç aklından çıkarmadı hedefini. Sonunda fırsat geldi, onu değerlendirdi ve Edison ile gerçek bir ortaklık kurdu.
Napoleon Hill bu hikayede şunu görüyor: Barnes para ya da bağlantıyla değil, sarsılmaz bir kararla başladı.
$$Hedef net olduğunda, yol kendiliğinden belirir.$$
&amp;&amp;Şu an "bunun için yeterli kaynağım yok" diye vazgeçtiğin bir hayalin var mı? Barnes'ın yerinde olsaydın, sahip olmadıklarına rağmen ilk adım olarak ne yapardın?&amp;&amp;</x:v>
      </x:c>
      <x:c r="K19" s="37" t="str"/>
      <x:c r="L19" s="37" t="str"/>
      <x:c r="M19" s="37" t="str"/>
      <x:c r="N19" s="37" t="str"/>
      <x:c r="O19" s="37" t="str"/>
    </x:row>
    <x:row r="20" ht="20" customHeight="1">
      <x:c r="A20" s="33" t="n">
        <x:v>1077</x:v>
      </x:c>
      <x:c r="B20" s="34" t="str">
        <x:v>1</x:v>
      </x:c>
      <x:c r="C20" s="34" t="str">
        <x:v>Büyüme</x:v>
      </x:c>
      <x:c r="D20" s="34" t="str">
        <x:v>Motivasyon</x:v>
      </x:c>
      <x:c r="E20" s="34" t="str">
        <x:v>Düşün ve Zengin Ol</x:v>
      </x:c>
      <x:c r="F20" s="34" t="str">
        <x:v>Napoleon Hill</x:v>
      </x:c>
      <x:c r="G20" s="34" t="str">
        <x:v>1937</x:v>
      </x:c>
      <x:c r="H20" s="37" t="str">
        <x:v>500 dolarlık karar</x:v>
      </x:c>
      <x:c r="I20" s="37" t="str">
        <x:v>Hill, bir adamın 500 dolarlık bir fikri için her şeyi feda etmesini anlatır; o fikre duyulan sarsılmaz inanç, yoktan bir servet yarattı.</x:v>
      </x:c>
      <x:c r="J20" s="37" t="str">
        <x:v>Napoleon Hill, kitabında gerçek bir adamı anlatır.
Adam, 500 dolarlık küçük bir sermayeyle büyük bir iş fikri geliştirmişti. Ama çevresindeki herkes onu deli ilan etti. "Bu işe yaramaz," dediler. "Böyle bir şeye kim para verir?"
Adam dinlemedi.
##Tüm birikimini o 500 dolara yatırdı. Ailesinin tepkisini göze aldı. Arkadaşlarının alaylarına katlandı. Ve işe başladı. Yıllar içinde o 500 dolarlık fikir, milyonlarca dolarlık bir işe dönüştü.##
Hill bu hikayeyi anlatırken şunu vurguluyor: Paranın miktarı değil, fikre duyulan inanç belirleyiciydi.
Çoğu insan büyük fikirleri hayata geçirmiyor çünkü çevresinin şüphesi, kendi inancından daha güçlü geliyor.
$$Tarih boyunca tüm büyük buluşlar, başlangıçta "bu işe yaramaz" denilen fikirlerden doğdu.$$
&amp;&amp;Sende hâlâ hayatta tuttuğun, ama çevrenin şüphesi yüzünden sesini kıstığın bir fikir var mı? O fikri sadece bir kişiye — gerçekten güvendiğin birine — anlatsaydın ne olurdu?&amp;&amp;</x:v>
      </x:c>
      <x:c r="K20" s="37" t="str"/>
      <x:c r="L20" s="37" t="str"/>
      <x:c r="M20" s="37" t="str"/>
      <x:c r="N20" s="37" t="str"/>
      <x:c r="O20" s="37" t="str"/>
    </x:row>
    <x:row r="21" ht="20" customHeight="1">
      <x:c r="A21" s="33" t="n">
        <x:v>1078</x:v>
      </x:c>
      <x:c r="B21" s="34" t="str">
        <x:v>1</x:v>
      </x:c>
      <x:c r="C21" s="34" t="str">
        <x:v>Psikoloji</x:v>
      </x:c>
      <x:c r="D21" s="34" t="str">
        <x:v>Psikoloji</x:v>
      </x:c>
      <x:c r="E21" s="34" t="str">
        <x:v>Influence</x:v>
      </x:c>
      <x:c r="F21" s="34" t="str">
        <x:v>Robert Cialdini</x:v>
      </x:c>
      <x:c r="G21" s="34" t="str">
        <x:v>1984</x:v>
      </x:c>
      <x:c r="H21" s="37" t="str">
        <x:v>Kapıya ayak koyma tekniği</x:v>
      </x:c>
      <x:c r="I21" s="37" t="str">
        <x:v>Küçük bir isteği kabul eden insanlar, sonrasında gelen büyük isteği de reddetmekte zorlanır.</x:v>
      </x:c>
      <x:c r="J21" s="37" t="str">
        <x:v>1960'larda iki psikolog kapı kapı dolaşarak bir deney yaptı.
Bir gruba doğrudan büyük bir istekle gittiler: "Evinizin ön bahçesine büyük bir trafik güvenliği levhası asar mısınız?" İnsanların yüzde sekseninden fazlası reddetti.
Ama ikinci grupta farklı bir yaklaşım denediler. Önce küçük bir istekle geldiler: "Pencerenize küçük bir trafik stikeri asar mısınız?" Neredeyse herkes kabul etti.
Birkaç hafta sonra aynı kişilere büyük levha isteğiyle döndüler.
##Bu sefer büyük levhayı kabul edenlerin oranı yüzde yetmişi geçti.##
Aralarındaki tek fark, küçük bir "evet"ti.
Robert Cialdini bu fenomeni "Kapıya Ayak Koyma Tekniği" olarak adlandırıyor. İnsanlar bir kez evet dediklerinde, kendileriyle tutarlı olmak için bir sonraki isteği de kabul etme eğilimi gösteriyor.
Çünkü kimse kendini tutarsız görmek istemiyor. "Ben bu tür insanlara yardım eden biriyim" kimliği bir kez oluştu mu, davranışlar o kimliği korumaya başlıyor.
$$Bir kez verilen küçük "evet", sonraki büyük "evet"in kapısını aralar.$$
&amp;&amp;Hayatında farkında olmadan küçük bir "evet" verip sonra büyük bir şeye sürüklendiğin bir an oldu mu? O an seni nereye götürdü?&amp;&amp;</x:v>
      </x:c>
      <x:c r="K21" s="37" t="str"/>
      <x:c r="L21" s="37" t="str"/>
      <x:c r="M21" s="37" t="str"/>
      <x:c r="N21" s="37" t="str"/>
      <x:c r="O21" s="37" t="str"/>
    </x:row>
    <x:row r="22" ht="20" customHeight="1">
      <x:c r="A22" s="33" t="n">
        <x:v>1079</x:v>
      </x:c>
      <x:c r="B22" s="34" t="str">
        <x:v>1</x:v>
      </x:c>
      <x:c r="C22" s="34" t="str">
        <x:v>Psikoloji</x:v>
      </x:c>
      <x:c r="D22" s="34" t="str">
        <x:v>Psikoloji</x:v>
      </x:c>
      <x:c r="E22" s="34" t="str">
        <x:v>Influence</x:v>
      </x:c>
      <x:c r="F22" s="34" t="str">
        <x:v>Robert Cialdini</x:v>
      </x:c>
      <x:c r="G22" s="34" t="str">
        <x:v>1984</x:v>
      </x:c>
      <x:c r="H22" s="37" t="str">
        <x:v>Restoran garsonunun bahşiş sırrı</x:v>
      </x:c>
      <x:c r="I22" s="37" t="str">
        <x:v>Siparişle birlikte şeker ikram eden garsonların bahşişi dramatik biçimde arttı — karşılıklılık ilkesinin gücü.</x:v>
      </x:c>
      <x:c r="J22" s="37" t="str">
        <x:v>Bir restoranı düşün. Her masada aynı yemekler, aynı servis kalitesi, aynı atmosfer.
Ama bir garson diğerlerinden her ay yüzde otuz daha fazla bahşiş alıyordu.
Sırrı neydi?
Araştırmacılar yakından inceledi. Garson her hesabı getirirken yanına küçük bir şeker koyuyordu. Bu kadar.
Daha da ilginç olanı şuydu: Garson şekeri bırakıp uzaklaşacağı sırada geri dönüp "Siz gerçekten çok iyi bir masaydınız, size bir tane daha bırakayım" diyordu.
##Bu basit jest, bahşişi yüzde yirmi beş oranında artırdı.##
Cialdini buna "Karşılıklılık İlkesi" diyor. İnsanlar kendilerine bir şey verildiğinde, karşılık verme ihtiyacı duyuyor. Bu bilinçli bir karar değil — evrimsel bir refleks.
Ama işin ilginç yanı şu: Hediye ne kadar kişiselleştirilmiş ve beklenmedik olursa, etkisi o kadar güçlü oluyor. Garsonun "siz özelsiniz" mesajı, şekerin parasal değerinden çok daha değerliydi.
$$İnsanlar para hesabı yapmaz; nasıl hissettirdiğini hatırlarlar.$$
&amp;&amp;Birine küçük ama beklenmedik bir jest yapsaydın — bir not, bir teşekkür, küçük bir sürpriz — bu onun sana bakışını nasıl değiştirirdi?&amp;&amp;</x:v>
      </x:c>
      <x:c r="K22" s="37" t="str"/>
      <x:c r="L22" s="37" t="str"/>
      <x:c r="M22" s="37" t="str"/>
      <x:c r="N22" s="37" t="str"/>
      <x:c r="O22" s="37" t="str"/>
    </x:row>
    <x:row r="23" ht="20" customHeight="1">
      <x:c r="A23" s="33" t="n">
        <x:v>1080</x:v>
      </x:c>
      <x:c r="B23" s="34" t="str">
        <x:v>1</x:v>
      </x:c>
      <x:c r="C23" s="34" t="str">
        <x:v>Psikoloji</x:v>
      </x:c>
      <x:c r="D23" s="34" t="str">
        <x:v>Psikoloji</x:v>
      </x:c>
      <x:c r="E23" s="34" t="str">
        <x:v>Influence</x:v>
      </x:c>
      <x:c r="F23" s="34" t="str">
        <x:v>Robert Cialdini</x:v>
      </x:c>
      <x:c r="G23" s="34" t="str">
        <x:v>1984</x:v>
      </x:c>
      <x:c r="H23" s="37" t="str">
        <x:v>Sosyal kanıt ve otel havluları</x:v>
      </x:c>
      <x:c r="I23" s="37" t="str">
        <x:v>"Misafirlerin yüzde yetmiş beşi havlularını yeniden kullanıyor" yazısı, havlu kullanımını tek başına azalttı.</x:v>
      </x:c>
      <x:c r="J23" s="37" t="str">
        <x:v>Bir otel zinciri çevre dostu olmak istiyordu. Misafirlerin havlularını birden fazla kez kullanmalarını teşvik etmek için banyo aynalarına mesajlar astı.
İlk mesaj klasikti: "Lütfen havlunuzu yeniden kullanın. Çevreyi koruyalım."
Sonuç: Orta düzeyde bir artış.
Sonra mesajı değiştirdiler: "Bu odada kalan misafirlerin yüzde yetmiş beşi havlularını yeniden kullandı."
##Tek bir cümle değişikliğiyle havlu yeniden kullanım oranı yüzde yirmi altı arttı.##
Cialdini buna "Sosyal Kanıt" diyor. İnsanlar ne yapmaları gerektiğinden emin olmadıklarında, etrafındakilerin davranışına bakarak karar veriyor.
Boş bir restoran önünden geçtiğinde içeri girmek istemiyor musun? Kalabalık bir restorana ise "mutlaka iyi bir şey var" diye giriyorsun. Bu bilinçli bir analiz değil — "herkes yapıyorsa doğrudur" varsayımına dayanan otomatik bir tepki.
Ama Cialdini'nin uyarısı önemli: Sosyal kanıt doğru yönlendirilmediğinde insanları yanlış davranışlara da sürükleyebilir.
$$İnsanların kararlarının büyük çoğunluğu mantıktan değil, "diğerleri ne yapıyor?" sorusundan şekillenir.$$
&amp;&amp;Hayatında "herkes yapıyor" diye yaptığın ama gerçekten isteyip istemediğini hiç sorgulamadığın bir şey var mı?&amp;&amp;</x:v>
      </x:c>
      <x:c r="K23" s="37" t="str"/>
      <x:c r="L23" s="37" t="str"/>
      <x:c r="M23" s="37" t="str"/>
      <x:c r="N23" s="37" t="str"/>
      <x:c r="O23" s="37" t="str"/>
    </x:row>
    <x:row r="24" ht="20" customHeight="1">
      <x:c r="A24" s="33" t="n">
        <x:v>1081</x:v>
      </x:c>
      <x:c r="B24" s="34" t="str">
        <x:v>1</x:v>
      </x:c>
      <x:c r="C24" s="34" t="str">
        <x:v>Psikoloji</x:v>
      </x:c>
      <x:c r="D24" s="34" t="str">
        <x:v>Psikoloji</x:v>
      </x:c>
      <x:c r="E24" s="34" t="str">
        <x:v>Influence</x:v>
      </x:c>
      <x:c r="F24" s="34" t="str">
        <x:v>Robert Cialdini</x:v>
      </x:c>
      <x:c r="G24" s="34" t="str">
        <x:v>1984</x:v>
      </x:c>
      <x:c r="H24" s="37" t="str">
        <x:v>Kıtlık ve sınırlı üretim yanılsaması</x:v>
      </x:c>
      <x:c r="I24" s="37" t="str">
        <x:v>"Son 3 ürün kaldı" ibaresi, tüketicilerin satın alma kararını neredeyse anında hızlandırdı.</x:v>
      </x:c>
      <x:c r="J24" s="37" t="str">
        <x:v>Amazon'un ürün sayfalarında küçük kırmızı bir yazı dikkatini çekmiş olabilir: "Stokta yalnızca 3 adet kaldı."
Bu yazı rastgele değil. Titizlikle test edilmiş bir psikoloji silahı.
Araştırmalar şunu gösteriyor: Aynı ürün, "stokta çok sayıda mevcut" yazısıyla satışa çıktığında belirli bir hızda satılıyor. Ama "yalnızca 3 adet kaldı" ibaresi eklendiğinde satış hızı neredeyse iki katına çıkıyor.
##Ürün değişmedi. Fiyat değişmedi. Sadece bir kıtlık mesajı eklendi.##
Cialdini buna "Kıtlık İlkesi" diyor. İnsanlar kaybetme korkusuna, kazanma sevincinden çok daha güçlü tepki veriyor.
Bir şeyin elde edilmesi zorlaştıkça, değeri zihinsel olarak artıyor. Bu evrimsel bir mekanizma — kaynaklara erken erişmek hayatta kalma avantajı sağlardı.
Ama modern dünyada bu refleks çoğu zaman aleyhimize işliyor. "Son gün" indirimleri, "sınırlı sayıda" ürünler, "bu teklif yalnızca bugün geçerli" mesajları... Hepsi aynı tetikleyiciyi kullanıyor.
$$Kıtlık hissi değer yaratmaz — değer algısını değiştirir.$$
&amp;&amp;Son satın alma kararlarından birine bak. Gerçekten ihtiyacın olduğu için mi aldın, yoksa "kaçırırım" korkusu mu hızlandırdı seni?&amp;&amp;</x:v>
      </x:c>
      <x:c r="K24" s="37" t="str"/>
      <x:c r="L24" s="37" t="str"/>
      <x:c r="M24" s="37" t="str"/>
      <x:c r="N24" s="37" t="str"/>
      <x:c r="O24" s="37" t="str"/>
    </x:row>
    <x:row r="25" ht="20" customHeight="1">
      <x:c r="A25" s="33" t="n">
        <x:v>1082</x:v>
      </x:c>
      <x:c r="B25" s="34" t="str">
        <x:v>1</x:v>
      </x:c>
      <x:c r="C25" s="34" t="str">
        <x:v>Verimlilik</x:v>
      </x:c>
      <x:c r="D25" s="34" t="str">
        <x:v>İş Dünyası</x:v>
      </x:c>
      <x:c r="E25" s="34" t="str">
        <x:v>Good to Great</x:v>
      </x:c>
      <x:c r="F25" s="34" t="str">
        <x:v>Jim Collins</x:v>
      </x:c>
      <x:c r="G25" s="34" t="str">
        <x:v>2001</x:v>
      </x:c>
      <x:c r="H25" s="37" t="str">
        <x:v>Kirpi Konsepti</x:v>
      </x:c>
      <x:c r="I25" s="37" t="str">
        <x:v>Büyük şirketlerin başarısı, yalnızca en iyi olabilecekleri tek bir şeye odaklanmalarından geliyordu.</x:v>
      </x:c>
      <x:c r="J25" s="37" t="str">
        <x:v>Jim Collins ve ekibi yıllarca şu soruyu araştırdı: İyi şirketleri mükemmel yapan nedir?
Binlerce saatlik analiz sonunda garip bir metafor ortaya çıktı: Kirpi.
Bir tilki çok şey bilir. Her gün yeni planlar yapar, değişir, adapte olur. Ama kirpi yalnızca bir şey bilir — ve o şeyi mükemmel yapar. Her tehlikede aynısını yapar: toplanır, dikenlerini dışarı çıkarır. Bu kadar.
##Collins'in incelediği "iyi'den mükemmel'e" geçen şirketlerin tamamı birer kirpiydi.##
Kirpi Konsepti üç sorunun kesişim noktasını buluyor:
Birincisi: Dünyada en iyi olabilecekleri şey ne?
İkincisi: Bu onları ekonomik olarak ne yönlendiriyor?
Üçüncüsü: Bu işe gerçekten tutkuyla bağlılar mı?
Bu üç dairenin ortasındaki alan — işte orası.
Collins'in incelediği başarısız şirketlere baktığında ise tam tersi bir tablo görüyorsun: Her yıl yeni bir strateji, her çeyrekte yeni bir öncelik, her krizde yeni bir yön. Tilkiler gibi her şeyi bilmeye çalışıyorlar ama hiçbirinde gerçekten derin değiller.
$$Büyük başarılar genellikle daha fazla şey yapmaktan değil, daha az şeyi daha iyi yapmaktan doğar.$$
&amp;&amp;Hayatında ya da işinde gerçekten en iyi olabileceğin tek alan hangisi? Ve şu an zamanının ne kadarı oraya gidiyor?&amp;&amp;</x:v>
      </x:c>
      <x:c r="K25" s="37" t="str"/>
      <x:c r="L25" s="37" t="str"/>
      <x:c r="M25" s="37" t="str"/>
      <x:c r="N25" s="37" t="str"/>
      <x:c r="O25" s="37" t="str"/>
    </x:row>
    <x:row r="26" ht="20" customHeight="1">
      <x:c r="A26" s="33" t="n">
        <x:v>1083</x:v>
      </x:c>
      <x:c r="B26" s="34" t="str">
        <x:v>1</x:v>
      </x:c>
      <x:c r="C26" s="34" t="str">
        <x:v>Verimlilik</x:v>
      </x:c>
      <x:c r="D26" s="34" t="str">
        <x:v>İş Dünyası</x:v>
      </x:c>
      <x:c r="E26" s="34" t="str">
        <x:v>Good to Great</x:v>
      </x:c>
      <x:c r="F26" s="34" t="str">
        <x:v>Jim Collins</x:v>
      </x:c>
      <x:c r="G26" s="34" t="str">
        <x:v>2001</x:v>
      </x:c>
      <x:c r="H26" s="37" t="str">
        <x:v>Volan etkisi</x:v>
      </x:c>
      <x:c r="I26" s="37" t="str">
        <x:v>Hiçbir mucize an yoktu — büyük şirketler tek yönde sürekli baskı uygulayarak ivme kazandı.</x:v>
      </x:c>
      <x:c r="J26" s="37" t="str">
        <x:v>Collins'in araştırmasında gazeteciler ve analistler sürekli şunu soruyordu: "Şirketin kaderini değiştiren o tek an ne zaman oldu?"
Ama cevap hiç beklendikleri yerden gelmedi.
Çünkü böyle bir an yoktu.
Collins bunu açıklamak için devasa bir volan metaforu kullanıyor. Tonlarca ağırlığında, yatay duran bir çark. İlk itişte neredeyse kıpırdamıyor. İkinci itişte biraz dönüyor. Ama aynı yönde, aynı kararlılıkla itmek sürdükçe...
##Bir noktada volanın kendi ağırlığı avantaja dönüşüyor ve çark kendi kendine dönmeye başlıyor.##
Collins'in incelediği her büyük şirket bu şekilde büyümüştü. Walmart on yıl boyunca sessizce küçük kasabalara mağaza açtı. Fanfare yoktu, devrim yoktu. Sadece tutarlı, aynı yönde, birikimli çaba.
Ama gazeteler Walmart'ı "keşfettiğinde", sanki şirket bir gecede büyümüş gibi yazıldı. Oysa o büyüme on yıllık volanın ivmesiydi.
Biz hep dramatik dönüşümleri arıyoruz. Oysa çoğu büyük başarı, kimsenin dikkat etmediği uzun, sessiz bir birikimin sonucu.
$$Dramatik bir başlangıç değil, tutarlı bir yön — işte volanı döndüren bu.$$
&amp;&amp;Hayatında aynı yönde tutarlı biçimde baskı uyguladığın, belki de henüz ivme kazanmamış bir volan var mı?&amp;&amp;</x:v>
      </x:c>
      <x:c r="K26" s="37" t="str"/>
      <x:c r="L26" s="37" t="str"/>
      <x:c r="M26" s="37" t="str"/>
      <x:c r="N26" s="37" t="str"/>
      <x:c r="O26" s="37" t="str"/>
    </x:row>
    <x:row r="27" ht="20" customHeight="1">
      <x:c r="A27" s="33" t="n">
        <x:v>1084</x:v>
      </x:c>
      <x:c r="B27" s="34" t="str">
        <x:v>1</x:v>
      </x:c>
      <x:c r="C27" s="34" t="str">
        <x:v>Verimlilik</x:v>
      </x:c>
      <x:c r="D27" s="34" t="str">
        <x:v>İş Dünyası</x:v>
      </x:c>
      <x:c r="E27" s="34" t="str">
        <x:v>Good to Great</x:v>
      </x:c>
      <x:c r="F27" s="34" t="str">
        <x:v>Jim Collins</x:v>
      </x:c>
      <x:c r="G27" s="34" t="str">
        <x:v>2001</x:v>
      </x:c>
      <x:c r="H27" s="37" t="str">
        <x:v>Önce kim, sonra ne</x:v>
      </x:c>
      <x:c r="I27" s="37" t="str">
        <x:v>Büyük liderler strateji belirlemeden önce doğru insanları otobüse alıyor, yanlış insanları indiriyordu.</x:v>
      </x:c>
      <x:c r="J27" s="37" t="str">
        <x:v>Collins bir keşif yaptı ve bunu şöyle özetledi: İyi'den mükemmel'e geçen şirketlerin liderleri stratejiyi sonra belirledi.
Önce şunu sordu: "Otobüste doğru insanlar var mı?"
Bu kulağa soğuk geliyor. Ama Collins'in kastettiği şey insanları kovmak değil. Kastettiği şu: En büyük vizyon bile yanlış insanlarla hayata geçirilemez. Ve doğru insanlar varsa, vizyon zaten onlardan doğar.
##Araştırmadaki bir CEO şöyle dedi: "Nereye gideceğimizi bilmiyordum ama bu insanlarla mutlaka bir yere giderdik."##
Collins'in incelediği başarısız şirketlerde ise tam tersi bir örüntü gördü: Lider önce büyük bir vizyon belirliyor, sonra o vizyona "uyan" insanları arıyordu. Vizyon sahibi lider gidince şirket de gidiyordu. Çünkü insanlar liderin planına bağlıydı, işin kendisine değil.
Doğru insanları otobüse alan liderler ise işten ayrıldıklarında bile şirketi geride bırakabiliyordu. Çünkü insanlar sadece plan değil, anlam etrafında toplanmıştı.
$$Vizyonu insanlar taşır — strateji değil.$$
&amp;&amp;Hayatının en önemli projelerinde yanında olan insanlara bak. Onlar doğru insanlar mı, yoksa vizyonunu taşımak için yanlış omuzlarda mı yük var?&amp;&amp;</x:v>
      </x:c>
      <x:c r="K27" s="37" t="str"/>
      <x:c r="L27" s="37" t="str"/>
      <x:c r="M27" s="37" t="str"/>
      <x:c r="N27" s="37" t="str"/>
      <x:c r="O27" s="37" t="str"/>
    </x:row>
    <x:row r="28" ht="20" customHeight="1">
      <x:c r="A28" s="33" t="n">
        <x:v>1085</x:v>
      </x:c>
      <x:c r="B28" s="34" t="str">
        <x:v>1</x:v>
      </x:c>
      <x:c r="C28" s="34" t="str">
        <x:v>Liderlik</x:v>
      </x:c>
      <x:c r="D28" s="34" t="str">
        <x:v>Liderlik</x:v>
      </x:c>
      <x:c r="E28" s="34" t="str">
        <x:v>Başlangıç Noktası</x:v>
      </x:c>
      <x:c r="F28" s="34" t="str">
        <x:v>Simon Sinek</x:v>
      </x:c>
      <x:c r="G28" s="34" t="str">
        <x:v>2009</x:v>
      </x:c>
      <x:c r="H28" s="37" t="str">
        <x:v>Wright Kardeşler ve Samuel Langley</x:v>
      </x:c>
      <x:c r="I28" s="37" t="str">
        <x:v>Devlet destekli Langley değil, garajında çalışan Wright kardeşler uçağı icat etti — çünkü onlar neden sorusunu soruyordu.</x:v>
      </x:c>
      <x:c r="J28" s="37" t="str">
        <x:v>1903 yılı. Amerika'da iki farklı ekip uçak icat etmeye çalışıyordu.
Birincisi Samuel Langley'di. Smithsonian Enstitüsü'nün desteğini almıştı. Hükümet ona 50.000 dolar vermişti — bugünün parasıyla milyonlar. Etrafında Harvard'dan mezun mühendisler, en iyi malzemeler, tam bir laboratuvar.
İkincisi Orville ve Wilbur Wright'tı. Ohio'da küçük bir bisiklet dükkanı işletiyorlardı. Üniversite diplomaları yoktu. Bütçeleri 1.000 dolardı.
##17 Aralık 1903'te ilk uçuşu gerçekleştiren Wright kardeşler oldu.##
Simon Sinek bu hikayeyi şöyle açıklıyor: Langley zenginlik, şöhret ve başarıya ulaşmak istiyordu. İnsanlık tarihini değiştirmek istediği için değil, bunların getireceği ödüller için çalışıyordu.
Wright kardeşler ise neden uçmak istediklerini biliyordu: "Uçmak mümkün olursa, dünya değişir." Bu onların amacıydı. Para için değil, bu inanç için sabahları kalkıyorlardı.
Langley haberlerde Wright kardeşlerin başarısını okuyunca araştırmasını bıraktı. Hedefi ödüldü — ödül gidince hedef de gitti.
$$İnsanlar ne yaptığın için değil, neden yaptığın için seni takip eder.$$
&amp;&amp;Şu an üzerinde çalıştığın en önemli şeyi neden yapıyorsun? Cevabın "para" ya da "başarı"yı geçiyor mu?&amp;&amp;</x:v>
      </x:c>
      <x:c r="K28" s="37" t="str"/>
      <x:c r="L28" s="37" t="str"/>
      <x:c r="M28" s="37" t="str"/>
      <x:c r="N28" s="37" t="str"/>
      <x:c r="O28" s="37" t="str"/>
    </x:row>
    <x:row r="29" ht="20" customHeight="1">
      <x:c r="A29" s="33" t="n">
        <x:v>1086</x:v>
      </x:c>
      <x:c r="B29" s="34" t="str">
        <x:v>1</x:v>
      </x:c>
      <x:c r="C29" s="34" t="str">
        <x:v>Liderlik</x:v>
      </x:c>
      <x:c r="D29" s="34" t="str">
        <x:v>Liderlik</x:v>
      </x:c>
      <x:c r="E29" s="34" t="str">
        <x:v>Başlangıç Noktası</x:v>
      </x:c>
      <x:c r="F29" s="34" t="str">
        <x:v>Simon Sinek</x:v>
      </x:c>
      <x:c r="G29" s="34" t="str">
        <x:v>2009</x:v>
      </x:c>
      <x:c r="H29" s="37" t="str">
        <x:v>Martin Luther King'in hayali</x:v>
      </x:c>
      <x:c r="I29" s="37" t="str">
        <x:v>King 'bir planım var' değil 'bir hayalim var' dedi — insanlar inançla harekete geçer, mantıkla değil.</x:v>
      </x:c>
      <x:c r="J29" s="37" t="str">
        <x:v>1963. Washington'da 250.000 insan bir araya geldi.
Martin Luther King sahneye çıktı. Cebinde hazırladığı bir konuşma metni vardı. Detaylı, mantıklı, iyi yazılmış. Sivil haklar hareketinin taleplerini madde madde sıralıyordu.
Konuşmanın ortasında Mahalia Jackson — yanında duran gospel şarkıcısı — fısıldadı: "Martin, onlara o hayalini anlat."
King notlarını bıraktı.
##"I have a dream" dedi. Ve tarih değişti.##
Sinek bu anı şöyle açıklıyor: Eğer King "I have a plan" deseydi, o kalabalık birkaç politika reformu için toplanmış insanlardı. Ama "I have a dream" deyince, insanlar bir inanç için toplanmış oldu.
Planlar insanları koordine eder. Hayaller insanları harekete geçirir.
Sinek'in araştırdığı tüm büyük liderler, şirketler ve hareketler bu şekilde çalışıyordu. Apple "harika bilgisayarlar yapıyoruz" demedi. "Farklı düşünenler için var oluyoruz" dedi. Fark buydu.
İnsanlar ne yaptığını duyduktan sonra karar verir. Ama neden yaptığını duyduklarında inanırlar.
$$İnanç, akıldan önce gelir — büyük hareketler hep bir "neden"den başlar.$$
&amp;&amp;Başkalarını harekete geçirmeye çalıştığın bir alan var mı? Onlara planını mı anlatıyorsun, yoksa hayalini mi?&amp;&amp;</x:v>
      </x:c>
      <x:c r="K29" s="37" t="str"/>
      <x:c r="L29" s="37" t="str"/>
      <x:c r="M29" s="37" t="str"/>
      <x:c r="N29" s="37" t="str"/>
      <x:c r="O29" s="37" t="str"/>
    </x:row>
    <x:row r="30" ht="20" customHeight="1">
      <x:c r="A30" s="33" t="n">
        <x:v>1087</x:v>
      </x:c>
      <x:c r="B30" s="34" t="str">
        <x:v>1</x:v>
      </x:c>
      <x:c r="C30" s="34" t="str">
        <x:v>Liderlik</x:v>
      </x:c>
      <x:c r="D30" s="34" t="str">
        <x:v>Liderlik</x:v>
      </x:c>
      <x:c r="E30" s="34" t="str">
        <x:v>Başlangıç Noktası</x:v>
      </x:c>
      <x:c r="F30" s="34" t="str">
        <x:v>Simon Sinek</x:v>
      </x:c>
      <x:c r="G30" s="34" t="str">
        <x:v>2009</x:v>
      </x:c>
      <x:c r="H30" s="37" t="str">
        <x:v>Altın Çember ve ters düşünme</x:v>
      </x:c>
      <x:c r="I30" s="37" t="str">
        <x:v>Sinek'in Altın Çemberi, neden-nasıl-ne sırasıyla düşünmenin tüm büyük liderlerin ortak sırrı olduğunu ortaya koyuyor.</x:v>
      </x:c>
      <x:c r="J30" s="37" t="str">
        <x:v>Çoğu şirket dışarıdan içeriye düşünür.
"Ne yapıyoruz? — Bilgisayar yapıyoruz."
"Nasıl yapıyoruz? — Güzel tasarım ve kullanımı kolay."
"Neden yapıyoruz? — Çünkü... satmak istiyoruz."
Simon Sinek'in Altın Çemberi bunu tersine çeviriyor.
Apple'ın gerçekte ne söylediğini düşün: "Farklı düşündüğümüze inanıyoruz. Statükoya meydan okumak istiyoruz. Bunu güzel tasarımlı ve kullanımı kolay ürünlerle yapıyoruz. Bu yüzden bilgisayar, telefon ve müzik çalar yapıyoruz."
##Aynı bilgisayar, tamamen farklı bir mesaj. Ve insanlar ikincisine inanıyor.##
Neden bu kadar güçlü? Sinek biyolojik bir açıklama yapıyor: Beynin "neden" kısmı, duyguları ve kararları kontrol eden limbik sistemdir. "Ne" kısmı ise analitik düşüncenin yeri olan neokortekstir.
İnsanlar karar verirken limbik sistemleriyle karar verir. Sonra neokorteksle gerekçe üretirler.
Yani önce hissederler, sonra açıklarlar. Bu yüzden "neden"le başlamak, akıldan çok kalbe konuşmak demektir.
$$Büyük markalar, büyük liderler ve büyük hareketler hep aynı yerden başlar: neden.$$
&amp;&amp;Kendi "neden"ini bir cümleyle yazabilir misin? Neden bu işi yapıyorsun — gerçekten, para ve kariyer dışında?&amp;&amp;</x:v>
      </x:c>
      <x:c r="K30" s="37" t="str"/>
      <x:c r="L30" s="37" t="str"/>
      <x:c r="M30" s="37" t="str"/>
      <x:c r="N30" s="37" t="str"/>
      <x:c r="O30" s="37" t="str"/>
    </x:row>
    <x:row r="31" ht="20" customHeight="1">
      <x:c r="A31" s="33" t="n">
        <x:v>1088</x:v>
      </x:c>
      <x:c r="B31" s="34" t="str">
        <x:v>1</x:v>
      </x:c>
      <x:c r="C31" s="34" t="str">
        <x:v>Verimlilik</x:v>
      </x:c>
      <x:c r="D31" s="34" t="str">
        <x:v>Girişimcilik</x:v>
      </x:c>
      <x:c r="E31" s="34" t="str">
        <x:v>Büyük Sıçrayış</x:v>
      </x:c>
      <x:c r="F31" s="34" t="str">
        <x:v>Eric Ries</x:v>
      </x:c>
      <x:c r="G31" s="34" t="str">
        <x:v>2011</x:v>
      </x:c>
      <x:c r="H31" s="37" t="str">
        <x:v>Zappos'un sıfır stoklu ilk satışı</x:v>
      </x:c>
      <x:c r="I31" s="37" t="str">
        <x:v>Zappos kurucusu insanların online ayakkabı alıp almayacağını test etmek için mağazadan alıp fotoğrafladı ve sıfır stokla satış yaptı.</x:v>
      </x:c>
      <x:c r="J31" s="37" t="str">
        <x:v>1999. Nick Swinmurn internet üzerinden ayakkabı satmak istiyordu.
Ama kimse online ayakkabı alır mıydı? Bunu bilmiyordu.
Geleneksel yaklaşım şu olurdu: İş planı hazırla. Yatırım bul. Depo kur. Stok yap. Sistemi kur. Lansman yap.
Swinmurn farklı düşündü.
Yerel bir ayakkabı mağazasına gitti, vitrin fotoğraflarını çekti ve bunları basit bir web sitesine koydu. "Sipariş gelirse mağazadan alıp gönderirim" diye düşündü.
##İlk sipariş geldi. Mağazaya gitti, ayakkabıyı tam fiyatına aldı, müşteriye gönderdi. Para kaybetti — ama öğrendi.##
İnsanlar gerçekten online ayakkabı alıyordu.
Eric Ries bu hikayeyi "Validated Learning" — doğrulanmış öğrenme — kavramıyla açıklıyor. Swinmurn aylarca plan yapıp sonra piyasaya çıkmadı. Önce varsayımını test etti, sonra geliştirdi.
Zappos bu küçük deneyin üzerine inşa edildi. 2009'da Amazon onu 1.2 milyar dolara satın aldı.
$$Büyük girişimler büyük planlarla değil, küçük testlerle başlar.$$
&amp;&amp;Şu an bir fikrin var ama henüz başlamadın. O fikri test etmek için yapabileceğin en küçük, en ucuz deney ne olurdu?&amp;&amp;</x:v>
      </x:c>
      <x:c r="K31" s="37" t="str"/>
      <x:c r="L31" s="37" t="str"/>
      <x:c r="M31" s="37" t="str"/>
      <x:c r="N31" s="37" t="str"/>
      <x:c r="O31" s="37" t="str"/>
    </x:row>
    <x:row r="32" ht="20" customHeight="1">
      <x:c r="A32" s="33" t="n">
        <x:v>1089</x:v>
      </x:c>
      <x:c r="B32" s="34" t="str">
        <x:v>1</x:v>
      </x:c>
      <x:c r="C32" s="34" t="str">
        <x:v>Verimlilik</x:v>
      </x:c>
      <x:c r="D32" s="34" t="str">
        <x:v>Girişimcilik</x:v>
      </x:c>
      <x:c r="E32" s="34" t="str">
        <x:v>Büyük Sıçrayış</x:v>
      </x:c>
      <x:c r="F32" s="34" t="str">
        <x:v>Eric Ries</x:v>
      </x:c>
      <x:c r="G32" s="34" t="str">
        <x:v>2011</x:v>
      </x:c>
      <x:c r="H32" s="37" t="str">
        <x:v>IMVU'nun yanlış yolda koşması</x:v>
      </x:c>
      <x:c r="I32" s="37" t="str">
        <x:v>Ries'ın ilk şirketi kullanıcıların istemediği bir ürünü geliştirmek için aylar harcadı; bu hata 'Validated Learning' kavramının doğmasını sağladı.</x:v>
      </x:c>
      <x:c r="J32" s="37" t="str">
        <x:v>Eric Ries ilk şirketini kurduğunda her şeyi doğru yaptığını sanıyordu.
Ekip harikaydı. Teknoloji güçlüydü. Çok çalışıyorlardı. Aylarca kodladılar, tasarladılar, geliştirdiler.
Sonra ürünü çıkardılar.
Kimse kullanmadı.
##Aylarca çok çalışmışlardı — ama yanlış şeyi inşa etmişlerdi.##
Ries bu deneyimden şunu öğrendi: Çok çalışmak yanlış yönde koşmaksa, daha çok çalışmak seni daha da uzaklaştırır.
Lean Startup metodolojisi tam buradan doğdu: Önce minimum seviyede çalışan bir ürün çıkar. Gerçek kullanıcılara göster. Onların geri bildirimlerine göre öğren. Sonra ya devam et, ya dönüş yap.
"Pivot" kelimesi iş dünyasına bu kitapla girdi. Pivot başarısızlık değil — yeni bilgiye dayanarak yönünü değiştirmek.
Instagram başlangıçta karmaşık bir konum paylaşım uygulamasıydı. Kullanıcıların yalnızca fotoğraf paylaşma özelliğini sevdiğini fark ettiler. Pivot yaptılar. Geri kalanı tarih.
$$Yanlış yönde mükemmelliğe ulaşmak, doğru yönde ilk adımdan daha az değerlidir.$$
&amp;&amp;Şu an üzerinde çalıştığın bir şey var mı — ve son ne zaman gerçek kullanıcılardan ya da müşterilerden geri bildirim aldın?&amp;&amp;</x:v>
      </x:c>
      <x:c r="K32" s="37" t="str"/>
      <x:c r="L32" s="37" t="str"/>
      <x:c r="M32" s="37" t="str"/>
      <x:c r="N32" s="37" t="str"/>
      <x:c r="O32" s="37" t="str"/>
    </x:row>
    <x:row r="33" ht="20" customHeight="1">
      <x:c r="A33" s="33" t="n">
        <x:v>1090</x:v>
      </x:c>
      <x:c r="B33" s="34" t="str">
        <x:v>1</x:v>
      </x:c>
      <x:c r="C33" s="34" t="str">
        <x:v>Verimlilik</x:v>
      </x:c>
      <x:c r="D33" s="34" t="str">
        <x:v>Girişimcilik</x:v>
      </x:c>
      <x:c r="E33" s="34" t="str">
        <x:v>Büyük Sıçrayış</x:v>
      </x:c>
      <x:c r="F33" s="34" t="str">
        <x:v>Eric Ries</x:v>
      </x:c>
      <x:c r="G33" s="34" t="str">
        <x:v>2011</x:v>
      </x:c>
      <x:c r="H33" s="37" t="str">
        <x:v>Build-Measure-Learn döngüsü</x:v>
      </x:c>
      <x:c r="I33" s="37" t="str">
        <x:v>Toyota'nın üretim felsefesinden ilham alan Ries, girişimcilere hız ile öğrenmeyi dengeleyen bir döngü sundu.</x:v>
      </x:c>
      <x:c r="J33" s="37" t="str">
        <x:v>Toyota fabrikasında garip bir kural vardı.
Üretim bandında herhangi bir çalışan bir sorun gördüğünde "andon" ipini çekebilirdi. Bu, tüm üretim bandını durduruyordu.
Batılı fabrikalar için bu akıl dışıydı: Neden bütün sistemi durdur? Sorunu not et, vardiya bitince çöz.
Toyota'nın cevabı ise şuydu: Küçük bir sorun şimdi çözülmezse, büyük bir soruna dönüşür. Hız önemli — ama doğru hız.
##Eric Ries bu felsefeden "Build-Measure-Learn" döngüsünü geliştirdi.##
Yap — Ölç — Öğren. Sonra tekrar yap, daha iyi ölç, daha derin öğren.
Bu döngünün anahtarı şu: Her adımda öğrenmek için ne yapman gerekiyor? Ve o öğrenmeyi en kısa sürede nasıl elde edersin?
Ries buna "İnovasyon Muhasebesi" diyor. Sadece gelir ve gider değil, öğrenme de ölçülmeli. "Bu ay ne öğrendik?" sorusu, "bu ay ne ürettik?" kadar kritik.
Çünkü öğrenmeden yapılan her şey, karanlıkta atılan bir adımdır.
$$Girişim bir bilim deneyi gibi çalışmalı: önce hipotez, sonra test, sonra gerçek.$$
&amp;&amp;Son bir ayda işinde ya da kişisel projende gerçekten ne öğrendin? Ve o öğrenme bir sonraki kararını nasıl değiştirdi?&amp;&amp;</x:v>
      </x:c>
      <x:c r="K33" s="37" t="str"/>
      <x:c r="L33" s="37" t="str"/>
      <x:c r="M33" s="37" t="str"/>
      <x:c r="N33" s="37" t="str"/>
      <x:c r="O33" s="37" t="str"/>
    </x:row>
    <x:row r="34" ht="20" customHeight="1">
      <x:c r="A34" s="33" t="n">
        <x:v>1091</x:v>
      </x:c>
      <x:c r="B34" s="34" t="str">
        <x:v>1</x:v>
      </x:c>
      <x:c r="C34" s="34" t="str">
        <x:v>Verimlilik</x:v>
      </x:c>
      <x:c r="D34" s="34" t="str">
        <x:v>Verimlilik</x:v>
      </x:c>
      <x:c r="E34" s="34" t="str">
        <x:v>Odaklanma Gücü</x:v>
      </x:c>
      <x:c r="F34" s="34" t="str">
        <x:v>Jack Canfield</x:v>
      </x:c>
      <x:c r="G34" s="34" t="str">
        <x:v>1999</x:v>
      </x:c>
      <x:c r="H34" s="37" t="str">
        <x:v>Jack Canfield'ın 100 dolarlık banknot hedefi</x:v>
      </x:c>
      <x:c r="I34" s="37" t="str">
        <x:v>Canfield, 100 dolarlık bir banknotun üzerine hedef rakamı yazarak aynaya yapıştırdı ve bu basit görselleştirme hayatını değiştirdi.</x:v>
      </x:c>
      <x:c r="J34" s="37" t="str">
        <x:v>Jack Canfield kariyerinin başında, yıllık 8.000 dolar kazanıyordu.
Bir gün 100 dolarlık bir banknot aldı. Üzerine büyük rakamlar yazdı: 100.000.
Onu banyosunun aynasına yapıştırdı.
Her sabah diş fırçalarken görüyordu. Her akşam yüzünü yıkarken görüyordu. Yavaş yavaş bu rakam soyut bir hayal olmaktan çıkıp olası bir hedef gibi hissetmeye başladı.
##O yıl Canfield 92.000 dolar kazandı.##
Hedefini tam olarak tutturamadı — ama bir önceki yılına göre neredeyse on iki kat daha fazla kazandı.
Canfield bu deneyimi şöyle açıklıyor: Beyin retikular aktivasyon sistemi denen bir süzgeçle çalışır. Odaklandığın şeyleri görmeye başlarsın — onlar zaten oradaydı, ama sen fark etmiyordun.
Sabah gazetede bir araba ilanı görürsün, düşünmezsin. Ama o arabayı almayı düşünmeye başladığında, o araba her yerde gözüne çarpar.
Hedef yazmak ve görmek, beynin o süzgeci kalibre eder.
$$Neye odaklanırsan, onu görmeye başlarsın — ve gördüğün şey gerçeğe dönüşür.$$
&amp;&amp;Şu an en büyük hedefini her gün göreceğin bir yere yazdın mı? Yazmadıysan, bunu bugün yapman için ne gerekiyor?&amp;&amp;</x:v>
      </x:c>
      <x:c r="K34" s="37" t="str"/>
      <x:c r="L34" s="37" t="str"/>
      <x:c r="M34" s="37" t="str"/>
      <x:c r="N34" s="37" t="str"/>
      <x:c r="O34" s="37" t="str"/>
    </x:row>
    <x:row r="35" ht="20" customHeight="1">
      <x:c r="A35" s="33" t="n">
        <x:v>1092</x:v>
      </x:c>
      <x:c r="B35" s="34" t="str">
        <x:v>1</x:v>
      </x:c>
      <x:c r="C35" s="34" t="str">
        <x:v>Verimlilik</x:v>
      </x:c>
      <x:c r="D35" s="34" t="str">
        <x:v>Verimlilik</x:v>
      </x:c>
      <x:c r="E35" s="34" t="str">
        <x:v>Odaklanma Gücü</x:v>
      </x:c>
      <x:c r="F35" s="34" t="str">
        <x:v>Jack Canfield</x:v>
      </x:c>
      <x:c r="G35" s="34" t="str">
        <x:v>1999</x:v>
      </x:c>
      <x:c r="H35" s="37" t="str">
        <x:v>Bir yıl 101 hedef deneyi</x:v>
      </x:c>
      <x:c r="I35" s="37" t="str">
        <x:v>Canfield, yıl başında 101 hedef listesi yapan insanların yıl sonunda hedeflerin büyük çoğunluğunu gerçekleştirdiğini keşfetti.</x:v>
      </x:c>
      <x:c r="J35" s="37" t="str">
        <x:v>Mark Victor Hansen bir deneme yaptı.
Çevresindeki insanlara şunu söyledi: "Bu yıl için 101 hedef yaz. Mümkün mü imkansız mı düşünme. Sadece yaz."
İnsanlar itiraz etti. "101 tane mi? Bu çok fazla." Ama yazdılar.
Yıl sonunda listelerine baktıklarında şaşırdılar.
##Çoğu kişi 101 hedefin 70 ila 80'ini gerçekleştirmişti.##
Peki ya liste yazmadan geçen bir yıl? Yapılan araştırmalar gösteriyor ki liste yazmayan insanların yılda ortalama 1-2 anlamlı hedefi gerçekleşiyor.
Fark nereden geliyor?
Canfield bunu şöyle açıklıyor: Yazılı hedefler, zihin için bir sözleşmedir. "Ben bunu yapmaya karar verdim" demek başka, "ben bunu kağıda geçirdim" demek başkadır. İkincisi taahhüt hissi yaratır. Ve taahhüt, hareketi tetikler.
Üstelik 101 hedef yazmak zorunda kalmak, insanları gerçekten ne istediklerini düşünmeye zorluyor. Çoğu zaman 30. hedeften sonra yazan insanlar şunu söylüyor: "İşte asıl istediğim şey bu."
$$Hedeflerini yazmak onları olası kılar — yazmamak onları hayal olarak bırakır.$$
&amp;&amp;Bu yıl için 10 hedef yazmaya şimdi 5 dakika ayırsan, hangi hedeflerin seni en çok heyecanlandırır?&amp;&amp;</x:v>
      </x:c>
      <x:c r="K35" s="37" t="str"/>
      <x:c r="L35" s="37" t="str"/>
      <x:c r="M35" s="37" t="str"/>
      <x:c r="N35" s="37" t="str"/>
      <x:c r="O35" s="37" t="str"/>
    </x:row>
    <x:row r="36" ht="20" customHeight="1">
      <x:c r="A36" s="33" t="n">
        <x:v>1093</x:v>
      </x:c>
      <x:c r="B36" s="34" t="str">
        <x:v>1</x:v>
      </x:c>
      <x:c r="C36" s="34" t="str">
        <x:v>Verimlilik</x:v>
      </x:c>
      <x:c r="D36" s="34" t="str">
        <x:v>Verimlilik</x:v>
      </x:c>
      <x:c r="E36" s="34" t="str">
        <x:v>Odaklanma Gücü</x:v>
      </x:c>
      <x:c r="F36" s="34" t="str">
        <x:v>Jack Canfield</x:v>
      </x:c>
      <x:c r="G36" s="34" t="str">
        <x:v>1999</x:v>
      </x:c>
      <x:c r="H36" s="37" t="str">
        <x:v>Odak sistemi ve kurbağayı yemek</x:v>
      </x:c>
      <x:c r="I36" s="37" t="str">
        <x:v>Canfield, her sabah en zor ve en önemli görevi ilk sıraya koyan insanların gün boyu daha üretken olduğunu kanıtladı.</x:v>
      </x:c>
      <x:c r="J36" s="37" t="str">
        <x:v>Mark Twain'in bir sözü var: "Her sabah canlı bir kurbağa yersen, gün içinde başına gelebilecek en kötü şey geçmiş demektir."
Jack Canfield bu metaforu üretkenliğin merkezine koydu.
"Kurbağan" o gün yapmak zorunda olduğun ama yapmaktan en çok kaçındığın şeydir. Vergi beyannamesi. Zor bir telefon görüşmesi. Uzun süredir ertelenen bir karar.
Canfield yüzlerce başarılı insanı inceledi ve bir örüntü buldu:
##Her sabah o "kurbağayı" — en zor görevi — ilk yapanlar, günü çok daha üretken geçiriyordu.##
Neden? Çünkü o görev zihnin arka planında sürekli çalışıyor. "Bunu yapmam lazım, bunu yapmam lazım..." Bu sessiz ses enerji tüketiyor, odağı dağıtıyor.
Sabah ilk iş olarak yapıldığında ise bir şey oluyor: Zihin ferahliyor. Günün geri kalanı daha hafif hissettiriyor. Küçük görevler akıyor.
Ama çoğumuz tam tersini yapıyoruz: Sabah e-postalar, toplantılar, kolay görevler. Kurbağa gün içinde büyüyor, akşam ise yorgunlukla birlikte çözümsüz kalıyor.
$$Günün en zor anında en zor işi yapmak zorunda değilsin — sabah yaparsan, o an hiç gelmez.$$
&amp;&amp;Bugün listende en uzun süredir bekleyen "kurbağan" hangisi? Onu yarın sabah ilk iş olarak yaparsan ne değişir?&amp;&amp;</x:v>
      </x:c>
      <x:c r="K36" s="37" t="str"/>
      <x:c r="L36" s="37" t="str"/>
      <x:c r="M36" s="37" t="str"/>
      <x:c r="N36" s="37" t="str"/>
      <x:c r="O36" s="37" t="str"/>
    </x:row>
    <x:row r="37" ht="20" customHeight="1">
      <x:c r="A37" s="33" t="n">
        <x:v>1094</x:v>
      </x:c>
      <x:c r="B37" s="34" t="str">
        <x:v>1</x:v>
      </x:c>
      <x:c r="C37" s="34" t="str">
        <x:v>Büyüme</x:v>
      </x:c>
      <x:c r="D37" s="34" t="str">
        <x:v>Kişisel Gelişim</x:v>
      </x:c>
      <x:c r="E37" s="34" t="str">
        <x:v>The 7 Habits of Highly Effective People</x:v>
      </x:c>
      <x:c r="F37" s="34" t="str">
        <x:v>Stephen Covey</x:v>
      </x:c>
      <x:c r="G37" s="34" t="str">
        <x:v>1989</x:v>
      </x:c>
      <x:c r="H37" s="37" t="str">
        <x:v>Büyük taşlar ve kavanoz dersi</x:v>
      </x:c>
      <x:c r="I37" s="37" t="str">
        <x:v>Bir hoca büyük taşları, çakılları ve kumu bir kavanoza sırayla koyarak önce en önemli şeylere zaman ayırmanın hayatı nasıl doldurduğunu gösterdi.</x:v>
      </x:c>
      <x:c r="J37" s="37" t="str">
        <x:v>Bir üniversite hocası sınıfa büyük bir kavanoz, birkaç büyük taş, bir kova çakıl ve bir torba kum getirdi.
Önce kumu döktü. Sonra çakılları. Sonra büyük taşları koymaya çalıştı.
Sığmadı.
Baştan başladı. Bu sefer önce büyük taşları koydu. Sonra çakılları. Sonra kumu döktü — kum boşluklara doldu.
Her şey sığdı.
##"Hayatınız bu kavanoz" dedi hoca. "Büyük taşları önce koymazsanız, sığdırma şansınız hiç olmaz."##
Stephen Covey bu dersi yönetim felsefesinin merkezine koydu. Büyük taşlar: aile, sağlık, anlamlı iş, derin ilişkiler. Çakıl: günlük görevler. Kum: e-postalar, bildirimler, toplantılar.
Çoğu insan günü kumla başlıyor. Sabah e-postalar, öğlen toplantılar, akşam bildirimler. Gün bitiyor, yorgun uyuyor. Ve büyük taşlar? "Yarın."
Ama yarın da kum var.
Covey'in çözümü şu: Büyük taşları takvime koy — önce. Onları planla, koru, savun. Kum her zaman dolacak bir yerlere.
$$Zamanını yönetmek, neyin büyük taş olduğuna karar vermekten başlar.$$
&amp;&amp;Hayatındaki büyük taşlar hangileri? Ve geçen haftana bakınca, onlara gerçekten ne kadar zaman ayırdın?&amp;&amp;</x:v>
      </x:c>
      <x:c r="K37" s="37" t="str"/>
      <x:c r="L37" s="37" t="str"/>
      <x:c r="M37" s="37" t="str"/>
      <x:c r="N37" s="37" t="str"/>
      <x:c r="O37" s="37" t="str"/>
    </x:row>
    <x:row r="38" ht="20" customHeight="1">
      <x:c r="A38" s="33" t="n">
        <x:v>1095</x:v>
      </x:c>
      <x:c r="B38" s="34" t="str">
        <x:v>1</x:v>
      </x:c>
      <x:c r="C38" s="34" t="str">
        <x:v>Büyüme</x:v>
      </x:c>
      <x:c r="D38" s="34" t="str">
        <x:v>Kişisel Gelişim</x:v>
      </x:c>
      <x:c r="E38" s="34" t="str">
        <x:v>The 7 Habits of Highly Effective People</x:v>
      </x:c>
      <x:c r="F38" s="34" t="str">
        <x:v>Stephen Covey</x:v>
      </x:c>
      <x:c r="G38" s="34" t="str">
        <x:v>1989</x:v>
      </x:c>
      <x:c r="H38" s="37" t="str">
        <x:v>Cenaze töreni egzersizi</x:v>
      </x:c>
      <x:c r="I38" s="37" t="str">
        <x:v>Covey okuyucularını kendi cenazenlerinde başkalarının ne söylemesini istediklerini düşündürerek gerçek değerlerini keşfettirdi.</x:v>
      </x:c>
      <x:c r="J38" s="37" t="str">
        <x:v>Stephen Covey okuyucularına garip bir soru soruyor:
"Kendi cenazenize katılıyorsunuz. Tabuttaki kişi siz siniz. Dört kişi konuşacak: bir aile üyesi, bir arkadaş, iş hayatından biri ve toplumdan biri. Onların ne söylemesini isterdiniz?"
Bu soruyu ilk okuduğumda rahatsız edici gelebilir.
##Ama birkaç dakika gerçekten düşününce fark ediyorsun: Cevap, tüm değer sisteminizi gün yüzüne çıkarıyor.##
"İyi bir babayı", "güvenilir bir arkadaşı", "dürüst bir iş insanını" anlatmalarını mı istersiniz? Yoksa "büyük bir kariyer yaptı, çok para kazandı" mı?
Çoğu insan bu soruyu düşünürken şaşırıyor. Çünkü cevabı ile günlük hayatındaki öncelikleri çoğu zaman birbirini tutmuyor.
Covey buna "İkinci Alışkanlık"ın özü diyor: Sonu düşünerek başla. Hayatını nereye götürmek istediğini bilmeden, her gün etkili kararlar veremezsin.
Takvim, yapılacaklar listesi, hedefler — bunların hepsi ikinci plana düşüyor. Asıl soru şu: Kim olmak istiyorsun?
$$Anlamlı bir hayat, başkasının beklentisini değil — kendi derin değerlerini yaşamakla inşa edilir.$$
&amp;&amp;Bugün öldüğünde, seni tanıyanlar için yazdıkları bir cümlede ne geçmesini isterdin? O cümle şu an yaşadığın hayatla örtüşüyor mu?&amp;&amp;</x:v>
      </x:c>
      <x:c r="K38" s="37" t="str"/>
      <x:c r="L38" s="37" t="str"/>
      <x:c r="M38" s="37" t="str"/>
      <x:c r="N38" s="37" t="str"/>
      <x:c r="O38" s="37" t="str"/>
    </x:row>
    <x:row r="39" ht="20" customHeight="1">
      <x:c r="A39" s="33" t="n">
        <x:v>1096</x:v>
      </x:c>
      <x:c r="B39" s="34" t="str">
        <x:v>1</x:v>
      </x:c>
      <x:c r="C39" s="34" t="str">
        <x:v>Büyüme</x:v>
      </x:c>
      <x:c r="D39" s="34" t="str">
        <x:v>Kişisel Gelişim</x:v>
      </x:c>
      <x:c r="E39" s="34" t="str">
        <x:v>The 7 Habits of Highly Effective People</x:v>
      </x:c>
      <x:c r="F39" s="34" t="str">
        <x:v>Stephen Covey</x:v>
      </x:c>
      <x:c r="G39" s="34" t="str">
        <x:v>1989</x:v>
      </x:c>
      <x:c r="H39" s="37" t="str">
        <x:v>Tepki verme özgürlüğü — Viktor Frankl'dan öğrenilen ders</x:v>
      </x:c>
      <x:c r="I39" s="37" t="str">
        <x:v>Covey, Frankl'ın toplama kampı deneyiminden insanın uyaran ile tepki arasındaki o küçük boşluğu seçebileceğini öğrendi.</x:v>
      </x:c>
      <x:c r="J39" s="37" t="str">
        <x:v>Stephen Covey bir kütüphanede bir kitaba rastladı ve hayatı değişti.
Viktor Frankl'ın "İnsanın Anlam Arayışı" adlı kitabını okuyor ve bir cümleyle karşılaştı:
"Uyaran ile tepki arasında bir boşluk vardır. O boşlukta insanın tepkisini seçme özgürlüğü ve gücü yatar."
Frankl bunu Auschwitz toplama kampında yazmıştı. Hitlerin elinde her şeyini kaybetmişti. Ailesi, özgürlüğü, fiziksel sağlığı.
##Ama kimsenin elinden alamadığı tek şey vardı: Bir uyarana nasıl tepki vereceğini seçme özgürlüğü.##
Covey bu fikri "Proaktif Olma" alışkanlığının temeline koydu.
Reaktif insanlar dış koşullara göre tepki verir. Hava kötüyse kötü hissederler. Biri sert davranırsa sertleşirler. İş gitmişse umutları da gider.
Proaktif insanlar ise o boşlukta durabilir. "Bu beni etkiliyor ama ben nasıl tepki vereceğimi seçiyorum."
Bu bir hayat felsefesi. Ve Frankl gibi biri, tarihin en ağır koşullarında bunu yaşayarak kanıtladı.
$$Özgürlüğün son kalesi, bir uyarana nasıl tepki vereceğini seçebilmektir.$$
&amp;&amp;Seni en çok tetikleyen, otomatik tepki verdiğin bir durum var mı? O boşlukta bir an durabilseydin, nasıl farklı tepki verirdin?&amp;&amp;</x:v>
      </x:c>
      <x:c r="K39" s="37" t="str"/>
      <x:c r="L39" s="37" t="str"/>
      <x:c r="M39" s="37" t="str"/>
      <x:c r="N39" s="37" t="str"/>
      <x:c r="O39" s="37" t="str"/>
    </x:row>
    <x:row r="40" ht="20" customHeight="1">
      <x:c r="A40" s="33" t="n">
        <x:v>1097</x:v>
      </x:c>
      <x:c r="B40" s="34" t="str">
        <x:v>1</x:v>
      </x:c>
      <x:c r="C40" s="34" t="str">
        <x:v>Büyüme</x:v>
      </x:c>
      <x:c r="D40" s="34" t="str">
        <x:v>Kişisel Gelişim</x:v>
      </x:c>
      <x:c r="E40" s="34" t="str">
        <x:v>The 7 Habits of Highly Effective People</x:v>
      </x:c>
      <x:c r="F40" s="34" t="str">
        <x:v>Stephen Covey</x:v>
      </x:c>
      <x:c r="G40" s="34" t="str">
        <x:v>1989</x:v>
      </x:c>
      <x:c r="H40" s="37" t="str">
        <x:v>Hesap empati ve önce anlamak</x:v>
      </x:c>
      <x:c r="I40" s="37" t="str">
        <x:v>Covey'in beşinci alışkanlığı, çoğu insanın dinlemek yerine cevap vermek için beklediğini ve bunun ilişkileri nasıl yok ettiğini gösteriyor.</x:v>
      </x:c>
      <x:c r="J40" s="37" t="str">
        <x:v>Bir çift tartışıyordu. Her ikisi de haklı olduğunu düşünüyordu.
Kadın: "Beni anlamıyorsun."
Adam: "Anlıyorum! Sen şunu demek istiyorsun, ben de şunu söylüyorum..."
Stephen Covey bu sahneyi şöyle yorumluyor: Adam dinlemiyordu. Cevap vermek için bekliyordu.
Araştırmalar gösteriyor ki insanlar konuşmanın yüzde seksenini dinlerken aslında kafalarında cevap hazırlıyorlar.
##"Önce anlamaya çalış, sonra anlaşılmaya" — Covey'in beşinci alışkanlığı bu tek cümle.##
Empatiyle dinlemek kulağa basit geliyor. Ama gerçekte derin bir sabır gerektiriyor: Karşındaki konuşurken yargılamamak, cevap hazırlamamak, sadece anlamak için orada olmak.
Covey bunu "psikolojik hava" olarak tanımlıyor. İnsanlar anlaşıldıklarında — gerçekten, derinlemesine anlaşıldıklarında — savunmaları düşüyor. Çözüme açık hale geliyorlar.
Ve ilginç olan şu: Gerçekten anlamaya çalışan insan çok daha etkili bir şekilde anlaşılır. Karşındaki "bu kişi beni görüyor" dediğinde, seninle çok daha gerçek bir iletişim kuruyor.
$$Dinlemek bir nezaket değil, en güçlü ikna aracıdır.$$
&amp;&amp;Son önemli tartışmanda karşındaki konuşurken ne kadar oradadın — ve ne kadar cevap hazırlıyordun?&amp;&amp;</x:v>
      </x:c>
      <x:c r="K40" s="37" t="str"/>
      <x:c r="L40" s="37" t="str"/>
      <x:c r="M40" s="37" t="str"/>
      <x:c r="N40" s="37" t="str"/>
      <x:c r="O40" s="37" t="str"/>
    </x:row>
    <x:row r="41" ht="20" customHeight="1">
      <x:c r="A41" s="33" t="n">
        <x:v>1098</x:v>
      </x:c>
      <x:c r="B41" s="34" t="str">
        <x:v>1</x:v>
      </x:c>
      <x:c r="C41" s="34" t="str">
        <x:v>Psikoloji</x:v>
      </x:c>
      <x:c r="D41" s="34" t="str">
        <x:v>Psikoloji</x:v>
      </x:c>
      <x:c r="E41" s="34" t="str">
        <x:v>Zihin Gücü</x:v>
      </x:c>
      <x:c r="F41" s="34" t="str">
        <x:v>Carol Dweck</x:v>
      </x:c>
      <x:c r="G41" s="34" t="str">
        <x:v>2006</x:v>
      </x:c>
      <x:c r="H41" s="37" t="str">
        <x:v>Sabit ve büyüme zihniyeti farkı</x:v>
      </x:c>
      <x:c r="I41" s="37" t="str">
        <x:v>Dweck, öğrencileri iki gruba ayırdı: zekasına inananlar ve çabasına inananlar — sonuçlar hayatlarını belirledi.</x:v>
      </x:c>
      <x:c r="J41" s="37" t="str">
        <x:v>Carol Dweck on yıllarca çocukları inceledi ve basit ama derin bir ayrım keşfetti.
Bir grup çocuk zorlu bir problemle karşılaşınca şöyle düşünüyordu: "Bu çok zor. Belki bu tür şeyler benim için değil."
Diğer grup ise şöyle düşünüyordu: "Bu zor. Biraz daha çalışmam lazım."
Dweck bu iki grubu on yıl boyunca takip etti.
##İkinci grup — büyüme zihniyeti taşıyanlar — hem akademik hem kişisel hayatta çok daha başarılı oldu.##
Fark, zeka değildi. Başlangıç noktaları bile değildi. Sadece bir inanç: "Yetenekler geliştirilebilir mi, yoksa sabit mi?"
Sabit zihniyetli insanlar hatayı tehdit olarak görür. "Hata yaparsam, yeterince zeki olmadığım ortaya çıkar." Bu yüzden zorluktan kaçarlar.
Büyüme zihniyetli insanlar hatayı bilgi olarak görür. "Bu denemem işe yaramadı — bir sonrakinde ne değiştirebilirim?"
Dweck'in en çarpıcı bulgusu şu: Bu zihniyet büyük ölçüde öğrenilebilir. Ve başkalarına — özellikle çocuklara — nasıl geri bildirim verdiğimiz, onların hangi zihniyeti geliştireceğini belirliyor.
$$Yeteneğe değil, çabaya verilen övgü büyüme zihniyetini besler.$$
&amp;&amp;Son başarısızlığını nasıl yorumladın — "yetersizliğimin kanıtı" mı, yoksa "öğrenme fırsatı" mı? Bu yorum seni nereye götürdü?&amp;&amp;</x:v>
      </x:c>
      <x:c r="K41" s="37" t="str"/>
      <x:c r="L41" s="37" t="str"/>
      <x:c r="M41" s="37" t="str"/>
      <x:c r="N41" s="37" t="str"/>
      <x:c r="O41" s="37" t="str"/>
    </x:row>
    <x:row r="42" ht="20" customHeight="1">
      <x:c r="A42" s="33" t="n">
        <x:v>1099</x:v>
      </x:c>
      <x:c r="B42" s="34" t="str">
        <x:v>1</x:v>
      </x:c>
      <x:c r="C42" s="34" t="str">
        <x:v>Psikoloji</x:v>
      </x:c>
      <x:c r="D42" s="34" t="str">
        <x:v>Psikoloji</x:v>
      </x:c>
      <x:c r="E42" s="34" t="str">
        <x:v>Zihin Gücü</x:v>
      </x:c>
      <x:c r="F42" s="34" t="str">
        <x:v>Carol Dweck</x:v>
      </x:c>
      <x:c r="G42" s="34" t="str">
        <x:v>2006</x:v>
      </x:c>
      <x:c r="H42" s="37" t="str">
        <x:v>Michael Jordan'ın kesim hikayesi</x:v>
      </x:c>
      <x:c r="I42" s="37" t="str">
        <x:v>Jordan lise takımından çıkarıldı; sabit zihniyet bunu kariyer sonu yaparken büyüme zihniyeti onu tarihin en büyük basketbolcusuna dönüştürdü.</x:v>
      </x:c>
      <x:c r="J42" s="37" t="str">
        <x:v>Kuzey Carolina, 1978. Genç Michael Jordan lise basketbol takımının listesine baktı.
Adı yoktu.
Takımdan kesilmişti.
Jordan eve gidip ağladı. Kapısını kapattı, odaya kapandı.
Sonra bir şey yaptı.
##Listeden kesilmesini, daha çok çalışması gerektiğinin kanıtı olarak gördü.##
Ertesi sabah sabahın köründe kalktı. Antrenman yaptı. Her gün. Rakipler uyurken o çalışıyordu. Rakipler yorulurken o devam ediyordu.
Carol Dweck bu hikayeyi şöyle yorumluyor: Sabit zihniyetli biri aynı durumda "basketbol benim için değil" derdi. Ve belki haklı çıkardı — çünkü bu inanç onu oraya götürürdü.
Jordan ise başarısızlığı kimliğine değil, çabasına bağladı. "Yeterince iyi değilim — henüz."
O "henüz" kelimesi her şeyi değiştiriyor.
"Henüz" geçici bir durumu tanımlar. "Kötüyüm" ise kimliği. Ve kimliğe inanan insan değişmez.
Dweck'in araştırması gösteriyor: En büyük sporcuların, müzisyenlerin, bilim insanlarının ortak noktası doğuştan gelen yetenek değil — başarısızlığı yakıt olarak kullanan zihniyettir.
$$"Henüz" kelimesi, bir başarısızlığı bir dönüm noktasına dönüştürür.$$
&amp;&amp;Şu an "bu benim için değil" ya da "bunu yapamam" dediğin bir alan var mı? O cümleye "henüz" eklersen ne değişir?&amp;&amp;</x:v>
      </x:c>
      <x:c r="K42" s="37" t="str"/>
      <x:c r="L42" s="37" t="str"/>
      <x:c r="M42" s="37" t="str"/>
      <x:c r="N42" s="37" t="str"/>
      <x:c r="O42" s="37" t="str"/>
    </x:row>
    <x:row r="43" ht="20" customHeight="1">
      <x:c r="A43" s="33" t="n">
        <x:v>1100</x:v>
      </x:c>
      <x:c r="B43" s="34" t="str">
        <x:v>1</x:v>
      </x:c>
      <x:c r="C43" s="34" t="str">
        <x:v>Psikoloji</x:v>
      </x:c>
      <x:c r="D43" s="34" t="str">
        <x:v>Psikoloji</x:v>
      </x:c>
      <x:c r="E43" s="34" t="str">
        <x:v>Zihin Gücü</x:v>
      </x:c>
      <x:c r="F43" s="34" t="str">
        <x:v>Carol Dweck</x:v>
      </x:c>
      <x:c r="G43" s="34" t="str">
        <x:v>2006</x:v>
      </x:c>
      <x:c r="H43" s="37" t="str">
        <x:v>Övgünün tehlikeli iki yüzü</x:v>
      </x:c>
      <x:c r="I43" s="37" t="str">
        <x:v>Dweck'in deneyi, 'zekisin' demekle 'çok çalıştın' demenin çocukların ileriki başarısını tamamen farklı yönlere götürdüğünü kanıtladı.</x:v>
      </x:c>
      <x:c r="J43" s="37" t="str">
        <x:v>Dweck ve ekibi basit bir deney yaptı.
Çocuklara bir test verildi. Hepsi iyi performans gösterdi.
Sonra yarısına şu söylendi: "Çok zekisin."
Diğer yarısına: "Çok çalıştın."
Sonra zor bir test verildi. Herkes başarısız oldu.
##"Zekisin" denen çocuklar bir sonraki testte daha kolay soruları seçti. "Çalıştın" denen çocuklar ise daha zor soruları seçti.##
Zeka övgüsü aldıklar çocuklar, zorlu testten sonra başarısızlığı zekayla ilişkilendirdi. "Eğer başarısız olursam, zeki olmadığım ortaya çıkar." Riski azaltmak için kolayı seçtiler.
Çaba övgüsü alanlar ise zorlu testten öğrendi. Başarısızlık, daha çok çalışmaları gerektiğinin işaretiydi.
Ve en çarpıcı sonuç: Çalışma övgüsü alanların sonraki test sonuçları önemli ölçüde iyileşti. Zeka övgüsü alanların ise düştü.
İki kelime. Farklı bir dünya.
Dweck bu araştırmayı ebeveynlere ve öğretmenlere bir uyarı olarak sunuyor: Çocuğuna "ne kadar zekisin" dediğinde, onu sabit zihniyetle donatıyorsun.
$$Doğuştan gelen özellikleri değil, gösterilen çabayı ödülle — büyüyen zihinler böyle inşa edilir.$$
&amp;&amp;Seni en çok etkileyen övgü türü hangisiydi — "zekisin" mi, "çok çalıştın" mı? O övgü seni hangi yönde şekillendirdi?&amp;&amp;</x:v>
      </x:c>
      <x:c r="K43" s="37" t="str"/>
      <x:c r="L43" s="37" t="str"/>
      <x:c r="M43" s="37" t="str"/>
      <x:c r="N43" s="37" t="str"/>
      <x:c r="O43" s="37" t="str"/>
    </x:row>
    <x:row r="44" ht="20" customHeight="1">
      <x:c r="A44" s="33" t="n">
        <x:v>1101</x:v>
      </x:c>
      <x:c r="B44" s="34" t="str">
        <x:v>1</x:v>
      </x:c>
      <x:c r="C44" s="34" t="str">
        <x:v>Sağlık</x:v>
      </x:c>
      <x:c r="D44" s="34" t="str">
        <x:v>Alışkanlıklar</x:v>
      </x:c>
      <x:c r="E44" s="34" t="str">
        <x:v>Sabah Rutini</x:v>
      </x:c>
      <x:c r="F44" s="34" t="str">
        <x:v>Hal Elrod</x:v>
      </x:c>
      <x:c r="G44" s="34" t="str">
        <x:v>2012</x:v>
      </x:c>
      <x:c r="H44" s="37" t="str">
        <x:v>Hal Elrod'un ölümden dönüşü</x:v>
      </x:c>
      <x:c r="I44" s="37" t="str">
        <x:v>Kaza geçirip klinik ölüm yaşayan Elrod, her sabah bir saat erken kalkıp altı alışkanlık uygulamanın hayatını nasıl dönüştürdüğünü anlattı.</x:v>
      </x:c>
      <x:c r="J44" s="37" t="str">
        <x:v>Hal Elrod 20 yaşındayken bir trafik kazası geçirdi.
Karşı şeritten gelen sarhoş bir sürücü onu saatte 130 kilometre hızla çarptı. Altı dakika klinik ölüm. Beyin hasarı. Doktorlar yürüyemeyeceğini söyledi.
Elrod yürüdü.
Ama iyileştikten sonra gerçek sorunla yüzleşti: Hayatı hiç istediği gibi değildi. İş yoktu. Para yoktu. Depresyon vardı.
##Bir sabah erken kalktı ve altı basit şey yaptı: meditasyon, affirmasyonlar, görselleştirme, egzersiz, okuma, günlük yazma. Her birine 10 dakika.##
60 dakika.
Sonraki iki ay içinde hayatı tanınmaz hale geldi. Borçları kapandı. Yeni bir iş kurdu. Enerjisi geri geldi.
Elrod bunu tesadüf saymıyor. Şöyle açıklıyor: Sabah saatleri zihnin en taze olduğu, dış dünyadan henüz etkilenmediği zamandır. O saatlerde kendinize yatırım yapmak, günün geri kalanını programlar.
Çoğumuz sabahı reaktif geçiririz: telefon, e-posta, haberler. Günü başkalarının gündemine göre başlatırız.
"Mucize Sabah" ise şunu söylüyor: Önce kendin. Sonra dünya.
$$Sabahını nasıl geçirdiğin, günü kimin kontrolünde geçireceğini belirler.$$
&amp;&amp;Sabahlarını şu an nasıl geçiriyorsun? Eğer ilk 30 dakikanı tamamen kendine ayırsaydın, günün geri kalanı nasıl farklı hissettirirdi?&amp;&amp;</x:v>
      </x:c>
      <x:c r="K44" s="37" t="str"/>
      <x:c r="L44" s="37" t="str"/>
      <x:c r="M44" s="37" t="str"/>
      <x:c r="N44" s="37" t="str"/>
      <x:c r="O44" s="37" t="str"/>
    </x:row>
    <x:row r="45" ht="20" customHeight="1">
      <x:c r="A45" s="33" t="n">
        <x:v>1102</x:v>
      </x:c>
      <x:c r="B45" s="34" t="str">
        <x:v>1</x:v>
      </x:c>
      <x:c r="C45" s="34" t="str">
        <x:v>Sağlık</x:v>
      </x:c>
      <x:c r="D45" s="34" t="str">
        <x:v>Alışkanlıklar</x:v>
      </x:c>
      <x:c r="E45" s="34" t="str">
        <x:v>Sabah Rutini</x:v>
      </x:c>
      <x:c r="F45" s="34" t="str">
        <x:v>Hal Elrod</x:v>
      </x:c>
      <x:c r="G45" s="34" t="str">
        <x:v>2012</x:v>
      </x:c>
      <x:c r="H45" s="37" t="str">
        <x:v>SAVERS — altı alışkanlığın bilimi</x:v>
      </x:c>
      <x:c r="I45" s="37" t="str">
        <x:v>Elrod'un geliştirdiği altı sabah alışkanlığının her biri, bilimsel araştırmalarla desteklenen zihinsel ve fiziksel faydalar sunuyor.</x:v>
      </x:c>
      <x:c r="J45" s="37" t="str">
        <x:v>Hal Elrod'un "Mucize Sabah" sisteminin altı alışkanlığı var. İngilizce baş harfleriyle SAVERS.
Silence — Sessizlik (meditasyon, nefes). Affirmations — Olumlamalar. Visualization — Görselleştirme. Exercise — Egzersiz. Reading — Okuma. Scribing — Yazma.
Her birinin ayrı bir bilimsel dayanağı var.
##Ama Elrod'un en güçlü keşfi şuydu: Altısını birden yapmak, tek tek toplamından çok daha büyük bir etki yaratıyor.##
Meditasyon kortizol seviyesini düşürüyor. Egzersiz beyin kaynaklı nörotrofik faktörü artırıyor — yeni nöron bağlantıları kuruluyor. Görselleştirme beyni gerçek deneyimler yaşıyor gibi aktive ediyor. Okuma yeni perspektifler açıyor. Yazma düşünceleri netleştiriyor.
Sabah bunların hepsini yapan bir insan güne ne kadar farklı başlıyor, düşün.
Elrod şunu söylüyor: Her alışkanlık için mutlaka 10 dakikaya ihtiyacın yok. Sistemin en kısa versiyonu altı dakika: Her alışkanlığa bir dakika. Bu bile hiç yapmamaktan sonsuz kez daha iyidir.
Küçük başla. Tutarlı kal. Kazan.
$$Bir dakika bile olsa, kendine yatırım yapılan her sabah sıradan bir günü olağanüstüye dönüştürebilir.$$
&amp;&amp;Altı alışkanlıktan hangisi senin için en kolay, hangisi en zor? En kolay olandan başlayıp yarın sabah sadece onu yapsan ne olur?&amp;&amp;</x:v>
      </x:c>
      <x:c r="K45" s="37" t="str"/>
      <x:c r="L45" s="37" t="str"/>
      <x:c r="M45" s="37" t="str"/>
      <x:c r="N45" s="37" t="str"/>
      <x:c r="O45" s="37" t="str"/>
    </x:row>
    <x:row r="46" ht="20" customHeight="1">
      <x:c r="A46" s="33" t="n">
        <x:v>1103</x:v>
      </x:c>
      <x:c r="B46" s="34" t="str">
        <x:v>1</x:v>
      </x:c>
      <x:c r="C46" s="34" t="str">
        <x:v>Sağlık</x:v>
      </x:c>
      <x:c r="D46" s="34" t="str">
        <x:v>Alışkanlıklar</x:v>
      </x:c>
      <x:c r="E46" s="34" t="str">
        <x:v>Sabah Rutini</x:v>
      </x:c>
      <x:c r="F46" s="34" t="str">
        <x:v>Hal Elrod</x:v>
      </x:c>
      <x:c r="G46" s="34" t="str">
        <x:v>2012</x:v>
      </x:c>
      <x:c r="H46" s="37" t="str">
        <x:v>Beş saniyelik kural ve erken kalkma</x:v>
      </x:c>
      <x:c r="I46" s="37" t="str">
        <x:v>Elrod'un erken kalkma felsefesi, Robin Sharma ve Mel Robbins'in araştırmalarıyla örtüşen evrensel bir üretkenlik sırrını ortaya koyuyor.</x:v>
      </x:c>
      <x:c r="J46" s="37" t="str">
        <x:v>Saat sabahın 5'i.
Alarm çalıyor. Ve beyin devreye giriyor: "5 dakika daha. Bugün yorgunum. Yarın başlarım."
Hal Elrod bu anı "Mucize Sabah"ın en kritik noktası olarak tanımlıyor.
Çünkü o 5 dakika genellikle 30 dakikaya dönüşüyor. Ve sabah rutini yaşanmıyor. Ve kendine verilen söz bozuluyor. Ve bu kırılma, günün geri kalanını etkiliyor.
Elrod'un çözümü basit ama güçlü: Alarm çalınca, beş saniye içinde kalk.
##Beş saniyeden uzun beklersen, beyin seni yatakta tutmak için yüzlerce sebep üretir. Beş saniye ise çok kısa — beyin yetişemiyor.##
Mel Robbins bunu "Beş Saniye Kuralı" kitabında bağımsız olarak keşfetti. Robin Sharma "5 AM Club"da aynı ilkeyi işledi.
Üç farklı yazar, aynı sonuca ulaştı.
Elrod şunu söylüyor: Erken kalkmak hedef değil. Erken kalkma, bir araç. Kendinize "sabahları değer veririm" demenin somut kanıtı.
Ve her kanıt, kimliği güçlendirir.
$$Aldığın her küçük karar — yataktan çıkmak dahil — sana dair bir şeyi ya onaylar ya da çürütür.$$
&amp;&amp;Yataktan kalkmakta zorlandığın sabahları düşün. O 5 dakika senden ne çalıyor — sadece uyku mu, yoksa o günün potansiyeli mi?&amp;&amp;</x:v>
      </x:c>
      <x:c r="K46" s="37" t="str"/>
      <x:c r="L46" s="37" t="str"/>
      <x:c r="M46" s="37" t="str"/>
      <x:c r="N46" s="37" t="str"/>
      <x:c r="O46" s="37" t="str"/>
    </x:row>
    <x:row r="47" ht="20" customHeight="1">
      <x:c r="A47" s="33" t="n">
        <x:v>1104</x:v>
      </x:c>
      <x:c r="B47" s="34" t="str">
        <x:v>1</x:v>
      </x:c>
      <x:c r="C47" s="34" t="str">
        <x:v>Liderlik</x:v>
      </x:c>
      <x:c r="D47" s="34" t="str">
        <x:v>Strateji</x:v>
      </x:c>
      <x:c r="E47" s="34" t="str">
        <x:v>Güç Yasaları</x:v>
      </x:c>
      <x:c r="F47" s="34" t="str">
        <x:v>Robert Greene</x:v>
      </x:c>
      <x:c r="G47" s="34" t="str">
        <x:v>1998</x:v>
      </x:c>
      <x:c r="H47" s="37" t="str">
        <x:v>Bismarck'ın savaşmadan kazanma sanatı</x:v>
      </x:c>
      <x:c r="I47" s="37" t="str">
        <x:v>Prusya başbakanı Bismarck, rakiplerini birbirlerine karşı oynayarak hiç savaşmadan Almanya'yı birleştirdi.</x:v>
      </x:c>
      <x:c r="J47" s="37" t="str">
        <x:v>1860'lar. Avrupa parçalanmış, birbiriyle rekabet eden devletler halindeydi.
Otto von Bismarck Prusya'nın başbakanı oldu. Hedefi Almanya'yı birleştirmekti. Ama elindeki ordu rakiplerinden güçlü değildi.
Bismarck savaşmadı.
Onun yerine farklı bir şey yaptı: Rakiplerini birbirine karşı oynadı. Avusturya'ya Danimarka'ya karşı Prusya'nın yanında savaşmayı önerdi. Sonra Avusturya'yı zayıflattı. Sonra Fransa'yı izole etti.
##Her adımda rakipleri kendi aralarında çarpışırken, Bismarck güçleniyordu.##
Robert Greene bunu "Güç Yasaları"nın 3. Yasası olarak kodluyor: Niyetini gizle. Doğrudan meydan okumak yerine, rakiplerini kendi aralarında yorup zayıflatmak çok daha verimlidir.
Greene bu kitabı yazdığında büyük eleştiriler aldı. "Manipülatif" dediler. Ama Greene'in cevabı netti: "Bu yasaları anlamamak onları daha az geçerli kılmıyor. Aksine, bilmemek sizi savunmasız bırakıyor."
Güç dinamiklerini anlamak onları kullanmak zorunda olduğun anlamına gelmiyor. Ama etrafındaki oyunları görebilmek için o dinamikleri anlamak gerekiyor.
$$Gücün en verimli formu, çoğu zaman görünmeyendir.$$
&amp;&amp;Hayatında ya da iş ortamında fark etmeden güç oyunlarının içinde olduğun bir an var mı? O dinamikleri daha net görseydin nasıl farklı davranırdın?&amp;&amp;</x:v>
      </x:c>
      <x:c r="K47" s="37" t="str"/>
      <x:c r="L47" s="37" t="str"/>
      <x:c r="M47" s="37" t="str"/>
      <x:c r="N47" s="37" t="str"/>
      <x:c r="O47" s="37" t="str"/>
    </x:row>
    <x:row r="48" ht="20" customHeight="1">
      <x:c r="A48" s="33" t="n">
        <x:v>1105</x:v>
      </x:c>
      <x:c r="B48" s="34" t="str">
        <x:v>1</x:v>
      </x:c>
      <x:c r="C48" s="34" t="str">
        <x:v>Liderlik</x:v>
      </x:c>
      <x:c r="D48" s="34" t="str">
        <x:v>Strateji</x:v>
      </x:c>
      <x:c r="E48" s="34" t="str">
        <x:v>Güç Yasaları</x:v>
      </x:c>
      <x:c r="F48" s="34" t="str">
        <x:v>Robert Greene</x:v>
      </x:c>
      <x:c r="G48" s="34" t="str">
        <x:v>1998</x:v>
      </x:c>
      <x:c r="H48" s="37" t="str">
        <x:v>Talleyrand'ın hayatta kalma sanatı</x:v>
      </x:c>
      <x:c r="I48" s="37" t="str">
        <x:v>Talleyrand, Fransız Devrimi'nden Napoleon'a kadar her rejimde üst düzey pozisyon korudu — uyum sanatının şaşırtıcı bir örneği.</x:v>
      </x:c>
      <x:c r="J48" s="37" t="str">
        <x:v>Charles-Maurice de Talleyrand, tarihin en hayatta kalmayı başaran diplomatlarından biriydi.
Fransız Devrimi geldi — Talleyrand hayatta kaldı.
Napolyon iktidarı geldi — Talleyrand hayatta kaldı ve dışişleri bakanı oldu.
Napolyon düştü — Talleyrand hayatta kaldı ve yeni rejimde de üst pozisyon aldı.
Bourbon Restorasyonu geldi — Talleyrand hayatta kaldı.
Neredeyse 80 yaşına kadar, her siyasi fırtınanın ortasında pozisyonunu korudu.
##Napolyon bir gün ona sordu: "Seni öldüremiyorum, satın alamıyorum — seni ne yapayım?" Talleyrand güldü.##
Robert Greene bu hikayeyi "Güç Yasaları"nın temel dersiyle ilişkilendiriyor: Güçlünün yanında dur, ama onu ihtiyaç duyar hale getir. Asla vazgeçilmez ol.
Talleyrand her yeni liderle birlikte çalıştı. Ama her seferinde şunu sordu: "Bu lider neye ihtiyaç duyuyor ve ben bunu en iyi nasıl sağlarım?"
Kendi güç tabanını korurken diğerine vazgeçilmez göründü.
Çarpıcı olan şu: Talleyrand hiç kendi rejimini kurmaya çalışmadı. Sahneye çıkmak yerine, sahnenin arkasında kalmayı tercih etti.
$$Güç çoğu zaman en yüksek sesle değil, en stratejik şekilde konuşur.$$
&amp;&amp;Hayatında ya da işinde, sahneye çıkmak yerine arkada kalarak daha fazla etki yaratabileceğin bir alan var mı?&amp;&amp;</x:v>
      </x:c>
      <x:c r="K48" s="37" t="str"/>
      <x:c r="L48" s="37" t="str"/>
      <x:c r="M48" s="37" t="str"/>
      <x:c r="N48" s="37" t="str"/>
      <x:c r="O48" s="37" t="str"/>
    </x:row>
    <x:row r="49" ht="20" customHeight="1">
      <x:c r="A49" s="33" t="n">
        <x:v>1106</x:v>
      </x:c>
      <x:c r="B49" s="34" t="str">
        <x:v>1</x:v>
      </x:c>
      <x:c r="C49" s="34" t="str">
        <x:v>Liderlik</x:v>
      </x:c>
      <x:c r="D49" s="34" t="str">
        <x:v>Strateji</x:v>
      </x:c>
      <x:c r="E49" s="34" t="str">
        <x:v>Güç Yasaları</x:v>
      </x:c>
      <x:c r="F49" s="34" t="str">
        <x:v>Robert Greene</x:v>
      </x:c>
      <x:c r="G49" s="34" t="str">
        <x:v>1998</x:v>
      </x:c>
      <x:c r="H49" s="37" t="str">
        <x:v>Sergileme ve itibar yasası</x:v>
      </x:c>
      <x:c r="I49" s="37" t="str">
        <x:v>Greene, itibarın güç için en değerli varlık olduğunu ve bir kez zedelendiğinde her şeyin çökebileceğini tarihsel örneklerle anlatıyor.</x:v>
      </x:c>
      <x:c r="J49" s="37" t="str">
        <x:v>Robert Greene tarihe bakıyor ve tekrar eden bir örüntü görüyor.
En güçlü insanlar — siyasetçiler, iş insanları, sanatçılar — itibarlarını en büyük servetleri gibi korudu. Ve itibarlarını kaybettiklerinde, diğer her şeyleri de gitti.
Richard Nixon'ı düşün. Güçlü bir başkan. Ama Watergate sonrası itibarı çöktü ve onunla birlikte her şey çöktü.
##Greene'in 5. Yasası açık: "İtibarı her şeyden üstün tut. İtibarın senin temelindir."##
Ama Greene daha da ileri gidiyor: İtibar yalnızca savunulacak bir şey değil, aktif olarak inşa edilecek bir şey.
Rakibinin itibarını zedelemek, kendi itibarını yükseltmekten çok daha tehlikeli bir strateji. Çünkü insanlar saldırganı da yargılar.
Bunun yerine Greene şunu öneriyor: Kendi itibarını inşa et. Yaptığın işin kalitesiyle, verdiğin sözleri tutmayla, zorlu anlarda tutarlı davranmayla.
İtibar birikerek büyür. Ve büyüdükçe, korur.
$$İtibar inşa etmek yıllarca sürer, yıkmak ise bir an.$$
&amp;&amp;Seni tanıyan insanlar seni nasıl tarif eder? Ve bu tarif, olmak istediğin kişiyle örtüşüyor mu?&amp;&amp;</x:v>
      </x:c>
      <x:c r="K49" s="37" t="str"/>
      <x:c r="L49" s="37" t="str"/>
      <x:c r="M49" s="37" t="str"/>
      <x:c r="N49" s="37" t="str"/>
      <x:c r="O49" s="37" t="str"/>
    </x:row>
    <x:row r="50" ht="20" customHeight="1">
      <x:c r="A50" s="33" t="n">
        <x:v>1107</x:v>
      </x:c>
      <x:c r="B50" s="34" t="str">
        <x:v>1</x:v>
      </x:c>
      <x:c r="C50" s="34" t="str">
        <x:v>Liderlik</x:v>
      </x:c>
      <x:c r="D50" s="34" t="str">
        <x:v>Strateji</x:v>
      </x:c>
      <x:c r="E50" s="34" t="str">
        <x:v>Güç Yasaları</x:v>
      </x:c>
      <x:c r="F50" s="34" t="str">
        <x:v>Robert Greene</x:v>
      </x:c>
      <x:c r="G50" s="34" t="str">
        <x:v>1998</x:v>
      </x:c>
      <x:c r="H50" s="37" t="str">
        <x:v>Mahkeme soytarısının bilgeliği</x:v>
      </x:c>
      <x:c r="I50" s="37" t="str">
        <x:v>Greene, ortaçağ saray soytarılarının gerçek gücünü anlatarak dikkat çekme sanatının nasıl stratejik bir araç olduğunu gösteriyor.</x:v>
      </x:c>
      <x:c r="J50" s="37" t="str">
        <x:v>Ortaçağ Avrupası'nda saray soytarıları garip bir güce sahipti.
Krala kimsenin söyleyemediği gerçekleri söyleyebilirlerdi. Politikacıları, soyluları, hatta yönetişim hatalarını alay yoluyla eleştirebilirlerdi. Ve genellikle cezalandırılmazlardı.
Neden?
##Çünkü soytarı, gülücüklerin arkasına saklanırdı. Eleştiri "şaka" olduğunda, savunmak gereksizleşirdi.##
Robert Greene bunu modern hayata şöyle uyarlıyor: Dikkat çekme sanatı bir güç aracıdır. Ama dikkat çekmenin iki yolu var — sıradan ve olağanüstü.
Sıradan dikkat geçici. Olağanüstü, sürekli çekim alanı yaratır.
Sanatçılar, girişimciler, liderler — tarihte kalıcı iz bırakanlar hep bir "marka" yarattı. Bu marka bazen bir stil, bazen bir bakış açısı, bazen bir cesaret.
Greene'in mesajı bu: Tanınmak istiyorsan, tanınmayı tasarla. Tesadüfe bırakma. Nasıl görüneceğini, nasıl konuşacağını, ne zaman sus ne zaman çığlık atacağını düşün.
Ama dikkat: Şovmenlik ile özgünlük farklı şeyler. En güçlü dikkat çekme, sahte bir imaj değil, kendinin en güçlü versiyonu üzerine inşa edilir.
$$Dikkat çekmek bir yetenek değil, bir strateji — ve her strateji öğrenilebilir.$$
&amp;&amp;Seni tanıyan insanlar seni nasıl hatırlıyor? Ve hatırlanmak istediğin şekil bu mu?&amp;&amp;</x:v>
      </x:c>
      <x:c r="K50" s="37" t="str"/>
      <x:c r="L50" s="37" t="str"/>
      <x:c r="M50" s="37" t="str"/>
      <x:c r="N50" s="37" t="str"/>
      <x:c r="O50" s="37" t="str"/>
    </x:row>
    <x:row r="51" ht="20" customHeight="1">
      <x:c r="A51" s="33" t="n">
        <x:v>1108</x:v>
      </x:c>
      <x:c r="B51" s="34" t="str">
        <x:v>1</x:v>
      </x:c>
      <x:c r="C51" s="34" t="str">
        <x:v>Psikoloji</x:v>
      </x:c>
      <x:c r="D51" s="34" t="str">
        <x:v>Psikoloji</x:v>
      </x:c>
      <x:c r="E51" s="34" t="str">
        <x:v>Emotional Intelligence</x:v>
      </x:c>
      <x:c r="F51" s="34" t="str">
        <x:v>Daniel Goleman</x:v>
      </x:c>
      <x:c r="G51" s="34" t="str">
        <x:v>1995</x:v>
      </x:c>
      <x:c r="H51" s="37" t="str">
        <x:v>Dört yaşında marshmallow testi</x:v>
      </x:c>
      <x:c r="I51" s="37" t="str">
        <x:v>Stanford araştırması, bir marshmallow yemeyi bekleyebilen çocukların 30 yıl sonra daha başarılı hayatlar sürdüğünü ortaya koydu.</x:v>
      </x:c>
      <x:c r="J51" s="37" t="str">
        <x:v>Stanford Üniversitesi, 1972. Dört yaşında bir çocuk odaya alındı.
Masanın üzerinde bir marshmallow vardı.
Araştırmacı şöyle dedi: "Bu marshmallowu şimdi yiyebilirsin. Ama ben geri gelene kadar yemezsen, sana iki tane vereceğim."
Araştırmacı çıktı.
##Sabırlı çocukların yüzde otuzdan azı beklemeyi başarabildi. Ama bu az sayıda çocuk, 30 yıl boyunca izlendiğinde çok daha başarılı sonuçlar gösterdi.##
Daha yüksek SAT puanları. Daha sağlıklı ilişkiler. Daha az madde bağımlılığı. Daha yüksek gelir.
Daniel Goleman bu araştırmayı "Duygusal Zeka"nın merkezine koyuyor: Anlık dürtüleri kontrol etme kapasitesi, IQ'dan çok daha güçlü bir yaşam belirleyicisi.
Ama Goleman'ın önemli bir nüansı var: Bu tamamen doğuştan gelen bir kapasite değil. Duygusal düzenleme becerisi geliştirilebilir.
Stres altında nasıl davrandığın, öfke anında ne seçtiğin, anlık zevk yerine uzun vadeli ödülü tercih edip etmediğin — bunların hepsi kaslar gibi çalışıyor. Egzersizle güçleniyor.
$$Anlık duyguya değil, uzun vadeli değere göre seçim yapabilmek — işte duygusal zekanın özü bu.$$
&amp;&amp;Son zamanlarda anlık bir dürtüye yenildiğinde, geriye dönüp baktığında o seçim seni nereye götürdü?&amp;&amp;</x:v>
      </x:c>
      <x:c r="K51" s="37" t="str"/>
      <x:c r="L51" s="37" t="str"/>
      <x:c r="M51" s="37" t="str"/>
      <x:c r="N51" s="37" t="str"/>
      <x:c r="O51" s="37" t="str"/>
    </x:row>
    <x:row r="52" ht="20" customHeight="1">
      <x:c r="A52" s="33" t="n">
        <x:v>1109</x:v>
      </x:c>
      <x:c r="B52" s="34" t="str">
        <x:v>1</x:v>
      </x:c>
      <x:c r="C52" s="34" t="str">
        <x:v>Psikoloji</x:v>
      </x:c>
      <x:c r="D52" s="34" t="str">
        <x:v>Psikoloji</x:v>
      </x:c>
      <x:c r="E52" s="34" t="str">
        <x:v>Emotional Intelligence</x:v>
      </x:c>
      <x:c r="F52" s="34" t="str">
        <x:v>Daniel Goleman</x:v>
      </x:c>
      <x:c r="G52" s="34" t="str">
        <x:v>1995</x:v>
      </x:c>
      <x:c r="H52" s="37" t="str">
        <x:v>IQ'yu geçen EQ deneyi</x:v>
      </x:c>
      <x:c r="I52" s="37" t="str">
        <x:v>Harvard araştırması, yüksek IQ'lu kişilerin değil, duygusal zekası güçlü kişilerin kariyerde ve ilişkilerde daha başarılı olduğunu kanıtladı.</x:v>
      </x:c>
      <x:c r="J52" s="37" t="str">
        <x:v>Daniel Goleman bir araştırmayı inceledi ve şok oldu.
Harvard Business School mezunları takip edilmişti. IQ'ları, akademik başarıları, diplomaları — her şeyleri vardı. Ama 20 yıl sonra hayatlarına bakıldığında...
Kariyer başarısı, ilişki kalitesi ve genel mutlulukla en güçlü korelasyonu olan şey IQ değildi.
##Duygusal zekasıydı.##
Goleman bunu beş bileşene ayırıyor: Öz farkındalık (ne hissettiğini bilmek), öz düzenleme (duygularını yönetmek), motivasyon, empati ve sosyal beceriler.
İlginç bir örnek: İki çalışan var. Biri zekanın tepesinde, teknik olarak mükemmel. Ama ekibiyle anlaşamıyor, eleştiriye savunmacı tepki veriyor, stres altında çöküyor.
Diğeri orta düzeyde teknik beceriye sahip. Ama insanları anlıyor, zor anlarda sakin kalıyor, ekibini motive edebiliyor.
Araştırmalar defalarca ikincisinin daha iyi lider, daha başarılı yönetici ve daha mutlu bir insan olduğunu gösterdi.
Zeka kapı açar. Ama duygusal zeka o kapıdan içeriye taşır.
$$Teknik yetenek tavan belirler; duygusal zeka o tavana ulaştırır.$$
&amp;&amp;İş ya da özel hayatında seni en çok zorlayan duygusal an hangisi? O anda farklı tepki verebilseydin ne değişirdi?&amp;&amp;</x:v>
      </x:c>
      <x:c r="K52" s="37" t="str"/>
      <x:c r="L52" s="37" t="str"/>
      <x:c r="M52" s="37" t="str"/>
      <x:c r="N52" s="37" t="str"/>
      <x:c r="O52" s="37" t="str"/>
    </x:row>
    <x:row r="53" ht="20" customHeight="1">
      <x:c r="A53" s="33" t="n">
        <x:v>1110</x:v>
      </x:c>
      <x:c r="B53" s="34" t="str">
        <x:v>1</x:v>
      </x:c>
      <x:c r="C53" s="34" t="str">
        <x:v>Psikoloji</x:v>
      </x:c>
      <x:c r="D53" s="34" t="str">
        <x:v>Psikoloji</x:v>
      </x:c>
      <x:c r="E53" s="34" t="str">
        <x:v>Emotional Intelligence</x:v>
      </x:c>
      <x:c r="F53" s="34" t="str">
        <x:v>Daniel Goleman</x:v>
      </x:c>
      <x:c r="G53" s="34" t="str">
        <x:v>1995</x:v>
      </x:c>
      <x:c r="H53" s="37" t="str">
        <x:v>Öfke döngüsü ve nörolojik kaçırılma</x:v>
      </x:c>
      <x:c r="I53" s="37" t="str">
        <x:v>Goleman, beynin tehdit algıladığında mantıksal düşünceyi devre dışı bırakmasını 'amigdala kaçırması' kavramıyla açıklıyor.</x:v>
      </x:c>
      <x:c r="J53" s="37" t="str">
        <x:v>Bir düşünce deneyi yap.
Son kez gerçekten öfkelendiğinde — bağırdığın, söylediğine pişman olduğun, yaptığına ağladığın o an — ne olmuştu?
Muhtemelen şunları fark edersin: O an çok net düşünemiyordun. Sonradan "neden bunu söyledim ki" dedin. Beyin sanki kısa devreye uğramış gibiydi.
##Daniel Goleman buna "amigdala kaçırması" diyor — beynin tehdit sensörü devreye girince, mantıksal düşünce merkezi adeta kapanıyor.##
Evrimsel olarak bu mantıklı. Bir aslan saldırırsa, analitik düşünce için zaman yok. Hızlı tepki ver, hayatta kal.
Ama modern tehditler aslan değil. Sinir bozucu bir e-posta, haksız bir eleştiri, trafik sıkışıklığı. Ve beyin bunlara da aynı şekilde tepki veriyor.
Goleman'ın çözümü şu: Tetiklendiğinde hemen tepki verme. Beyin amigdala kaçırmasından kurtulmak için birkaç dakikaya ihtiyaç duyuyor.
Derin bir nefes. Kısa bir yürüyüş. "Bu konuşmayı 10 dakika sonra yapalım." Bu küçük seçimler, amigdalayı yatıştırıp prefrontal korteksi — yani gerçek sen'i — tekrar devreye sokuyor.
$$Öfkenin en güçlü olduğu an, onun kararlarını vermenin en tehlikeli anıdır.$$
&amp;&amp;Seni en sık "kaçıran" tetikleyici nedir? Ve o anın ortasında kendini fark ettiğinde bir sonraki adım ne olabilir?&amp;&amp;</x:v>
      </x:c>
      <x:c r="K53" s="37" t="str"/>
      <x:c r="L53" s="37" t="str"/>
      <x:c r="M53" s="37" t="str"/>
      <x:c r="N53" s="37" t="str"/>
      <x:c r="O53" s="37" t="str"/>
    </x:row>
    <x:row r="54" ht="20" customHeight="1">
      <x:c r="A54" s="33" t="n">
        <x:v>1111</x:v>
      </x:c>
      <x:c r="B54" s="34" t="str">
        <x:v>1</x:v>
      </x:c>
      <x:c r="C54" s="34" t="str">
        <x:v>Finans</x:v>
      </x:c>
      <x:c r="D54" s="34" t="str">
        <x:v>Pazarlama</x:v>
      </x:c>
      <x:c r="E54" s="34" t="str">
        <x:v>Purple Cow</x:v>
      </x:c>
      <x:c r="F54" s="34" t="str">
        <x:v>Seth Godin</x:v>
      </x:c>
      <x:c r="G54" s="34" t="str">
        <x:v>2003</x:v>
      </x:c>
      <x:c r="H54" s="37" t="str">
        <x:v>Mor inek metaforu</x:v>
      </x:c>
      <x:c r="I54" s="37" t="str">
        <x:v>Godin, uzun bir yolculukta önce ilginç bulunan ineklerin zamanla sıradanlaşmasıyla yalnızca alışılmadık olanın dikkat çektiğini anlatıyor.</x:v>
      </x:c>
      <x:c r="J54" s="37" t="str">
        <x:v>Godin bir gün ailesiyle birlikte kırsal bir yoldan araba sürerken pencereden ineklere bakmaya başladı.
İlk birkaç dakika: "Vay, ne güzel inekler."
On dakika sonra: Kimse ineklere bakmıyordu.
Çünkü inek görünce inek görüyorsun — zaten böyle.
##Ama o ineklerden biri mor olsaydı, araba durdurulurak fotoğraf çekilirdi.##
Godin bu basit metaforla pazarlamanın en derin sorusunu soruyor: Ürünün, hizmetin, kariyerin — mor mu, yoksa bej mi?
"İyi" artık yeterli değil. Güvenilir, kaliteli, makul fiyatlı — bunlar birer standart haline geldi. Ve standart olan, görünmez olan demek.
Godin bunu tarihin en başarılı markalarıyla kanıtlıyor: Starbucks başta "bir bardak kahveye bu para mı?" dedirtti. Cirque du Soleil başta "sirk mi, ciddi misin?" dedirtti. Amazon başta "kitap mı internetten?" dedirtti.
Hepsinin ortak noktası: İlk tepki genellikle şüphe ya da küçümsemeydi. Çünkü gerçekten farklıydılar.
Ve farklı olmak risk taşır. Ama sıradan olmak çok daha büyük bir risk — görünmezlik.
$$Güvenli olan sıradan olmak değil; sıradan olmak en büyük risktir.$$
&amp;&amp;Şu an yaptığın iş ya da sunduğun değer gerçekten mor mu? Yoksa çok sayıda benzerinin arasında kaybolan bir inek mi?&amp;&amp;</x:v>
      </x:c>
      <x:c r="K54" s="37" t="str"/>
      <x:c r="L54" s="37" t="str"/>
      <x:c r="M54" s="37" t="str"/>
      <x:c r="N54" s="37" t="str"/>
      <x:c r="O54" s="37" t="str"/>
    </x:row>
    <x:row r="55" ht="20" customHeight="1">
      <x:c r="A55" s="33" t="n">
        <x:v>1112</x:v>
      </x:c>
      <x:c r="B55" s="34" t="str">
        <x:v>1</x:v>
      </x:c>
      <x:c r="C55" s="34" t="str">
        <x:v>Finans</x:v>
      </x:c>
      <x:c r="D55" s="34" t="str">
        <x:v>Pazarlama</x:v>
      </x:c>
      <x:c r="E55" s="34" t="str">
        <x:v>Purple Cow</x:v>
      </x:c>
      <x:c r="F55" s="34" t="str">
        <x:v>Seth Godin</x:v>
      </x:c>
      <x:c r="G55" s="34" t="str">
        <x:v>2003</x:v>
      </x:c>
      <x:c r="H55" s="37" t="str">
        <x:v>Michelin rehberinin doğuşu</x:v>
      </x:c>
      <x:c r="I55" s="37" t="str">
        <x:v>Michelin, araba sahiplerini yolculuğa teşvik etmek için yemek rehberi çıkardı; alakasız görünen bu fikir markayı efsaneleştirdi.</x:v>
      </x:c>
      <x:c r="J55" s="37" t="str">
        <x:v>1900. Fransa'da yalnızca 3.000 araba vardı.
André ve Édouard Michelin lastik şirketi işletiyordu. Ama lastik satmak için insanların araba kullanması, araba kullanmaları için de yolculuk yapmaları gerekiyordu.
Onlara garip bir fikir geldi: Sürücüler için ücretsiz bir rehber yayımlasalar?
Benzin istasyonları, tamirciler, oteller, restoranlar. Tüm bilgiler tek bir kitapçıkta.
##Sonraki on yıllarda Michelin Rehberi, dünyanın en prestijli yemek rehberi haline geldi. Bir restoran için Michelin yıldızı, kariyerin zirve noktasıdır.##
Michelin lastik satmak istiyordu. Ama yemek rehberi yayımladı. Ve bu "alakasız" hamle, markayı lastikten çok daha büyük bir şey yaptı.
Godin bu hikayeyi şöyle yorumluyor: En çarpıcı pazarlama genellikle "pazarlama gibi görünmez." Sürücülere faydalı bir şey ver — lastik almaları için değil, sadece işe yaradığı için.
Ve insanlar buna anlam yükler. Michelin artık sadece lastik değil, güzel bir yolculuğun, lezzetli bir yemeğin, iyi bir hayatın sembolü.
$$En iyi pazarlama, pazarlama gibi hissettirmeyen pazarlamadır.$$
&amp;&amp;Müşterilerine, takipçilerine ya da çevrene gerçekten işe yarayan, karşılık beklemeden sunabileceğin bir şey nedir?&amp;&amp;</x:v>
      </x:c>
      <x:c r="K55" s="37" t="str"/>
      <x:c r="L55" s="37" t="str"/>
      <x:c r="M55" s="37" t="str"/>
      <x:c r="N55" s="37" t="str"/>
      <x:c r="O55" s="37" t="str"/>
    </x:row>
    <x:row r="56" ht="20" customHeight="1">
      <x:c r="A56" s="33" t="n">
        <x:v>1113</x:v>
      </x:c>
      <x:c r="B56" s="34" t="str">
        <x:v>1</x:v>
      </x:c>
      <x:c r="C56" s="34" t="str">
        <x:v>Finans</x:v>
      </x:c>
      <x:c r="D56" s="34" t="str">
        <x:v>Pazarlama</x:v>
      </x:c>
      <x:c r="E56" s="34" t="str">
        <x:v>Purple Cow</x:v>
      </x:c>
      <x:c r="F56" s="34" t="str">
        <x:v>Seth Godin</x:v>
      </x:c>
      <x:c r="G56" s="34" t="str">
        <x:v>2003</x:v>
      </x:c>
      <x:c r="H56" s="37" t="str">
        <x:v>Çöküşün ortasında büyümek — çukurun sonu</x:v>
      </x:c>
      <x:c r="I56" s="37" t="str">
        <x:v>Godin, her alanda başarıya giden yolda kaçınılmaz bir 'çukur' olduğunu ve çoğu insanın tam bu noktada pes ettiğini anlatıyor.</x:v>
      </x:c>
      <x:c r="J56" s="37" t="str">
        <x:v>Seth Godin şöyle bir soru soruyor: Gitarı öğrenmeye başlayan kaç kişiyi tanıyorsunuz?
Çoğumuzun cevabı: "Bir sürü."
Peki gerçekten iyi gitarcı kaç kişiyi tanıyorsunuz?
"Çok az."
İkisi arasındaki fark nerede kayboluyor?
##Godin buna "Çukur" diyor — başlangıcın heyecanı geçtikten sonra, ustalık gelmeden önceki o uzun, acı veren, görünmez sıkıntı dönemi.##
Çukur acıtır. Çünkü o noktada ne yeni başlayanların coşkusu var, ne de ustanın tatmini. Sadece zorluk var.
Ve çoğu insan tam burada bırakıyor.
Godin'in tezi şu: Her alanda gerçek ustalığa giden yolda bu çukur kaçınılmaz. Ama çukurun özelliği şu: Onu geçebilecek kadar az kişi var ki, öbür tarafta neredeyse rekabet yok.
Peki nasıl geçersin?
Önce çukurun var olduğunu bil. Sonra onu geçmeye değer olup olmadığına karar ver. Değmiyorsa, dürüstçe bırak. Değiyorsa, bırakmamaya karar ver.
$$Pes etmek bir strateji olabilir — ama çukurun ortasında verilen karar asla doğru zamanlama değildir.$$
&amp;&amp;Şu an hayatında bir "çukur"da olduğun bir şey var mı? Bu çukuru geçmeye değer mi, yoksa dürüstçe bırakma zamanı mı geldi?&amp;&amp;</x:v>
      </x:c>
      <x:c r="K56" s="37" t="str"/>
      <x:c r="L56" s="37" t="str"/>
      <x:c r="M56" s="37" t="str"/>
      <x:c r="N56" s="37" t="str"/>
      <x:c r="O56" s="37" t="str"/>
    </x:row>
    <x:row r="57" ht="20" customHeight="1">
      <x:c r="A57" s="33" t="n">
        <x:v>1114</x:v>
      </x:c>
      <x:c r="B57" s="34" t="str">
        <x:v>1</x:v>
      </x:c>
      <x:c r="C57" s="34" t="str">
        <x:v>Finans</x:v>
      </x:c>
      <x:c r="D57" s="34" t="str">
        <x:v>Pazarlama</x:v>
      </x:c>
      <x:c r="E57" s="34" t="str">
        <x:v>Purple Cow</x:v>
      </x:c>
      <x:c r="F57" s="34" t="str">
        <x:v>Seth Godin</x:v>
      </x:c>
      <x:c r="G57" s="34" t="str">
        <x:v>2003</x:v>
      </x:c>
      <x:c r="H57" s="37" t="str">
        <x:v>En iyi olmak kimin için?</x:v>
      </x:c>
      <x:c r="I57" s="37" t="str">
        <x:v>Godin, 'dünyanın en iyisi' olmak için dünyanın değil, küçük ve belirli bir kitlenin en iyisi olmanın yeterli olduğunu anlatıyor.</x:v>
      </x:c>
      <x:c r="J57" s="37" t="str">
        <x:v>Godin şu soruyu soruyor: "Dünyanın en iyi pizzacısı olmak ister misin?"
Çoğu insan güler: "Imkansız, bu çok büyük bir hedef."
Godin ise şöyle devam ediyor: "Peki ya Brookyn'in 5. Cadde'sindeki pizzacılar arasında en iyisi?"
Bu da zor. Ama ulaşılabilir.
##"Dünyanın en iyisi" artık coğrafi değil — Google sayesinde her niş küresel.##
Godin bunu şöyle açıklıyor: "En iyi" tanımı tamamen "kimin için" sorusuyla şekilleniyor.
"Sol elini kullanan, 35-50 yaş arası, caz dinleyen gitarcılar için en iyi gitar öğretmeni" olmak mümkün. Ve o kitle seni Google'da bulduğunda, tam olarak aradıklarını buldukları için başka yere bakmıyorlar.
Genel için vasat olmak mı? Yoksa belirli bir kitle için mükemmel olmak mı?
Godin'in cevabı net: İkincisi hem daha ulaşılabilir, hem daha karlı, hem de çok daha anlamlı.
Çünkü geniş kitleye hitap etmeye çalışmak, herkese vasat görünmek demektir. Dar ama derin bir niş ise sizi gerçekten arayanlara mükemmel göründüğünüz yer.
$$Herkese bir şey olmaya çalışmak, kimseye mükemmel olamamak demektir.$$
&amp;&amp;Şu an sunduğun değer kime özellikle mükemmel geliyor? O kişiyi ya da grubu daha net tanımlayabilir misin?&amp;&amp;</x:v>
      </x:c>
      <x:c r="K57" s="37" t="str"/>
      <x:c r="L57" s="37" t="str"/>
      <x:c r="M57" s="37" t="str"/>
      <x:c r="N57" s="37" t="str"/>
      <x:c r="O57" s="37" t="str"/>
    </x:row>
    <x:row r="58" ht="20" customHeight="1">
      <x:c r="A58" s="33" t="n">
        <x:v>1115</x:v>
      </x:c>
      <x:c r="B58" s="34" t="str">
        <x:v>1</x:v>
      </x:c>
      <x:c r="C58" s="34" t="str">
        <x:v>Finans</x:v>
      </x:c>
      <x:c r="D58" s="34" t="str">
        <x:v>Finans</x:v>
      </x:c>
      <x:c r="E58" s="34" t="str">
        <x:v>The Psychology of Money</x:v>
      </x:c>
      <x:c r="F58" s="34" t="str">
        <x:v>Morgan Housel</x:v>
      </x:c>
      <x:c r="G58" s="34" t="str">
        <x:v>2020</x:v>
      </x:c>
      <x:c r="H58" s="37" t="str">
        <x:v>Ronald Read'in görünmez serveti</x:v>
      </x:c>
      <x:c r="I58" s="37" t="str">
        <x:v>Ömrü boyunca mütevazı bir hayat yaşayan Ronald Read, öldüğünde kimseye söylemediği 8 milyon dolarlık hisse portföyü bıraktı.</x:v>
      </x:c>
      <x:c r="J58" s="37" t="str">
        <x:v>Vermont, 2014. 92 yaşında bir adam hayatını kaybetti.
Adı Ronald Read'di. Onlarca yıl benzin istasyonunda çalışmıştı. Sonra bir süpermarkette temizlikçi olmuştu. Eski bir araba kullanıyordu. Ayakkabılarını çiviyle tamir ettiriyordu. Kışın soğuk olduğunda kürk montunu iğneyle tutturuyordu.
Kimse onun hakkında özel bir şey düşünmüyordu.
##Read öldüğünde vasiyetnamesi açıldı. 8 milyon dolar bırakmıştı. Neredeyse hepsini yerel kütüphaneye ve hastaneye bağışladı.##
Aynı yıl Richard Fuscone adlı biri de hayatını kaybetti. Harvard mezunuydu. Wall Street'in tepesinde kariyer yapmıştı. Muhteşem bir köşkü vardı.
2008 kriziyle birlikte iflas etti.
Morgan Housel bu iki ismi yan yana koyuyor ve şunu soruyor: Servet nasıl inşa edilir?
Cevap şaşırtıcı derecede basit: Read hiç büyük para kazanmadı. Ama harcamadı. Ve yıllarca sabırla yatırım yaptı. Bileşik faiz — yavaş, görünmez, ama acımasız derecede güçlü — işini yaptı.
Fuscone çok kazandı. Ama daha fazlasını harcadı. Kaldıraçla büyüdü. Kriz gelince her şey tersine döndü.
$$Servet ne kadar kazandığınla değil, ne kadarını tuttuğunuzla ölçülür.$$
&amp;&amp;Geçen ay kazandığınla harcadığın arasındaki farka bak. Bu fark seni Ronald Read'e mi, yoksa Fuscone'ye mi yaklaştırıyor?&amp;&amp;</x:v>
      </x:c>
      <x:c r="K58" s="37" t="str"/>
      <x:c r="L58" s="37" t="str"/>
      <x:c r="M58" s="37" t="str"/>
      <x:c r="N58" s="37" t="str"/>
      <x:c r="O58" s="37" t="str"/>
    </x:row>
    <x:row r="59" ht="20" customHeight="1">
      <x:c r="A59" s="33" t="n">
        <x:v>1116</x:v>
      </x:c>
      <x:c r="B59" s="34" t="str">
        <x:v>1</x:v>
      </x:c>
      <x:c r="C59" s="34" t="str">
        <x:v>Finans</x:v>
      </x:c>
      <x:c r="D59" s="34" t="str">
        <x:v>Finans</x:v>
      </x:c>
      <x:c r="E59" s="34" t="str">
        <x:v>The Psychology of Money</x:v>
      </x:c>
      <x:c r="F59" s="34" t="str">
        <x:v>Morgan Housel</x:v>
      </x:c>
      <x:c r="G59" s="34" t="str">
        <x:v>2020</x:v>
      </x:c>
      <x:c r="H59" s="37" t="str">
        <x:v>Şans ve risk — Bill Gates'in okul arkadaşı</x:v>
      </x:c>
      <x:c r="I59" s="37" t="str">
        <x:v>Housel, Gates'in başarısında yeteneğin yanı sıra istatistiksel olarak olağandışı bir şansın da belirleyici rol oynadığını gösteriyor.</x:v>
      </x:c>
      <x:c r="J59" s="37" t="str">
        <x:v>Bill Gates 1968'de lise öğrencisiydi.
O dönemde Amerika'da yalnızca birkaç yüz okul bilgisayara erişime sahipti. Gates'in okulu o şanslı okullardan biriydi.
##Gates şöyle diyor: "Eğer o bilgisayar olmasaydı, Microsoft olmazdı."##
Morgan Housel bu gözlemi daha da ileri taşıyor: Gates yeteneğinin en uç noktasındaydı. Ama o yeteneğin karşılık bulması için inanılmaz derecede nadir bir fırsatla buluşması gerekti.
Aynı okuldan bir arkadaşı — Kent Evans — Gates kadar zekiydi, Gates kadar hevesliydi. Lise yıllarında dağda gezerken hayatını kaybetti.
Evans hayatta olsaydı Microsoft'ta Gates'in yanında olabilirdi. Ama bir kaza her şeyi değiştirdi.
Housel'in mesajı şu: Başarıyı yalnızca yeteneğe ve çalışkanlığa bağlamak, şansın ve riskin gücünü görmezden gelmektir. Ve bu körlük tehlikelidir.
Çünkü başarını tamamen kendi zekanın ürünü sanırsan, başkalarının başarısızlığını tamamen kendi hataları sanırsın. Empati yok olur.
Ve yatırımda ya da hayatta "bu sefer de olur" dersin — ama bazen olmaz.
$$Başarıda şansı kabul etmek, kendini küçümsemek değil — gerçekçi olmaktır.$$
&amp;&amp;Hayatındaki en büyük başarını düşün. İçinde ne kadarı yetenek, ne kadarı zamanlama ya da şanstı?&amp;&amp;</x:v>
      </x:c>
      <x:c r="K59" s="37" t="str"/>
      <x:c r="L59" s="37" t="str"/>
      <x:c r="M59" s="37" t="str"/>
      <x:c r="N59" s="37" t="str"/>
      <x:c r="O59" s="37" t="str"/>
    </x:row>
    <x:row r="60" ht="20" customHeight="1">
      <x:c r="A60" s="33" t="n">
        <x:v>1117</x:v>
      </x:c>
      <x:c r="B60" s="34" t="str">
        <x:v>1</x:v>
      </x:c>
      <x:c r="C60" s="34" t="str">
        <x:v>Finans</x:v>
      </x:c>
      <x:c r="D60" s="34" t="str">
        <x:v>Finans</x:v>
      </x:c>
      <x:c r="E60" s="34" t="str">
        <x:v>The Psychology of Money</x:v>
      </x:c>
      <x:c r="F60" s="34" t="str">
        <x:v>Morgan Housel</x:v>
      </x:c>
      <x:c r="G60" s="34" t="str">
        <x:v>2020</x:v>
      </x:c>
      <x:c r="H60" s="37" t="str">
        <x:v>Yeterince zengin olmak — tatminsizlik tuzağı</x:v>
      </x:c>
      <x:c r="I60" s="37" t="str">
        <x:v>Housel, 'yeterli' kavramını anlayamamanın başarılı insanları nasıl yıkıma sürüklediğini Rajat Gupta örneğiyle anlatıyor.</x:v>
      </x:c>
      <x:c r="J60" s="37" t="str">
        <x:v>Rajat Gupta, McKinsey'in CEO'suydu. Dünyanın en prestijli danışmanlık firmalarından birinin tepesine çıkmıştı.
Yüz milyonlarca doları vardı.
Ama yetmedi.
Goldman Sachs yönetim kurulundayken içeriden bilgi sızdırmaya başladı. Sonunda SEC soruşturmasına uğradı, mahkum edildi, hapis cezası aldı.
##Morgan Housel'in sorusu şu: Yüz milyonu olan adam neden risk aldı?##
Cevap şaşırtıcı: "Yeterince zengin" kavramını kaybetmişti.
Çevresinde milyarderler vardı. Karşılaştırma referansı sürekli yükseliyordu. Yüz milyon dolar artık "az" hissettiriyordu.
Housel buna "tatminsizlik tuzağı" diyor. Ve bu tuzak yalnızca zenginler için değil. Her gelir seviyesinde, her yaşta çalışıyor.
Çünkü "yeterli" bir sayı değil, bir zihniyet.
"Yeterli"yi bulmak için şu soruyu sor: Bugünkü hayatını kaybetmemek için vazgeçmeyeceğin şeyler neler? Aile, sağlık, özgürlük, uyku. Bunları tehlikeye atacak bir risk gerçekten değer mi?
$$"Yeterli" ne kadar az ya da çok olduğunu değil, ne zaman duracağını bilmektir.$$
&amp;&amp;Şu anki hayatında "yeterli" olan nedir? Ve o "yeterli"yi korumak için hangi riskleri almamaya karar verdin ya da verebilirsin?&amp;&amp;</x:v>
      </x:c>
      <x:c r="K60" s="37" t="str"/>
      <x:c r="L60" s="37" t="str"/>
      <x:c r="M60" s="37" t="str"/>
      <x:c r="N60" s="37" t="str"/>
      <x:c r="O60" s="37" t="str"/>
    </x:row>
    <x:row r="61" ht="20" customHeight="1">
      <x:c r="A61" s="33" t="n">
        <x:v>1118</x:v>
      </x:c>
      <x:c r="B61" s="34" t="str">
        <x:v>1</x:v>
      </x:c>
      <x:c r="C61" s="34" t="str">
        <x:v>Psikoloji</x:v>
      </x:c>
      <x:c r="D61" s="34" t="str">
        <x:v>Nörobilim</x:v>
      </x:c>
      <x:c r="E61" s="34" t="str">
        <x:v>Beyin Fırtınası</x:v>
      </x:c>
      <x:c r="F61" s="34" t="str">
        <x:v>David Eagleman</x:v>
      </x:c>
      <x:c r="G61" s="34" t="str">
        <x:v>2015</x:v>
      </x:c>
      <x:c r="H61" s="37" t="str">
        <x:v>H.M.'nin sonsuz şimdi'si</x:v>
      </x:c>
      <x:c r="I61" s="37" t="str">
        <x:v>Henry Molaison ameliyat sonrası yeni anı oluşturamaz hale geldi; bu vaka bellek bilimini temelden değiştirdi.</x:v>
      </x:c>
      <x:c r="J61" s="37" t="str">
        <x:v>Henry Molaison 27 yaşındayken ağır epilepsi nöbetleri geçiriyordu. Doktorlar çaresiz kaldı ve riskli bir ameliyat önerdi: Hafızayla ilgili beyin bölgelerinin bir kısmını çıkarmak.
Ameliyat nöbetleri durdurdu.
Ama başka bir şey oldu.
Henry artık yeni anılar oluşturamıyordu.
Her gün sabah kalktığında 1953'teydı. Her gün doktorları ilk kez tanıyordu. Yıllarca kendisini muayene eden araştırmacıya her seferinde "Merhaba, sizi daha önce hiç görmedim" diyordu.
##H.M. lakaplıyla anılan Henry, öldüğü 2008 yılına kadar bilim dünyasının en çok incelenen insanı oldu.##
David Eagleman bu vakayı şöyle yorumluyor: H.M.'nin hikayesi bize hafızanın sadece geçmişi depolamadığını, aynı zamanda geleceği inşa ettiğini gösterdi.
Çünkü H.M. plan yapamıyordu. Yarın ne olacağını hayal edemiyordu. Çünkü "yarın"ı oluşturmak için "dün"e ihtiyaç var.
Beyin şimdiki anı yaşarken aslında sürekli geçmişe bakıp geleceği tahmin ediyor.
$$Hafıza geçmişin kaydı değil, geleceğin taslağıdır.$$
&amp;&amp;Bugün hatırladığın en güçlü anılardan biri hangisi? O anı hatırlıyor olman, bugünkü kararlarını nasıl şekillendiriyor?&amp;&amp;</x:v>
      </x:c>
      <x:c r="K61" s="37" t="str"/>
      <x:c r="L61" s="37" t="str"/>
      <x:c r="M61" s="37" t="str"/>
      <x:c r="N61" s="37" t="str"/>
      <x:c r="O61" s="37" t="str"/>
    </x:row>
    <x:row r="62" ht="20" customHeight="1">
      <x:c r="A62" s="33" t="n">
        <x:v>1119</x:v>
      </x:c>
      <x:c r="B62" s="34" t="str">
        <x:v>1</x:v>
      </x:c>
      <x:c r="C62" s="34" t="str">
        <x:v>Psikoloji</x:v>
      </x:c>
      <x:c r="D62" s="34" t="str">
        <x:v>Nörobilim</x:v>
      </x:c>
      <x:c r="E62" s="34" t="str">
        <x:v>Beyin Fırtınası</x:v>
      </x:c>
      <x:c r="F62" s="34" t="str">
        <x:v>David Eagleman</x:v>
      </x:c>
      <x:c r="G62" s="34" t="str">
        <x:v>2015</x:v>
      </x:c>
      <x:c r="H62" s="37" t="str">
        <x:v>Kör nokta ve beynin uydurma sanatı</x:v>
      </x:c>
      <x:c r="I62" s="37" t="str">
        <x:v>Eagleman, gözümüzdeki fiziksel kör noktanın beyin tarafından nasıl doldurulduğunu göstererek algının gerçeği değil yorumu sunduğunu kanıtlıyor.</x:v>
      </x:c>
      <x:c r="J62" s="37" t="str">
        <x:v>Sağ gözünü kapat. Sol gözünle düz bak.
Sağ elinle bir kalem tut ve yavaşça sola doğru götür. Bir noktada kalem "kaybolur" — sonra tekrar belirir.
Bu senin kör noktandır. Gözünde görme siniri retinaya bağlandığı yerde fotoreseptör yok. O bölge körleşmiş.
##Ama sen hiç kör nokta görmüyorsun. Çünkü beyin o alanı çevredeki bilgilerle dolduruyor — gerçek veri olmadan, uydurarak.##
David Eagleman bu gerçeği şöyle genişletiyor: Beyin tüm deneyimlerimizde bunu yapıyor.
Gözlerin saniyede yalnızca birkaç kez gerçekten görüyor — aralarında göz seğirmesi var. Ama sen kesintisiz bir görüntü deneyimliyorsun. Çünkü beyin boşlukları dolduruyor.
Sesler, renkler, duygular — hepsi beyin tarafından inşa ediliyor. Dışarıdaki "gerçek" dünyayla temas etmiyoruz. Beynin yarattığı simülasyonla temas ediyoruz.
Bu hem büyüleyici hem de biraz ürkütücü. Çünkü "kesinlikle gördüm, kesinlikle duydum" dediğimiz şeyler bile beynin yorumu.
$$Gerçekliği deneyimlemiyoruz — beynimizin gerçeklikten inşa ettiği modeli deneyimliyoruz.$$
&amp;&amp;Kesinlikle doğru olduğuna inandığın ama aslında beyninin doldurduğu bir yorum olabileceğini düşündüğün bir "gerçek" var mı?&amp;&amp;</x:v>
      </x:c>
      <x:c r="K62" s="37" t="str"/>
      <x:c r="L62" s="37" t="str"/>
      <x:c r="M62" s="37" t="str"/>
      <x:c r="N62" s="37" t="str"/>
      <x:c r="O62" s="37" t="str"/>
    </x:row>
    <x:row r="63" ht="20" customHeight="1">
      <x:c r="A63" s="33" t="n">
        <x:v>1120</x:v>
      </x:c>
      <x:c r="B63" s="34" t="str">
        <x:v>1</x:v>
      </x:c>
      <x:c r="C63" s="34" t="str">
        <x:v>Psikoloji</x:v>
      </x:c>
      <x:c r="D63" s="34" t="str">
        <x:v>Nörobilim</x:v>
      </x:c>
      <x:c r="E63" s="34" t="str">
        <x:v>Beyin Fırtınası</x:v>
      </x:c>
      <x:c r="F63" s="34" t="str">
        <x:v>David Eagleman</x:v>
      </x:c>
      <x:c r="G63" s="34" t="str">
        <x:v>2015</x:v>
      </x:c>
      <x:c r="H63" s="37" t="str">
        <x:v>Bölünmüş beyin ve iki ben</x:v>
      </x:c>
      <x:c r="I63" s="37" t="str">
        <x:v>Eagleman, iki beyin yarımküresinin bağlantısı kesilen hastalarda iki ayrı bilincin oluştuğunu gösteren şaşırtıcı deneyleri aktarıyor.</x:v>
      </x:c>
      <x:c r="J63" s="37" t="str">
        <x:v>Epilepsi tedavisi için bazı hastalarda iki beyin yarımküresini birbirine bağlayan "corpus callosum" kesilir.
Bu hastalar normal görünüyor. Yürüyorlar, konuşuyorlar, hayatlarına devam ediyorlar.
Ama bir deney her şeyi değiştirdi.
Sol gözleri kapatıldı, sağ gözlerine bir nesne gösterildi. Sol elle "nesneyi seç" denildi.
Sol el doğru nesneyi seçti. Ama hasta "Ne seçtim?" diye sorduğunda bilemedi — çünkü sol el sağ yarımküre tarafından kontrol ediliyordu ve dil merkezi sol yarımküredeydi.
##Daha da çarpıcısı: Sol yarımküre yanlış bir açıklama uydurdu. "Ben onu seçtim çünkü..." diye başlayan mantıklı ama tamamen yanlış bir gerekçe üretti.##
David Eagleman bunu "yorum makinesi" olarak tanımlıyor. Sol yarımküre sürekli gerekçe üretiyor — bazen hiçbir veriye dayanmadan.
Bu sadece bölünmüş beyin hastalarında değil, hepimizde oluyor. Kararları büyük ölçüde bilinçdışı mekanizmalar veriyor. Sol yarımküre sonradan mantıklı bir hikaye yazıyor.
"Bunu neden yaptım?" sorusunun cevabı çoğu zaman sonradan üretilmiş bir hikaye.
$$Kararları veren beynin, açıklamaları üreten beyin aynı beyin değildir.$$
&amp;&amp;Son büyük kararını düşün. Verdiğin gerekçe gerçek neden miydi, yoksa sonradan üretilmiş bir açıklama mıydı?&amp;&amp;</x:v>
      </x:c>
      <x:c r="K63" s="37" t="str"/>
      <x:c r="L63" s="37" t="str"/>
      <x:c r="M63" s="37" t="str"/>
      <x:c r="N63" s="37" t="str"/>
      <x:c r="O63" s="37" t="str"/>
    </x:row>
    <x:row r="64" ht="20" customHeight="1">
      <x:c r="A64" s="33" t="n">
        <x:v>1121</x:v>
      </x:c>
      <x:c r="B64" s="34" t="str">
        <x:v>1</x:v>
      </x:c>
      <x:c r="C64" s="34" t="str">
        <x:v>Sağlık</x:v>
      </x:c>
      <x:c r="D64" s="34" t="str">
        <x:v>Alışkanlıklar</x:v>
      </x:c>
      <x:c r="E64" s="34" t="str">
        <x:v>Alışkanlıkların Gücü</x:v>
      </x:c>
      <x:c r="F64" s="34" t="str">
        <x:v>Charles Duhigg</x:v>
      </x:c>
      <x:c r="G64" s="34" t="str">
        <x:v>2012</x:v>
      </x:c>
      <x:c r="H64" s="37" t="str">
        <x:v>Alcoa'nın beklenmedik dönüşümü</x:v>
      </x:c>
      <x:c r="I64" s="37" t="str">
        <x:v>CEO Paul O'Neill tüm hedefleri bir kenara bırakıp yalnızca iş güvenliğine odaklandı; bu tek alışkanlık tüm şirketi dönüştürdü.</x:v>
      </x:c>
      <x:c r="J64" s="37" t="str">
        <x:v>1987. Paul O'Neill Alcoa'nın yeni CEO'su olarak Wall Street'teki ilk toplantısına geldi.
Yatırımcılar kâr marjlarını, pazar payını, büyüme stratejilerini bekliyordu.
O'Neill konuşmaya başladı: "Alcoa'yı Amerika'nın en güvenli şirketi yapmak istiyorum."
Sessizlik.
Bir yatırımcı toplantıdan çıkıp müşterilerini aradı: "Deli bir CEO var, hisselerinizi satın."
##On yıl sonra Alcoa'nın endüstriyel kaza oranı sektörün en düşüğüydü. Ve aynı dönemde hisse değeri beş kat artmıştı.##
Charles Duhigg bunu "anahtar alışkanlık" kavramıyla açıklıyor. O'Neill güvenliği seçmişti çünkü güvenliği iyileştirmek için her departmanın iletişim kurması, her sürecin gözden geçirilmesi, her çalışanın söz hakkı alması gerekiyordu.
Güvenlik tek bir alışkanlık değildi. Onu geliştirmek için yüzlerce başka alışkanlığın değişmesi gerekiyordu.
Ve o alışkanlıklar değişince, şirket de değişti. Kalite arttı. Verimlilik arttı. İletişim açıldı.
Bazen tek doğru alışkanlığı bulmak yeterli — o alışkanlık diğerlerini de dönüştürür.
$$Her şeyi aynı anda değiştirmeye çalışma — doğru anahtar alışkanlığı bul ve onu değiştir.$$
&amp;&amp;Hayatında ya da işinde değişirse diğer şeylerin de kendiliğinden iyileşeceği bir "anahtar alışkanlık" var mı?&amp;&amp;</x:v>
      </x:c>
      <x:c r="K64" s="37" t="str"/>
      <x:c r="L64" s="37" t="str"/>
      <x:c r="M64" s="37" t="str"/>
      <x:c r="N64" s="37" t="str"/>
      <x:c r="O64" s="37" t="str"/>
    </x:row>
    <x:row r="65" ht="20" customHeight="1">
      <x:c r="A65" s="33" t="n">
        <x:v>1122</x:v>
      </x:c>
      <x:c r="B65" s="34" t="str">
        <x:v>1</x:v>
      </x:c>
      <x:c r="C65" s="34" t="str">
        <x:v>Sağlık</x:v>
      </x:c>
      <x:c r="D65" s="34" t="str">
        <x:v>Alışkanlıklar</x:v>
      </x:c>
      <x:c r="E65" s="34" t="str">
        <x:v>Alışkanlıkların Gücü</x:v>
      </x:c>
      <x:c r="F65" s="34" t="str">
        <x:v>Charles Duhigg</x:v>
      </x:c>
      <x:c r="G65" s="34" t="str">
        <x:v>2012</x:v>
      </x:c>
      <x:c r="H65" s="37" t="str">
        <x:v>Craving döngüsü ve diş macunu</x:v>
      </x:c>
      <x:c r="I65" s="37" t="str">
        <x:v>Bir diş macunu markası ferahlatıcı köpük hissi yaratarak insanların dişlerini fırçalamayı ödüllendirici bir alışkanlık olarak kodlamasını sağladı.</x:v>
      </x:c>
      <x:c r="J65" s="37" t="str">
        <x:v>1900'lerin başında Amerikalıların çoğu düzenli diş fırçalamıyordu.
Diş hekimleri uyarıyordu. Gazeteler yazıyordu. Ama alışkanlık değişmiyordu.
Sonra Claude Hopkins adlı bir reklam uzmanı Pepsodent diş macunu markasıyla çalışmaya başladı.
Ürünü test etti. Nane yağı ve sitrik asit içeriyordu — ağızda serin, karıncalanan bir his yaratıyordu.
Hopkins bunu reklamın merkezine koydu: "Dişlerini fırçala, o temizlik hissini hisset."
##On yıl içinde Amerikalıların diş fırçalama alışkanlığı ezici çoğunluğa yayıldı.##
Charles Duhigg bu hikayeyi alışkanlık döngüsüyle açıklıyor: İşaret → Rutin → Ödül.
Pepsodent'in sırrı rutin değildi — ödüldü. O karıncalayan his beyinde "temizlik" ile eşleşti. Ve beyin o hissi istemeye başladı.
Bugün diş macunları o hissi sunmazsa satılmıyor. Şirketler bilerek bu "craving" — istek — yaratıyor.
Alışkanlık değiştirmek istiyorsan, işareti ve rutini değil, ödülü anla. Gerçekte ne istiyorsun? O ödülü sağlıklı bir rutinle eşleştirirsen, alışkanlık kendiliğinden yerleşir.
$$Alışkanlığı değiştirmek rutini değiştirmekle başlamaz — ödülü anlamakla başlar.$$
&amp;&amp;Değiştirmek istediğin bir alışkanlığını düşün. O alışkanlık sana gerçekte hangi ödülü veriyor? O ödülü daha sağlıklı bir yolla alabilir misin?&amp;&amp;</x:v>
      </x:c>
      <x:c r="K65" s="37" t="str"/>
      <x:c r="L65" s="37" t="str"/>
      <x:c r="M65" s="37" t="str"/>
      <x:c r="N65" s="37" t="str"/>
      <x:c r="O65" s="37" t="str"/>
    </x:row>
    <x:row r="66" ht="20" customHeight="1">
      <x:c r="A66" s="33" t="n">
        <x:v>1123</x:v>
      </x:c>
      <x:c r="B66" s="34" t="str">
        <x:v>1</x:v>
      </x:c>
      <x:c r="C66" s="34" t="str">
        <x:v>Sağlık</x:v>
      </x:c>
      <x:c r="D66" s="34" t="str">
        <x:v>Alışkanlıklar</x:v>
      </x:c>
      <x:c r="E66" s="34" t="str">
        <x:v>Alışkanlıkların Gücü</x:v>
      </x:c>
      <x:c r="F66" s="34" t="str">
        <x:v>Charles Duhigg</x:v>
      </x:c>
      <x:c r="G66" s="34" t="str">
        <x:v>2012</x:v>
      </x:c>
      <x:c r="H66" s="37" t="str">
        <x:v>Michael Phelps'in görselleştirme rutini</x:v>
      </x:c>
      <x:c r="I66" s="37" t="str">
        <x:v>Phelps her yarıştan önce zihinde yüzmeyi o kadar detaylı prova ederdi ki gözler kapalı yarışabilirdi.</x:v>
      </x:c>
      <x:c r="J66" s="37" t="str">
        <x:v>Michael Phelps olimpiyat tarihinin en fazla madalya kazanan sporcusu. 28 madalya, 23'ü altın.
Ama antrenörü Bob Bowman bir şeyi açıkça söylüyor: Phelps'i diğerlerinden ayıran fiziksel özellikler değildi.
Zihinsel rutiniydi.
Her gece uyumadan önce ve her sabah uyandıktan sonra Phelps aynı şeyi yapıyordu: Yüzüşü adım adım zihninde canlandırıyordu.
Havuza giriş. Her kol vuruşu. Dönüş. Bitiş. Her saniyesi. Her duygu.
##2008 Pekin Olimpiyatları'nda gözlükleri suyla doldu. Phelps kör yüzdü. Ve dünya rekoru kırdı.##
Neden? Çünkü bu senaryoyu da zihninde yaşamıştı. "Gözlüklerin doldu, paniğe kapılma, son 50 metreyi say."
Bowman şöyle diyor: "Phelps'i yarışa sokmak yalnızca kaset çaları çalıştırmak gibiydi. Hazırdı."
Araştırmalar zihinsel provanın fiziksel aktivasyona benzer sinirsel yollar oluşturduğunu gösteriyor. Beyin için "hayal etmek" ile "yapmak" arasındaki fark düşündüğümüzden çok daha küçük.
$$Zihinde yaşanan her prova, gerçek performansa bir adım daha yaklaşmaktır.$$
&amp;&amp;Yaklaşan önemli bir anı — sunum, görüşme, zorlu konuşma — bugün gözlerin kapalı zihninde bir kez yaşasan, o ana nasıl farklı girerdin?&amp;&amp;</x:v>
      </x:c>
      <x:c r="K66" s="37" t="str"/>
      <x:c r="L66" s="37" t="str"/>
      <x:c r="M66" s="37" t="str"/>
      <x:c r="N66" s="37" t="str"/>
      <x:c r="O66" s="37" t="str"/>
    </x:row>
    <x:row r="67" ht="20" customHeight="1">
      <x:c r="A67" s="33" t="n">
        <x:v>1124</x:v>
      </x:c>
      <x:c r="B67" s="34" t="str">
        <x:v>1</x:v>
      </x:c>
      <x:c r="C67" s="34" t="str">
        <x:v>Sağlık</x:v>
      </x:c>
      <x:c r="D67" s="34" t="str">
        <x:v>Alışkanlıklar</x:v>
      </x:c>
      <x:c r="E67" s="34" t="str">
        <x:v>Alışkanlıkların Gücü</x:v>
      </x:c>
      <x:c r="F67" s="34" t="str">
        <x:v>Charles Duhigg</x:v>
      </x:c>
      <x:c r="G67" s="34" t="str">
        <x:v>2012</x:v>
      </x:c>
      <x:c r="H67" s="37" t="str">
        <x:v>Keystone alışkanlık ve koşu</x:v>
      </x:c>
      <x:c r="I67" s="37" t="str">
        <x:v>Duhigg, düzenli koşmaya başlayan insanların eş zamanlı olarak beslenme, uyku ve harcama alışkanlıklarını da iyileştirdiğini gösteren araştırmaları aktarıyor.</x:v>
      </x:c>
      <x:c r="J67" s="37" t="str">
        <x:v>Lisa Allen sigara içiyordu. Düzensiz besleniyordu. Borçluydu. Birden fazla ilişkisi kötü bitmişti.
Sonra bir gün Kahire'ye seyahat etti. Orada bir karar verdi: Her gün koşacak.
O kadar.
Bir yıl sonra araştırmacılar Lisa'yı inceledi.
##Sigarayı bırakmıştı. Borçlarını ödemeye başlamıştı. Sağlıklı besleniyordu. Yarı maraton koşuyordu.##
Hiç biri hedeflememişti bunları. Sadece koşmaya başlamıştı.
Charles Duhigg buna "keystone alışkanlık" — köşe taşı alışkanlık — diyor. Bazı alışkanlıklar değişince, diğer alışkanlıklar da zincirleme değişiyor.
Koşu Lisa'ya şunu öğretti: "Zor bir şeyi yapabilirim." Bu inanç sigaraya, borçlara, ilişkilere de yayıldı.
Araştırmalar koşunun yanı sıra meditasyon, günlük tutma ve erken kalkmanın da güçlü keystone alışkanlıklar olduğunu gösteriyor.
Hepsinin ortak noktası: Bir süre sonra kimliğini değiştiriyorlar. "Ben koşan biriyim" diyen insan, "sağlıklı biri" olarak düşünmeye başlıyor. Ve sağlıklı biri doğal olarak daha sağlıklı kararlar veriyor.
$$Bir alışkanlık değiştirdiğinde değil, kim olduğunu değiştirdiğinde her şey değişir.$$
&amp;&amp;Hayatında hangi tek alışkanlık, başka alışkanlıklarını da beraberinde değiştirebilir? O alışkanlığı bu hafta denemek için ne gerekiyor?&amp;&amp;</x:v>
      </x:c>
      <x:c r="K67" s="37" t="str"/>
      <x:c r="L67" s="37" t="str"/>
      <x:c r="M67" s="37" t="str"/>
      <x:c r="N67" s="37" t="str"/>
      <x:c r="O67" s="37" t="str"/>
    </x:row>
    <x:row r="68" ht="20" customHeight="1">
      <x:c r="A68" s="33" t="n">
        <x:v>1125</x:v>
      </x:c>
      <x:c r="B68" s="34" t="str">
        <x:v>1</x:v>
      </x:c>
      <x:c r="C68" s="34" t="str">
        <x:v>Liderlik</x:v>
      </x:c>
      <x:c r="D68" s="34" t="str">
        <x:v>Liderlik</x:v>
      </x:c>
      <x:c r="E68" s="34" t="str">
        <x:v>Liderlik Sanatı</x:v>
      </x:c>
      <x:c r="F68" s="34" t="str">
        <x:v>Simon Sinek</x:v>
      </x:c>
      <x:c r="G68" s="34" t="str">
        <x:v>2014</x:v>
      </x:c>
      <x:c r="H68" s="37" t="str">
        <x:v>Neden liderler en son yer?</x:v>
      </x:c>
      <x:c r="I68" s="37" t="str">
        <x:v>Sinek, askeri geleneğin 'liderler en son yer' kuralının modern iş dünyasına uygulandığında nasıl güven yarattığını anlatıyor.</x:v>
      </x:c>
      <x:c r="J68" s="37" t="str">
        <x:v>Deniz Kuvvetleri'nde bir gelenek var: Subaylar en son yer.
Yemekte askerler önce tabağını alır. Subay en sona kalır. Hatta yetecek yemek olmayabilir.
Bu anlamsız bir ritüel değil.
##Sinek bir general ile konuştu. General şöyle dedi: "Askerlerim önce yer çünkü onlar görevi yerine getiriyor. Ben önce yersem, hizmetkar değil ayrıcalıklı olurum."##
Simon Sinek bunu "Circle of Safety" — Güvenlik Çemberi — kavramıyla bağlıyor.
İnsanlar güvende hissettiklerinde enerjilerini içeriye — dışarıdaki tehditlerle savaşmaya — harcıyorlar. Güvende hissetmediklerinde enerjilerini içerideki tehditlere harcıyorlar: patrondan korunmak, sırtı korumak, suçu başkasına atmak.
Lider ne zaman güvenlik çemberi yaratıyor? Astlarının başarısızlıklarını üstlendiğinde. Kendi çıkarından önce ekibini koruduğunda. Stres altında bile tahmin edilebilir davrandığında.
Bu güven görünmez bir şeydir. Ama yokluğu her yerde hissedilir.
$$Güven bir slogan değil — zor anlarda tekrarlanan davranışların birikimidir.$$
&amp;&amp;Liderlik ettiğin ya da birlikte çalıştığın birini düşün. O kişi zor bir anda seni korumak için ne yaptı? Ya da sen başkasını korumak için ne yapabilirdin?&amp;&amp;</x:v>
      </x:c>
      <x:c r="K68" s="37" t="str"/>
      <x:c r="L68" s="37" t="str"/>
      <x:c r="M68" s="37" t="str"/>
      <x:c r="N68" s="37" t="str"/>
      <x:c r="O68" s="37" t="str"/>
    </x:row>
    <x:row r="69" ht="20" customHeight="1">
      <x:c r="A69" s="33" t="n">
        <x:v>1126</x:v>
      </x:c>
      <x:c r="B69" s="34" t="str">
        <x:v>1</x:v>
      </x:c>
      <x:c r="C69" s="34" t="str">
        <x:v>Liderlik</x:v>
      </x:c>
      <x:c r="D69" s="34" t="str">
        <x:v>Liderlik</x:v>
      </x:c>
      <x:c r="E69" s="34" t="str">
        <x:v>Liderlik Sanatı</x:v>
      </x:c>
      <x:c r="F69" s="34" t="str">
        <x:v>Simon Sinek</x:v>
      </x:c>
      <x:c r="G69" s="34" t="str">
        <x:v>2014</x:v>
      </x:c>
      <x:c r="H69" s="37" t="str">
        <x:v>Soyut lider mi, somut lider mi?</x:v>
      </x:c>
      <x:c r="I69" s="37" t="str">
        <x:v>Sinek, gerçek liderliğin pozisyonla değil davranışla tanımlandığını ve herkesin her anda liderlik seçimi yapabileceğini gösteriyor.</x:v>
      </x:c>
      <x:c r="J69" s="37" t="str">
        <x:v>Sinek bir konuşmada şunu soruyor: "Odada lider kim?"
Çoğu kişi en yüksek unvana sahip kişiye işaret eder.
Sinek başını sallıyor ve devam ediyor: "Peki ya biri zor bir an için o kişiden önce ayağa kalktığında? Biri bütçeyi değil insanı öne koyduğunda? Biri 'bu benim hatam' dediğinde?"
##"İşte o an, lider değişiyor."##
Liderlik bir unvan değil, bir seçim. Her gün, her toplantıda, her zor anda yapılan bir seçim.
Sinek bunu şöyle açıklıyor: Bazı insanlar pozisyon sahibi ama lider değil. Bazıları ise hiçbir pozisyon olmadan liderlik ediyor.
Fark şu: Liderler başkalarının büyümesi için kendi konforlarından vazgeçiyor. Pozisyon sahipleri ise büyümek için başkalarının konforunu feda ediyor.
Ve insanlar bunu hissediyor. Hangi toplantıda gerçekten dinlendiğini hissediyorsun? Hangi lider yanında olmak istediğin hissini veriyor?
O his, unvandan değil davranıştan geliyor.
$$Lider olmak için terfi bekleme — her an liderlik seçimi yapabilirsin.$$
&amp;&amp;Bu hafta, pozisyonun olmasa bile liderlik edebileceğin bir an hangi olurdu?&amp;&amp;</x:v>
      </x:c>
      <x:c r="K69" s="37" t="str"/>
      <x:c r="L69" s="37" t="str"/>
      <x:c r="M69" s="37" t="str"/>
      <x:c r="N69" s="37" t="str"/>
      <x:c r="O69" s="37" t="str"/>
    </x:row>
    <x:row r="70" ht="20" customHeight="1">
      <x:c r="A70" s="33" t="n">
        <x:v>1127</x:v>
      </x:c>
      <x:c r="B70" s="34" t="str">
        <x:v>1</x:v>
      </x:c>
      <x:c r="C70" s="34" t="str">
        <x:v>Liderlik</x:v>
      </x:c>
      <x:c r="D70" s="34" t="str">
        <x:v>Liderlik</x:v>
      </x:c>
      <x:c r="E70" s="34" t="str">
        <x:v>Liderlik Sanatı</x:v>
      </x:c>
      <x:c r="F70" s="34" t="str">
        <x:v>Simon Sinek</x:v>
      </x:c>
      <x:c r="G70" s="34" t="str">
        <x:v>2014</x:v>
      </x:c>
      <x:c r="H70" s="37" t="str">
        <x:v>İşten ayrılanlar amirleri bırakır</x:v>
      </x:c>
      <x:c r="I70" s="37" t="str">
        <x:v>Sinek, araştırmaların insanların şirketi değil yöneticilerini bıraktığını gösterdiğini ve bunun tam olarak neden böyle olduğunu açıklıyor.</x:v>
      </x:c>
      <x:c r="J70" s="37" t="str">
        <x:v>Bir araştırma sorusu: "İşten neden ayrıldınız?"
Cevapların büyük çoğunluğu: "Daha iyi fırsatlar, daha yüksek maaş."
Ama derinlemesine sorulduğunda başka bir şey çıkıyor.
##Simon Sinek şunu söylüyor: "İnsanlar şirketleri bırakmıyor. Yöneticilerini bırakıyor."##
Araştırmalar defalarca aynı şeyi gösteriyor: En çok kalan çalışanlar, en iyi maaşı değil, en iyi yöneticiyi bulanlar.
Neden? Çünkü yönetici insanı görünür kılıyor ya da görünmez yapıyor. Başarıyı paylaşıyor ya da kendine alıyor. Zor anlarda yanında duruyor ya da kaçıyor.
Sinek bu konuda bir CEO ile konuştuğunu anlatıyor. CEO şöyle demiş: "Çalışanlarıma iyi davranırım. Neden ayrılıyorlar?"
Sinek sormuş: "Onların yöneticilerine iyi davranıyor musunuz?"
Çünkü yöneticiler nasıl davranılırsa öyle davranır. Güven yukarıdan aşağıya akar.
$$İnsanlar maaş için gelir, anlam için kalır — ya da anlam bulamadıklarında ayrılır.$$
&amp;&amp;Şu an çalıştığın ya da birlikte olduğun kişiyle ilişkini düşün. O kişi seni görünür kılıyor mu, yoksa görünmez mi?&amp;&amp;</x:v>
      </x:c>
      <x:c r="K70" s="37" t="str"/>
      <x:c r="L70" s="37" t="str"/>
      <x:c r="M70" s="37" t="str"/>
      <x:c r="N70" s="37" t="str"/>
      <x:c r="O70" s="37" t="str"/>
    </x:row>
    <x:row r="71" ht="20" customHeight="1">
      <x:c r="A71" s="33" t="n">
        <x:v>1128</x:v>
      </x:c>
      <x:c r="B71" s="34" t="str">
        <x:v>1</x:v>
      </x:c>
      <x:c r="C71" s="34" t="str">
        <x:v>Psikoloji</x:v>
      </x:c>
      <x:c r="D71" s="34" t="str">
        <x:v>Psikoloji</x:v>
      </x:c>
      <x:c r="E71" s="34" t="str">
        <x:v>Büyüme Zihniyeti</x:v>
      </x:c>
      <x:c r="F71" s="34" t="str">
        <x:v>Carol Dweck</x:v>
      </x:c>
      <x:c r="G71" s="34" t="str">
        <x:v>2016</x:v>
      </x:c>
      <x:c r="H71" s="37" t="str">
        <x:v>'Henüz' kelimesinin gücü</x:v>
      </x:c>
      <x:c r="I71" s="37" t="str">
        <x:v>Bir okulda sınav kağıtlarına 'başarısız' yerine 'henüz' yazmak, öğrencilerin zorluklar karşısında pes etme oranını dramatik biçimde düşürdü.</x:v>
      </x:c>
      <x:c r="J71" s="37" t="str">
        <x:v>Chicago'da bir lise farklı bir politika benimsedi.
Öğrenciler bir dersten geçemediklerinde not defterlerine "F — başarısız" yazmak yerine şunu yazıyorlardı: "Not yet" — henüz değil.
Bu küçük bir değişiklikti. Ama etkisi büyüktü.
##"Başarısız" bir son nokta koyuyordu. "Henüz" ise devam eden bir yolculuğun içinde olduğunu söylüyordu.##
Carol Dweck bu uygulamayı araştırdı ve sonuçlar şaşırtıcıydı: "Henüz" alan öğrenciler zorlu problemlere daha uzun süre devam ediyor, daha az pes ediyor, daha fazla strateji deniyordu.
"Başarısız" alanlar ise iki farklı tepki gösteriyordu: Ya tamamen pes ediyorlar ya da kopya çekme gibi kısa yollar arıyorlardı.
Dweck bunu şöyle açıklıyor: "Başarısız" kimliğe dokunuyor. "Bu benim için değil" mesajı veriyor. "Henüz" ise süreci anlatıyor. "Yoldasın, devam et" mesajı veriyor.
Ve bu fark, beynin zorluklara olan tepkisini nörolojik düzeyde değiştiriyor.
$$Başarısızlık bir kimlik değil, bir veri noktasıdır — "henüz" bunu hatırlatır.$$
&amp;&amp;Şu an "başarısız oldum" dediğin bir şeyi "henüz başaramadım" olarak yeniden çerçevele. Bu iki cümle arasındaki his farkı nedir?&amp;&amp;</x:v>
      </x:c>
      <x:c r="K71" s="37" t="str"/>
      <x:c r="L71" s="37" t="str"/>
      <x:c r="M71" s="37" t="str"/>
      <x:c r="N71" s="37" t="str"/>
      <x:c r="O71" s="37" t="str"/>
    </x:row>
    <x:row r="72" ht="20" customHeight="1">
      <x:c r="A72" s="33" t="n">
        <x:v>1129</x:v>
      </x:c>
      <x:c r="B72" s="34" t="str">
        <x:v>1</x:v>
      </x:c>
      <x:c r="C72" s="34" t="str">
        <x:v>Psikoloji</x:v>
      </x:c>
      <x:c r="D72" s="34" t="str">
        <x:v>Psikoloji</x:v>
      </x:c>
      <x:c r="E72" s="34" t="str">
        <x:v>Büyüme Zihniyeti</x:v>
      </x:c>
      <x:c r="F72" s="34" t="str">
        <x:v>Carol Dweck</x:v>
      </x:c>
      <x:c r="G72" s="34" t="str">
        <x:v>2016</x:v>
      </x:c>
      <x:c r="H72" s="37" t="str">
        <x:v>Beynin plastikliği ve yeniden yazılma</x:v>
      </x:c>
      <x:c r="I72" s="37" t="str">
        <x:v>Dweck, nöroplastisite araştırmalarının büyüme zihniyetini bilimsel olarak desteklediğini ve yetenek ile zekanın geliştirilebilir olduğunu kanıtladığını anlatıyor.</x:v>
      </x:c>
      <x:c r="J72" s="37" t="str">
        <x:v>Onlarca yıl bilim dünyasının kabulü şuydu: Yetişkin beyni sabit. Nöronlar doğumdan sonra artmıyor, bağlantılar kalıplaşıyor.
Sonra nöroplastisite araştırmaları her şeyi değiştirdi.
Londra taksi şoförleri üzerinde yapılan bir araştırma özellikle çarpıcıydı. Şoförler yıllarca London'ın karmaşık sokak ağını ezberlemek zorunda. Araştırmacılar onların beyin görüntülemesine baktı.
##Deneyimli taksi şoförlerinin uzamsal hafızayla ilgili beyin bölgesi, kontrol grubundan belirgin şekilde büyüktü. Ve bu büyüme, şoförlük yıllarıyla orantılıydı.##
Carol Dweck bu araştırmayı büyüme zihniyetinin biyolojik kanıtı olarak sunuyor.
"Zeki doğulunur" değil, "zeka geliştirilir." Nöronlar arası yeni bağlantılar kurulur. Zor bir şeyi öğrenirken beyin kelimenin tam anlamıyla değişiyor.
Bu neden önemli? Çünkü "ben matematik zekasına sahip değilim" ya da "yaratıcı değilim" gibi inançlar artık biyolojik bir gerçeklik değil, birer seçim gibi görünüyor.
Seçim: Bu alanda yeterince zaman ve çaba harcamak mı, yoksa "doğuştan böyleyim" deyip durdurmak mı?
$$Beyin kullanıldığı yönde büyür — "yeteneksizim" bir veri değil, bir tahmindir.$$
&amp;&amp;"Bunda iyi değilim" dediğin bir şeyi düşün. Bunu gerçekten denedin mi, yoksa denemeyi daha başlamadan vazgeçtin mi?&amp;&amp;</x:v>
      </x:c>
      <x:c r="K72" s="37" t="str"/>
      <x:c r="L72" s="37" t="str"/>
      <x:c r="M72" s="37" t="str"/>
      <x:c r="N72" s="37" t="str"/>
      <x:c r="O72" s="37" t="str"/>
    </x:row>
    <x:row r="73" ht="20" customHeight="1">
      <x:c r="A73" s="33" t="n">
        <x:v>1130</x:v>
      </x:c>
      <x:c r="B73" s="34" t="str">
        <x:v>1</x:v>
      </x:c>
      <x:c r="C73" s="34" t="str">
        <x:v>Psikoloji</x:v>
      </x:c>
      <x:c r="D73" s="34" t="str">
        <x:v>Psikoloji</x:v>
      </x:c>
      <x:c r="E73" s="34" t="str">
        <x:v>Büyüme Zihniyeti</x:v>
      </x:c>
      <x:c r="F73" s="34" t="str">
        <x:v>Carol Dweck</x:v>
      </x:c>
      <x:c r="G73" s="34" t="str">
        <x:v>2016</x:v>
      </x:c>
      <x:c r="H73" s="37" t="str">
        <x:v>Şampiyonların sırrı: zorluğu sevmek</x:v>
      </x:c>
      <x:c r="I73" s="37" t="str">
        <x:v>Dweck'in elit sporcular ve sanatçılar üzerinde yaptığı araştırma, en büyük başarıların zorluğu tehdit değil fırsat olarak görenlere ait olduğunu ortaya koyuyor.</x:v>
      </x:c>
      <x:c r="J73" s="37" t="str">
        <x:v>Carol Dweck dünya klasmanındaki sporcularla konuştu.
Onlara şunu sordu: "Gerçekten zor bir rakiple karşılaştığınızda ne hissediyorsunuz?"
Sabit zihniyetli sporcular şöyle yanıt verdi: "Kaygılanıyorum. Bu benim sınırımı test ediyor."
Büyüme zihniyetli sporcular ise şöyle: "Heyecanlanıyorum. Bu beni daha iyi yapacak."
##Aynı zorluk. Tamamen farklı iki deneyim.##
Dweck on yıllarca elit performansçıları takip etti. Müzisyenler, sporcular, akademisyenler, iş insanları.
En iyi performansı sergileyenler en yetenekli başlayanlar değildi. En zor anlardan en fazla öğrenenlerdi.
Ve bunu mümkün kılan tek şey vardı: Zorluğu büyüme fırsatı olarak görmek.
Sabit zihniyetli insan zor bir anda ne yapıyor? Koruyucu moduna giriyor. Riski azaltıyor. Hata yapmamaya çalışıyor.
Büyüme zihniyetli insan? Dalıyor. Deneyip yanılıyor. Ve her yanılmada bir şeyler öğreniyor.
Paradoks şu: Hata yapmaktan en çok kaçınan, en az öğreniyor. En çok hata yapan, en hızlı büyüyor.
$$Zorluğu tehdit olarak görmek sizi korur; fırsat olarak görmek sizi büyütür.$$
&amp;&amp;Son bir ayda gerçekten zorlayan bir şeyle karşılaştığında, ilk tepkin ne oldu — kaçmak mı, yoksa merak mı?&amp;&amp;</x:v>
      </x:c>
      <x:c r="K73" s="37" t="str"/>
      <x:c r="L73" s="37" t="str"/>
      <x:c r="M73" s="37" t="str"/>
      <x:c r="N73" s="37" t="str"/>
      <x:c r="O73" s="37" t="str"/>
    </x:row>
    <x:row r="74" ht="20" customHeight="1">
      <x:c r="A74" s="33" t="n">
        <x:v>1131</x:v>
      </x:c>
      <x:c r="B74" s="34" t="str">
        <x:v>1</x:v>
      </x:c>
      <x:c r="C74" s="34" t="str">
        <x:v>Psikoloji</x:v>
      </x:c>
      <x:c r="D74" s="34" t="str">
        <x:v>Farkındalık</x:v>
      </x:c>
      <x:c r="E74" s="34" t="str">
        <x:v>Şimdi ve Burada</x:v>
      </x:c>
      <x:c r="F74" s="34" t="str">
        <x:v>Eckhart Tolle</x:v>
      </x:c>
      <x:c r="G74" s="34" t="str">
        <x:v>1997</x:v>
      </x:c>
      <x:c r="H74" s="37" t="str">
        <x:v>Bankta oturan adam</x:v>
      </x:c>
      <x:c r="I74" s="37" t="str">
        <x:v>Tolle, kendi kendine konuşan adama bakarak zihnin sesi ile gerçek benliğin ayrımını keşfettiğini ve bu keşfin kitabının doğmasını sağladığını anlatıyor.</x:v>
      </x:c>
      <x:c r="J74" s="37" t="str">
        <x:v>Eckhart Tolle bir gün Londra'da bir bankta otururken yanına yaşlı bir adam geldi.
Adam yalnız oturdu. Ve kendi kendine konuşmaya başladı. Sesli, ısrarcı, neredeyse tartışıyordu kendisiyle.
Tolle düşündü: "Bu adam deli mi?"
Sonra durdu.
##"Ben de tam olarak bunu yapıyorum — sadece içimde" dedi kendine.##
Bu basit gözlem, Tolle'nin tüm ruhsal öğretisinin çekirdeğine dönüştü.
Zihnin sesi durmuyor. Planlar yapıyor, geçmişi tekrarlıyor, geleceği endişeyle tasvir ediyor, insanları yargılıyor, kendini savunuyor.
Ama Tolle şunu soruyor: "O sesi dinleyen kim?"
Eğer bir ses var ve onu dinleyen bir varlık varsa — o zaman sen, o ses değilsin. Sen, onu gözlemleyensin.
Ve bu farkı görmek her şeyi değiştiriyor. Çünkü sesle özdeşleştiğinde, o sesin ürettiği korkular, öfkeler, endişeler "sen" oluyorsun. Ama gözlemci olduğunda, onlar gelip geçen bulutlar oluyor.
"Şimdi ve Burada" bu farkı yaşatmaya çalışıyor: Düşünceni düşünme. Onu izle.
$$Sen düşüncelerinin toplamı değil, onları gözlemleyebilen bilinçsin.$$
&amp;&amp;Şu an, bu kelimeler dışında zihninde kaç farklı ses konuşuyor? O sesleri duyabilmek, onlardan biri olmakla aynı şey mi?&amp;&amp;</x:v>
      </x:c>
      <x:c r="K74" s="37" t="str"/>
      <x:c r="L74" s="37" t="str"/>
      <x:c r="M74" s="37" t="str"/>
      <x:c r="N74" s="37" t="str"/>
      <x:c r="O74" s="37" t="str"/>
    </x:row>
    <x:row r="75" ht="20" customHeight="1">
      <x:c r="A75" s="33" t="n">
        <x:v>1132</x:v>
      </x:c>
      <x:c r="B75" s="34" t="str">
        <x:v>1</x:v>
      </x:c>
      <x:c r="C75" s="34" t="str">
        <x:v>Psikoloji</x:v>
      </x:c>
      <x:c r="D75" s="34" t="str">
        <x:v>Farkındalık</x:v>
      </x:c>
      <x:c r="E75" s="34" t="str">
        <x:v>Şimdi ve Burada</x:v>
      </x:c>
      <x:c r="F75" s="34" t="str">
        <x:v>Eckhart Tolle</x:v>
      </x:c>
      <x:c r="G75" s="34" t="str">
        <x:v>1997</x:v>
      </x:c>
      <x:c r="H75" s="37" t="str">
        <x:v>Ağrı ile acının farkı</x:v>
      </x:c>
      <x:c r="I75" s="37" t="str">
        <x:v>Tolle, kronik ağrısı olan bir hasta örneğiyle fiziksel ağrının kaçınılmaz olduğunu ancak ona yüklenen zihinsel acının tamamen seçimle şekillendiğini gösteriyor.</x:v>
      </x:c>
      <x:c r="J75" s="37" t="str">
        <x:v>Tolle kronik sırt ağrısıyla yaşayan bir kadınla konuşuyor.
Kadın ağrısını anlatıyor. Sürekli orada. Bazen hafif, bazen şiddetli. Ama hep var.
Tolle şunu soruyor: "Şu an, bu anda ağrı var mı?"
"Evet."
"Ve şu an, bu anda ağrı olacağı için ne kadar üzülüyorsunuz, ne kadar direniyorsunuz, 'neden ben?' diye soruyorsunuz?"
Kadın düşünüyor. "Evet, bunlar da var."
##Tolle şöyle diyor: "Ağrı kaçınılmaz olabilir. Ama ağrının üzerine bindirilmiş o hikaye — işte acı oradan geliyor."##
Ağrı bedensel bir gerçek. Acı ise zihnin ağrıya verdiği tepki.
"Bu neden bana oluyor?" "Hiç geçmeyecek." "Böyle yaşayamam." Bu düşünceler ağrıyı ortadan kaldırmıyor — ama acıyı kat kat artırıyor.
Tolle bu ayrımı genel hayata da taşıyor. Kayıp, hayal kırıklığı, başarısızlık — bunlar gerçek olaylar. Ama o olayların üzerine örülen hikayeler — "artık hiçbir şey olmaz, ben değersizim, her şey berbat" — acıyı seçimle büyütüyor.
$$Acıyı seçmiyoruz, ama ona verdiğimiz tepkiyi seçebiliyoruz.$$
&amp;&amp;Şu an taşıdığın bir yükü düşün. O yükün kendisi ne, ve o yüke dair anlattığın hikaye ne? İkisi arasındaki farkı görebiliyor musun?&amp;&amp;</x:v>
      </x:c>
      <x:c r="K75" s="37" t="str"/>
      <x:c r="L75" s="37" t="str"/>
      <x:c r="M75" s="37" t="str"/>
      <x:c r="N75" s="37" t="str"/>
      <x:c r="O75" s="37" t="str"/>
    </x:row>
    <x:row r="76" ht="20" customHeight="1">
      <x:c r="A76" s="33" t="n">
        <x:v>1133</x:v>
      </x:c>
      <x:c r="B76" s="34" t="str">
        <x:v>1</x:v>
      </x:c>
      <x:c r="C76" s="34" t="str">
        <x:v>Psikoloji</x:v>
      </x:c>
      <x:c r="D76" s="34" t="str">
        <x:v>Farkındalık</x:v>
      </x:c>
      <x:c r="E76" s="34" t="str">
        <x:v>Şimdi ve Burada</x:v>
      </x:c>
      <x:c r="F76" s="34" t="str">
        <x:v>Eckhart Tolle</x:v>
      </x:c>
      <x:c r="G76" s="34" t="str">
        <x:v>1997</x:v>
      </x:c>
      <x:c r="H76" s="37" t="str">
        <x:v>Şimdiki anın kapısı</x:v>
      </x:c>
      <x:c r="I76" s="37" t="str">
        <x:v>Tolle, geçmişin pişmanlık ve geleceğin kaygı olarak yaşandığı zihnin aksine şimdiki anın tek gerçek ev olduğunu somut bir örnekle anlatıyor.</x:v>
      </x:c>
      <x:c r="J76" s="37" t="str">
        <x:v>Bir deney yap.
Şu an nerede yaşıyorsun?
Büyük ihtimalle ya birkaç saat öncesini düşünüyorsun — "bunu daha iyi yapabilirdim" — ya da birkaç saat sonrasını — "şunu yapacağım, bu olursa ne olur?"
Kaç saniyedir gerçekten şimdikisin?
##Tolle şunu söylüyor: Geçmiş sadece bir anı. Gelecek sadece bir düşünce. Gerçekten var olan tek şey şu an.##
Bu felsefi bir oyun gibi görünebilir. Ama pratikte çok güçlü.
Bir müzisyeni düşün. En iyi performansını ne zaman sergiliyor? Geçen haftaki hatayı düşündüğünde mi? Yarınki konseri hayal ettiğinde mi?
Hayır. Tamamen o anda, o notada olduğunda.
Sporcular buna "akış" diyor. Sanatçılar buna "ilham" diyor. Tolle buna "varlık" diyor.
Hepsi aynı şeyi işaret ediyor: Zihin şimdikine döndüğünde, bir şeyler değişiyor. Kaygı azalıyor. Yaratıcılık açılıyor. Bağlantı derinleşiyor.
Şimdi her zaman burada. Ama ona gitmeyi seçmek gerekiyor.
$$Şimdiki an hem tek gerçekliğin hem de en sık kaçırdığımız şeyin adıdır.$$
&amp;&amp;Bugün gerçekten "şimdi"de olduğun bir an hatırlıyor musun? O anda ne hissediyordun?&amp;&amp;</x:v>
      </x:c>
      <x:c r="K76" s="37" t="str"/>
      <x:c r="L76" s="37" t="str"/>
      <x:c r="M76" s="37" t="str"/>
      <x:c r="N76" s="37" t="str"/>
      <x:c r="O76" s="37" t="str"/>
    </x:row>
    <x:row r="77" ht="20" customHeight="1">
      <x:c r="A77" s="33" t="n">
        <x:v>1134</x:v>
      </x:c>
      <x:c r="B77" s="34" t="str">
        <x:v>1</x:v>
      </x:c>
      <x:c r="C77" s="34" t="str">
        <x:v>Psikoloji</x:v>
      </x:c>
      <x:c r="D77" s="34" t="str">
        <x:v>Psikoloji</x:v>
      </x:c>
      <x:c r="E77" s="34" t="str">
        <x:v>Sosyal Hayvan</x:v>
      </x:c>
      <x:c r="F77" s="34" t="str">
        <x:v>David Brooks</x:v>
      </x:c>
      <x:c r="G77" s="34" t="str">
        <x:v>2011</x:v>
      </x:c>
      <x:c r="H77" s="37" t="str">
        <x:v>Bilinçdışının gizli gücü</x:v>
      </x:c>
      <x:c r="I77" s="37" t="str">
        <x:v>Brooks, günlük kararların büyük çoğunluğunun bilinçli akıl yürütme değil bilinçdışı süreçler tarafından verildiğini araştırmalarla gösteriyor.</x:v>
      </x:c>
      <x:c r="J77" s="37" t="str">
        <x:v>David Brooks bir soru soruyor: Bugün kaç karar verdiniz?
Kahvaltı seçiminden, giydiğiniz kıyafete, sizi en çok etkileyen habere, birisiyle konuşurken durduğunuz mesafeye kadar. Binlerce karar.
Bunların kaçını bilinçli olarak verdiniz?
##Araştırmalar gösteriyor ki kararların yüzde doksanından fazlası bilinçdışı süreçler tarafından veriliyor.##
Brooks bunu trajik değil, şaşırtıcı buluyor. Çünkü bilinçdışı inanılmaz bir işlem gücüne sahip. Saniyede milyonlarca veriyi işliyor, örüntüleri görüyor, kararlar üretiyor.
Bilinçli akıl ise yavaş, lineer, sınırlı. Ama gürültülü. Sürekli konuşuyor. Ve kendini karar verici sanıyor.
Gerçekte çoğu zaman bilinçdışının kararlarına gerekçe üretiyor.
Peki bu ne anlama geliyor?
Çevreniz, ilişkileriniz, alışkanlıklarınız bilinçdışınızı şekillendiriyor. Ve bilinçdışınız kararlarınızı şekillendiriyor. Dolayısıyla kimi, neyi, nereyi seçtiğiniz — bunların hepsi sandığınızdan çok daha az "akılcı."
$$Bizi biz yapan şeylerin büyük çoğunluğu, farkında bile olmadan şekilleniyor.$$
&amp;&amp;Son büyük kararından birini düşün. Gerçekte ne sürükledi seni o karara — mantık mı, yoksa hissettiğin ama tam adını koyamadığın bir şey mi?&amp;&amp;</x:v>
      </x:c>
      <x:c r="K77" s="37" t="str"/>
      <x:c r="L77" s="37" t="str"/>
      <x:c r="M77" s="37" t="str"/>
      <x:c r="N77" s="37" t="str"/>
      <x:c r="O77" s="37" t="str"/>
    </x:row>
    <x:row r="78" ht="20" customHeight="1">
      <x:c r="A78" s="33" t="n">
        <x:v>1135</x:v>
      </x:c>
      <x:c r="B78" s="34" t="str">
        <x:v>1</x:v>
      </x:c>
      <x:c r="C78" s="34" t="str">
        <x:v>Psikoloji</x:v>
      </x:c>
      <x:c r="D78" s="34" t="str">
        <x:v>Psikoloji</x:v>
      </x:c>
      <x:c r="E78" s="34" t="str">
        <x:v>Sosyal Hayvan</x:v>
      </x:c>
      <x:c r="F78" s="34" t="str">
        <x:v>David Brooks</x:v>
      </x:c>
      <x:c r="G78" s="34" t="str">
        <x:v>2011</x:v>
      </x:c>
      <x:c r="H78" s="37" t="str">
        <x:v>Bağlanma ve başarı ilişkisi</x:v>
      </x:c>
      <x:c r="I78" s="37" t="str">
        <x:v>Brooks, erken çocukluk dönemindeki güvenli bağlanmanın yetişkinlik başarısını IQ'dan daha güçlü biçimde öngördüğünü gösteren araştırmaları aktarıyor.</x:v>
      </x:c>
      <x:c r="J78" s="37" t="str">
        <x:v>1970'lerde Minnesota Üniversitesi'nde uzun soluklu bir araştırma başladı.
Bebekler yakın takibe alındı. Anneleriyle ilişkileri incelendi. Güvenli bağlanan mı, kaygılı bağlanan mı, kaçıngan mı?
Sonra bu bebekler büyüdü. Araştırmacılar onları otuz yıl boyunca izledi.
##Güvenli bağlanan bebekler yetişkinlikte sosyal becerilerde, stres yönetiminde ve akademik başarıda diğerlerini geride bıraktı.##
David Brooks bu araştırmayı şöyle yorumluyor: "Güvenli bağlanma çocuğa bir şeyi öğretti: Dünya güvenilir bir yer ve ben burada değerliyim."
Bu inanç her şeyi etkiliyor. Yeni durumlara yaklaşım. Başarısızlıkla başa çıkma. Başkalarıyla ilişki kurma.
Ve IQ bu farkı açıklamıyordu. Güvenli bağlanma açıklıyordu.
Brooks bunu bir uyarı olarak da sunuyor: Çocuklara ne öğrettiğimizden çok onlarla nasıl ilişki kurduğumuz belirleyici. Matematik öğretmek mi daha önemli, yoksa güvende hissettirmek mi?
$$Bir çocuğa verilen en büyük hediye bilgi değil, güven duygusu — "burası güvenli, sen değerlisin."$$
&amp;&amp;Çocukluğunda güvenli bağlandığını hissettiğin bir ilişki var mıydı? O ilişki seni nasıl şekillendirdi?&amp;&amp;</x:v>
      </x:c>
      <x:c r="K78" s="37" t="str"/>
      <x:c r="L78" s="37" t="str"/>
      <x:c r="M78" s="37" t="str"/>
      <x:c r="N78" s="37" t="str"/>
      <x:c r="O78" s="37" t="str"/>
    </x:row>
    <x:row r="79" ht="20" customHeight="1">
      <x:c r="A79" s="33" t="n">
        <x:v>1136</x:v>
      </x:c>
      <x:c r="B79" s="34" t="str">
        <x:v>1</x:v>
      </x:c>
      <x:c r="C79" s="34" t="str">
        <x:v>Psikoloji</x:v>
      </x:c>
      <x:c r="D79" s="34" t="str">
        <x:v>Psikoloji</x:v>
      </x:c>
      <x:c r="E79" s="34" t="str">
        <x:v>Sosyal Hayvan</x:v>
      </x:c>
      <x:c r="F79" s="34" t="str">
        <x:v>David Brooks</x:v>
      </x:c>
      <x:c r="G79" s="34" t="str">
        <x:v>2011</x:v>
      </x:c>
      <x:c r="H79" s="37" t="str">
        <x:v>Karakter ve ahlakın kökeni</x:v>
      </x:c>
      <x:c r="I79" s="37" t="str">
        <x:v>Brooks, ahlaki kararların akıldan değil duygulardan doğduğunu ve karakterin bilgiyle değil alışkanlıkla inşa edildiğini Aristoteles'e kadar uzanan araştırmalarla gösteriyor.</x:v>
      </x:c>
      <x:c r="J79" s="37" t="str">
        <x:v>Araştırmacılar insanlara ahlaki ikilemler sundular.
"Bir troleybüs beş kişiye doğru gidiyor. Bir koldan giderse bir kişiyi eziyor. Kolu çeker misiniz?"
Çoğu insan evet diyor. Mantıklı: Beş hayat, bir hayattan değerlidir.
Sonra soruyu değiştirdiler: "Bir köprüde duruyorsunuz. Yanınızda büyük bir adam var. Onu köprüden iterseniz troleybüs duracak ve beş kişi kurtulacak. Onu iter misiniz?"
##Matematiksel olarak aynı soru. Ama neredeyse herkes hayır diyor.##
Neden? Çünkü birincisi soyut, ikincisi somut. Beyin birinde analitik, ikincinde duygusal bir cevap üretiyor.
David Brooks bu araştırmayı şöyle bağlıyor: Ahlak, mantıktan değil, duygudan geliyor. Ve karakter, doğru kararlar bilmekle değil doğru duygulara sahip olmakla inşa ediliyor.
Aristoteles'in dediğine dönüyor Brooks: "Karakter, alışkanlıktan doğar." Defalarca doğruyu seçmek, eninde sonunda doğruyu seçmeyi otomatik hale getiriyor.
$$Ahlak, bilgi meselesi değil — alışkanlık meselesidir.$$
&amp;&amp;Geçmişte, mantıklı bulduğun halde içgüdün "hayır" dediği bir karar aldın mı? O iç ses ne söylüyordu?&amp;&amp;</x:v>
      </x:c>
      <x:c r="K79" s="37" t="str"/>
      <x:c r="L79" s="37" t="str"/>
      <x:c r="M79" s="37" t="str"/>
      <x:c r="N79" s="37" t="str"/>
      <x:c r="O79" s="37" t="str"/>
    </x:row>
    <x:row r="80" ht="20" customHeight="1">
      <x:c r="A80" s="33" t="n">
        <x:v>1137</x:v>
      </x:c>
      <x:c r="B80" s="34" t="str">
        <x:v>1</x:v>
      </x:c>
      <x:c r="C80" s="34" t="str">
        <x:v>Liderlik</x:v>
      </x:c>
      <x:c r="D80" s="34" t="str">
        <x:v>Liderlik</x:v>
      </x:c>
      <x:c r="E80" s="34" t="str">
        <x:v>Hız ve Güven</x:v>
      </x:c>
      <x:c r="F80" s="34" t="str">
        <x:v>Stephen M. R. Covey</x:v>
      </x:c>
      <x:c r="G80" s="34" t="str">
        <x:v>2006</x:v>
      </x:c>
      <x:c r="H80" s="37" t="str">
        <x:v>Warren Buffett'ın el sıkışması</x:v>
      </x:c>
      <x:c r="I80" s="37" t="str">
        <x:v>Buffett milyarlarca dolarlık anlaşmaları avukat tutmadan el sıkışarak kapattı; güven tüm sözleşmelerden daha hızlı ve ucuz çalışır.</x:v>
      </x:c>
      <x:c r="J80" s="37" t="str">
        <x:v>Warren Buffett bir satın alma görüşmesine katıldı.
Satıcı şirketi satmak istiyordu. Rakamlar konuşuldu. Anlaşma sağlandı.
Buffett elini uzattı. El sıkıştılar.
Avukat yoktu. Sözleşme yoktu. Yüz sayfalık bir taslak yoktu.
##Sonraki süreçte Buffett'ın ekibi resmi evrakları hazırladı. Ama Buffett'a göre anlaşma el sıkışmayla bitmişti.##
Stephen Covey bu hikayeyi şöyle yorumluyor: Buffett'ın güvenilirliği onun en büyük varlığı. Ve o güven yıllarca tekrarlanan davranışlarla inşa edilmişti.
Güven ekonomik bir kategori, diyor Covey. Güven yüksek olduğunda her şey hızlanır ve ucuzlaşır. Sözleşmeler kısalır. Toplantılar kısalır. Kararlar hızlanır.
Güven düşük olduğunda her şey yavaşlar ve pahalanır. Her şeyi kontrol etmek gerekir. Her adımda onay lazım. Her işlemde şüphe var.
Bu sadece iş dünyasında değil, her ilişkide geçerli. Güvendiğin biriyle bir saatte çözdüğün sorunu güvenmediğin biriyle bir ayda bile çözemeyebilirsin.
$$Güven en hızlı iş aracıdır — ama en yavaş inşa edilenidir.$$
&amp;&amp;İş ya da özel hayatında güvenin yüksek olduğu ve olmadığı iki ilişkiyi düşün. O iki ilişkideki enerji farkı nedir?&amp;&amp;</x:v>
      </x:c>
      <x:c r="K80" s="37" t="str"/>
      <x:c r="L80" s="37" t="str"/>
      <x:c r="M80" s="37" t="str"/>
      <x:c r="N80" s="37" t="str"/>
      <x:c r="O80" s="37" t="str"/>
    </x:row>
    <x:row r="81" ht="20" customHeight="1">
      <x:c r="A81" s="33" t="n">
        <x:v>1138</x:v>
      </x:c>
      <x:c r="B81" s="34" t="str">
        <x:v>1</x:v>
      </x:c>
      <x:c r="C81" s="34" t="str">
        <x:v>Liderlik</x:v>
      </x:c>
      <x:c r="D81" s="34" t="str">
        <x:v>Liderlik</x:v>
      </x:c>
      <x:c r="E81" s="34" t="str">
        <x:v>Hız ve Güven</x:v>
      </x:c>
      <x:c r="F81" s="34" t="str">
        <x:v>Stephen M. R. Covey</x:v>
      </x:c>
      <x:c r="G81" s="34" t="str">
        <x:v>2006</x:v>
      </x:c>
      <x:c r="H81" s="37" t="str">
        <x:v>Güven vergisi ve güven temettüsü</x:v>
      </x:c>
      <x:c r="I81" s="37" t="str">
        <x:v>Covey, düşük güvenin her işleme ek maliyet ve süre eklediğini, yüksek güvenin ise tüm süreçleri hızlandırıp ucuzlattığını kanıtlıyor.</x:v>
      </x:c>
      <x:c r="J81" s="37" t="str">
        <x:v>Stephen Covey bir formül sunuyor.
Düşünce: "Strateji doğruysa, çalışkanlık varsa, başarı gelir."
Covey buna katılmıyor. Formüle bir şey ekliyor: "Güven yoksa, her şey yavaşlar ve pahalanır."
Buna "güven vergisi" diyor.
Bir ekibi yönetiyorsunuz. Ekip üyelerine güvenmiyorsunuz. Her kararı onaylamak zorunda kalıyorsunuz. Her e-postayı kontrol ediyorsunuz. Her toplantıda şüphe var.
##Ekip ne yapıyor? Gerçek sorunu çözmek yerine, "patronun beklentisini nasıl karşılarım?" sorusuna enerji harcıyor.##
Bu güven vergisi. İnsan gücünün, zamanın, enerjinin büyük bir kısmı boşa gidiyor.
Öte yandan güven yüksekse, Covey buna "güven temettüsü" diyor. Kararlar daha hızlı alınıyor. İnsanlar daha açık konuşuyor. Hatalar daha erken fark ediliyor. Yenilik ortaya çıkıyor.
Birleşme-satın alma araştırmaları şunu gösteriyor: İki şirket kültürleri birbirine uyum sağlayamazsa — yani güven kurulmazsa — teoride mükemmel anlaşmalar pratikte yıllarca kaybettiriyor.
$$Her ilişkide ödenen görünmez bir vergi ya da kazanılan görünmez bir temettü var — ikisi de güvenden kaynaklanıyor.$$
&amp;&amp;Şu an iş ya da özel hayatında "güven vergisi" ödediğin bir ilişki var mı? O güven açığını kapatmak için ne yapabilirsin?&amp;&amp;</x:v>
      </x:c>
      <x:c r="K81" s="37" t="str"/>
      <x:c r="L81" s="37" t="str"/>
      <x:c r="M81" s="37" t="str"/>
      <x:c r="N81" s="37" t="str"/>
      <x:c r="O81" s="37" t="str"/>
    </x:row>
    <x:row r="82" ht="20" customHeight="1">
      <x:c r="A82" s="33" t="n">
        <x:v>1139</x:v>
      </x:c>
      <x:c r="B82" s="34" t="str">
        <x:v>1</x:v>
      </x:c>
      <x:c r="C82" s="34" t="str">
        <x:v>Liderlik</x:v>
      </x:c>
      <x:c r="D82" s="34" t="str">
        <x:v>Liderlik</x:v>
      </x:c>
      <x:c r="E82" s="34" t="str">
        <x:v>Hız ve Güven</x:v>
      </x:c>
      <x:c r="F82" s="34" t="str">
        <x:v>Stephen M. R. Covey</x:v>
      </x:c>
      <x:c r="G82" s="34" t="str">
        <x:v>2006</x:v>
      </x:c>
      <x:c r="H82" s="37" t="str">
        <x:v>Güven inşasının dört çekirdeği</x:v>
      </x:c>
      <x:c r="I82" s="37" t="str">
        <x:v>Covey, güvenin şans eseri değil dört temel bileşenin bilinçli olarak geliştirilmesiyle inşa edildiğini somut örneklerle gösteriyor.</x:v>
      </x:c>
      <x:c r="J82" s="37" t="str">
        <x:v>Stephen Covey güveni şansa bırakmıyor.
Güvenilir olmak dört temel bileşenden oluşuyor diyor: Bütünlük, niyet, yetenek ve sonuçlar.
Bütünlük: Söylediğin ile yaptığın örtüşüyor mu? Kimse görmese de aynı davranıyor musun?
Niyet: İnsanlar senin gerçekten onların iyiliğini istediğine inanıyor mu, yoksa kendi çıkarını mı güdüyorsun?
Yetenek: İddia ettiğin şeyi gerçekten yapabilme becerine sahip misin?
Sonuçlar: Söz verdiğinde yetiştiriyor musun?
##Covey şöyle diyor: Bu dördünden biri bile yoksa, güven inşa etmek imkansız.##
Pek çok insan bütünlük sahibidir ama yetersiz yeteneği var — güven kazanamaz. Pek çoğu yeteneklidir ama niyeti şüphelidir — güven kazanamaz. Pek çoğu iyi niyetlidir ama sözlerini tutmaz — güven kazanamaz.
Covey şunu da ekliyor: Güven bir kez kırıldığında yeniden inşa etmek mümkün. Ama bu süreç uzun ve tutarlı bir çaba istiyor.
"Özür dilerim" güveni geri getirmiyor. Defalarca tekrarlanan doğru davranış geri getiriyor.
$$Güven bir anda kazanılmaz, binlerce küçük seçimle birikir.$$
&amp;&amp;Bu dört bileşenden — bütünlük, niyet, yetenek, sonuçlar — hangisinde en güçlüsün? Hangisini geliştirmen gerekiyor?&amp;&amp;</x:v>
      </x:c>
      <x:c r="K82" s="37" t="str"/>
      <x:c r="L82" s="37" t="str"/>
      <x:c r="M82" s="37" t="str"/>
      <x:c r="N82" s="37" t="str"/>
      <x:c r="O82" s="37" t="str"/>
    </x:row>
    <x:row r="83" ht="20" customHeight="1">
      <x:c r="A83" s="33" t="n">
        <x:v>1140</x:v>
      </x:c>
      <x:c r="B83" s="34" t="str">
        <x:v>1</x:v>
      </x:c>
      <x:c r="C83" s="34" t="str">
        <x:v>Büyüme</x:v>
      </x:c>
      <x:c r="D83" s="34" t="str">
        <x:v>Kişisel Gelişim</x:v>
      </x:c>
      <x:c r="E83" s="34" t="str">
        <x:v>Cesaret Vermek</x:v>
      </x:c>
      <x:c r="F83" s="34" t="str">
        <x:v>Brené Brown</x:v>
      </x:c>
      <x:c r="G83" s="34" t="str">
        <x:v>2012</x:v>
      </x:c>
      <x:c r="H83" s="37" t="str">
        <x:v>Savunmasızlığın paradoksu</x:v>
      </x:c>
      <x:c r="I83" s="37" t="str">
        <x:v>Brown, savunmasızlığın zayıflık değil cesaretin temeli olduğunu ve en bağlayıcı insan deneyimlerinin hep savunmasızlık gerektirdiğini araştırmalarla gösteriyor.</x:v>
      </x:c>
      <x:c r="J83" s="37" t="str">
        <x:v>Brené Brown araştırmasına başlarken kesin bir hipotezi vardı: Bağlantılı insanlar savunmasız değildir.
Altı yıl boyunca binlerce insanla görüştü. Derin bağlantı hisseden insanları, yalnızlık hisseden insanları. Ne fark yaratıyordu?
Cevap onu şaşırttı.
##Derin bağlantı yaşayan insanlar daha savunmasızdı — daha az değil.##
Brown bunu şöyle açıklıyor: Bağlantı, görülmeyi gerektirir. Gerçekten görülmek ise güvensizliği, mükemmel olmamayı, "ya reddedilrsem" korkusunu kabul etmeyi gerektiriyor.
Ama çoğumuz tam tersi yapıyor. Zayıf görünmemek için mesafe koyuyoruz. Kendimizi korumak için maske takıyoruz.
Ve bu maske bağlantıyı da koruyor — ama dışarıda bırakıyor.
Brown'ın keşfinin özü şu: Savunmasızlık, zayıflığın göstergesi değil, cesaretin koşulu. Sevilmeden görülmek istemek mümkün değil. Görülmeden bağlanmak mümkün değil. Ve görülmek, savunmasız olmayı kabul etmekle başlıyor.
$$Zırh kuşanmak sizi koruyor — ama aynı zamanda yalnız bırakıyor.$$
&amp;&amp;Hayatında gerçekten savunmasız olabildiğin, maskenin düştüğü bir ilişkin var mı? O ilişkide ne hissediyorsun?&amp;&amp;</x:v>
      </x:c>
      <x:c r="K83" s="37" t="str"/>
      <x:c r="L83" s="37" t="str"/>
      <x:c r="M83" s="37" t="str"/>
      <x:c r="N83" s="37" t="str"/>
      <x:c r="O83" s="37" t="str"/>
    </x:row>
    <x:row r="84" ht="20" customHeight="1">
      <x:c r="A84" s="33" t="n">
        <x:v>1141</x:v>
      </x:c>
      <x:c r="B84" s="34" t="str">
        <x:v>1</x:v>
      </x:c>
      <x:c r="C84" s="34" t="str">
        <x:v>Büyüme</x:v>
      </x:c>
      <x:c r="D84" s="34" t="str">
        <x:v>Kişisel Gelişim</x:v>
      </x:c>
      <x:c r="E84" s="34" t="str">
        <x:v>Cesaret Vermek</x:v>
      </x:c>
      <x:c r="F84" s="34" t="str">
        <x:v>Brené Brown</x:v>
      </x:c>
      <x:c r="G84" s="34" t="str">
        <x:v>2012</x:v>
      </x:c>
      <x:c r="H84" s="37" t="str">
        <x:v>Yeterlilik ve utanç kıskacı</x:v>
      </x:c>
      <x:c r="I84" s="37" t="str">
        <x:v>Brown, utancın 'yeterli olmadığına' dair temel bir inanç olduğunu ve bu inancın insanları nasıl küçülttüğünü araştırmalardan hareketle anlatıyor.</x:v>
      </x:c>
      <x:c r="J84" s="37" t="str">
        <x:v>Brené Brown araştırmasında tekrar eden bir tema gördü.
İnsanlar savunmasız hissettiklerinde derinlerde şunu söylüyordu: "Yeterince iyi değilim."
Yeterince güzel değilim. Yeterince başarılı değilim. Yeterince zeki, ilginç, sevimli değilim.
Brown bunu utanç araştırmasının merkezine koydu.
Utanç, suçluluktan farklı. Suçluluk: "Kötü bir şey yaptım." Utanç: "Ben kötüyüm."
##Bu ince ama yıkıcı bir fark. Çünkü suçluluk davranışı değiştirmeye motive eder. Utanç ise insanı küçülter, gizler ve onu daha da kötü davranmaya iter.##
Brown binlerce saatlik görüşme analiz etti. Utanç direncine sahip insanların ortak özellikleri şunlardı: Savunmasızlığı kabul ediyorlar, kendileriyle şefkatli konuşuyorlar ve "bu his beni tanımlamıyor" diyebiliyorlar.
Brown buna "utanç direnci" diyor. Ve bunu öğrenilebilir bir beceri olarak tanımlıyor.
Başlangıç noktası: "Yeterli olmayan ben" yerine "yeterince yaptığımı öğreniyorum" demek.
$$Utanç yalnızlıkta büyür; ışıkta ve bağlantıda küçülür.$$
&amp;&amp;"Yeterince iyi değilim" hissinin en güçlü olduğu alan hangisi? O his seni nasıl davranmaktan alıkoyuyor?&amp;&amp;</x:v>
      </x:c>
      <x:c r="K84" s="37" t="str"/>
      <x:c r="L84" s="37" t="str"/>
      <x:c r="M84" s="37" t="str"/>
      <x:c r="N84" s="37" t="str"/>
      <x:c r="O84" s="37" t="str"/>
    </x:row>
    <x:row r="85" ht="20" customHeight="1">
      <x:c r="A85" s="33" t="n">
        <x:v>1142</x:v>
      </x:c>
      <x:c r="B85" s="34" t="str">
        <x:v>1</x:v>
      </x:c>
      <x:c r="C85" s="34" t="str">
        <x:v>Büyüme</x:v>
      </x:c>
      <x:c r="D85" s="34" t="str">
        <x:v>Kişisel Gelişim</x:v>
      </x:c>
      <x:c r="E85" s="34" t="str">
        <x:v>Cesaret Vermek</x:v>
      </x:c>
      <x:c r="F85" s="34" t="str">
        <x:v>Brené Brown</x:v>
      </x:c>
      <x:c r="G85" s="34" t="str">
        <x:v>2012</x:v>
      </x:c>
      <x:c r="H85" s="37" t="str">
        <x:v>Arenada dövüşmek</x:v>
      </x:c>
      <x:c r="I85" s="37" t="str">
        <x:v>Brown, Roosevelt'in 'arenada olan insan' alıntısından yola çıkarak eleştirmenlerin değil risk alan insanların dünyayı değiştirdiğini anlatıyor.</x:v>
      </x:c>
      <x:c r="J85" s="37" t="str">
        <x:v>Theodore Roosevelt 1910'da Paris'te bir konuşma yaptı.
Şöyle dedi: "İtibar, arenada olmayan adamın değil; yüzü tozlu, terli ve kanlı olan adamın, cesurca savaşan ve hata yapan, tekrar tekrar düşen, çünkü hatadan ve eksiklikten uzak çaba diye bir şey olmadığını bilen adamın hakkıdır."
##Brené Brown bu pasajı ilk okuduğunda sayfayı kapattı. Bir süre sadece oturdu.##
Brown şöyle diyor: "Tüm araştırmam bu bir paragrafta."
Çünkü çoğumuz tribünde. Eleştiriyoruz, yorumluyoruz, "şöyle yapılmalıydı" diyoruz. Arenada olmadan.
Ve arenada olanlar — risk alanlar, yanlış yapabileceklerini kabul edenler, savunmasız olanlar — onları yargılıyoruz.
Brown'ın mesajı şu: Tribündeki insanların görüşü önemli değil. Önemli olan arenada olanların.
Ve bu sadece büyük kararlar için geçerli değil. Zor bir konuşmaya girmek, yeni bir şey denemek, "seviyorum" demek, "yanlış yaptım" demek — bunların hepsi arenaya girmek.
$$Eleştirilmek kaçınılmazdır — ama eleştirmenlerin görüşü, yalnızca arenada olanlara aittir.$$
&amp;&amp;Şu an arenaya girmekten kaçındığın bir şey var mı? Tribünde bıraktığın bir karar, söylemediğin bir söz?&amp;&amp;</x:v>
      </x:c>
      <x:c r="K85" s="37" t="str"/>
      <x:c r="L85" s="37" t="str"/>
      <x:c r="M85" s="37" t="str"/>
      <x:c r="N85" s="37" t="str"/>
      <x:c r="O85" s="37" t="str"/>
    </x:row>
    <x:row r="86" ht="20" customHeight="1">
      <x:c r="A86" s="33" t="n">
        <x:v>1143</x:v>
      </x:c>
      <x:c r="B86" s="34" t="str">
        <x:v>1</x:v>
      </x:c>
      <x:c r="C86" s="34" t="str">
        <x:v>Büyüme</x:v>
      </x:c>
      <x:c r="D86" s="34" t="str">
        <x:v>Motivasyon</x:v>
      </x:c>
      <x:c r="E86" s="34" t="str">
        <x:v>Fark Yaratmak</x:v>
      </x:c>
      <x:c r="F86" s="34" t="str">
        <x:v>William H. McRaven</x:v>
      </x:c>
      <x:c r="G86" s="34" t="str">
        <x:v>2017</x:v>
      </x:c>
      <x:c r="H86" s="37" t="str">
        <x:v>Her sabah yatağını topla</x:v>
      </x:c>
      <x:c r="I86" s="37" t="str">
        <x:v>McRaven, Navy SEAL eğitimindeki en basit görevin — yatağı toplamak — zorlu günlerde insanların moralini nasıl ayakta tuttuğunu anlatıyor.</x:v>
      </x:c>
      <x:c r="J86" s="37" t="str">
        <x:v>William McRaven 2014'te Texas Üniversitesi mezuniyet töreninde konuştu.
Binlerce mezuna şunu söyledi: "Dünyayı değiştirmek istiyorsanız, bugün yatağınızı toplayın."
Seyirciler güldü. McRaven beklemedi.
"SEAL eğitiminde her sabah yatağınız mükemmel olmalıydı. Tam köşe, tam düz. Eğer yapmadıysanız, ceza vardı."
##"Ama bunu yaparken şunu fark ettim: Sabah ilk görevini tamamlayan insan güne bir başarıyla başlar. Ve o küçük başarı, bir sonraki başarının tohumunu eker."##
McRaven devam etti: "Ve eğer gün korkunç geçtiyse, eve döndüğünüzde en azından toplu bir yatağınız var. Yarın daha iyi olacağına dair küçük bir umut."
Bu konuşma viral oldu. Kitaba dönüştü. Milyonlarca kişiye ulaştı.
Neden bu kadar güçlü yankı uyandırdı?
Çünkü büyük değişimler genellikle büyük kararlarla başlamaz. Küçük, tutarlı, görünmez disiplinlerle başlar.
Yatağını toplamak dünyayı değiştirmiyor. Ama o hareketi yapan insan, yapmayana göre farklı bir gün geçiriyor. Günler birikirken, hayatlar ayrışıyor.
$$Büyük değişimler büyük kararlarla değil, küçük tutarlı eylemlerle başlar.$$
&amp;&amp;Bugün sabah hangi küçük görevi yaptın ya da yapmadın? O küçük seçim gün içinde seni nasıl etkiledi?&amp;&amp;</x:v>
      </x:c>
      <x:c r="K86" s="37" t="str"/>
      <x:c r="L86" s="37" t="str"/>
      <x:c r="M86" s="37" t="str"/>
      <x:c r="N86" s="37" t="str"/>
      <x:c r="O86" s="37" t="str"/>
    </x:row>
    <x:row r="87" ht="20" customHeight="1">
      <x:c r="A87" s="33" t="n">
        <x:v>1144</x:v>
      </x:c>
      <x:c r="B87" s="34" t="str">
        <x:v>1</x:v>
      </x:c>
      <x:c r="C87" s="34" t="str">
        <x:v>Büyüme</x:v>
      </x:c>
      <x:c r="D87" s="34" t="str">
        <x:v>Motivasyon</x:v>
      </x:c>
      <x:c r="E87" s="34" t="str">
        <x:v>Fark Yaratmak</x:v>
      </x:c>
      <x:c r="F87" s="34" t="str">
        <x:v>William H. McRaven</x:v>
      </x:c>
      <x:c r="G87" s="34" t="str">
        <x:v>2017</x:v>
      </x:c>
      <x:c r="H87" s="37" t="str">
        <x:v>Köpekbalığı havuzu ve korku</x:v>
      </x:c>
      <x:c r="I87" s="37" t="str">
        <x:v>McRaven, SEAL eğitimindeki köpekbalığı gecesinin cesaretin korkusuzluk değil korkuya rağmen ilerleme olduğunu öğrettiğini anlatıyor.</x:v>
      </x:c>
      <x:c r="J87" s="37" t="str">
        <x:v>SEAL eğitiminin ilk haftasında 'köpekbalığı gecesi' denilen bir egzersiz var.
Eğitimciler adayları karanlık bir havuza götürüyor. Havuzda köpekbalıkları var. Adaylar iki saat boyunca köpekbalıklarıyla birlikte yüzmek zorunda.
McRaven o geceyi anlatıyor: "Kimse konuşmuyordu. Herkes korkuyordu. Ben de korkuyordum."
##"Ama o gece öğrendim: Cesaret, korkmamak değil. Korkuya rağmen ilerlemek."##
Köpekbalıkları onlara saldırmadı. Ama önemli olan bu değildi.
Önemli olan şuydu: Her aday o havuzda "korkuyum, ama yapıyorum" kararını verdi. Ve bu karar, sonraki her zor anda hatırlanan bir referans noktasına dönüştü.
McRaven bunu liderliğin özüyle ilişkilendiriyor: Gerçek cesaret, tehlikeyi görmezden gelmek değil. Tehlikeyi görüp yine de adım atmak.
Ve her adım atıldığında, bir sonrakinin eşiği biraz daha düşüyor.
$$Korku geçmez — ama tanıdıkça küçülür.$$
&amp;&amp;Hayatında "korkuyum ama yapıyorum" dediğin ve sonunda memnun olduğun bir an var mı? O deneyim seni nasıl değiştirdi?&amp;&amp;</x:v>
      </x:c>
      <x:c r="K87" s="37" t="str"/>
      <x:c r="L87" s="37" t="str"/>
      <x:c r="M87" s="37" t="str"/>
      <x:c r="N87" s="37" t="str"/>
      <x:c r="O87" s="37" t="str"/>
    </x:row>
    <x:row r="88" ht="20" customHeight="1">
      <x:c r="A88" s="33" t="n">
        <x:v>1145</x:v>
      </x:c>
      <x:c r="B88" s="34" t="str">
        <x:v>1</x:v>
      </x:c>
      <x:c r="C88" s="34" t="str">
        <x:v>Büyüme</x:v>
      </x:c>
      <x:c r="D88" s="34" t="str">
        <x:v>Motivasyon</x:v>
      </x:c>
      <x:c r="E88" s="34" t="str">
        <x:v>Fark Yaratmak</x:v>
      </x:c>
      <x:c r="F88" s="34" t="str">
        <x:v>William H. McRaven</x:v>
      </x:c>
      <x:c r="G88" s="34" t="str">
        <x:v>2017</x:v>
      </x:c>
      <x:c r="H88" s="37" t="str">
        <x:v>Kolay olmayacak, devam et</x:v>
      </x:c>
      <x:c r="I88" s="37" t="str">
        <x:v>McRaven, SEAL eğitiminin en ağır anlarından birinde öğrendiği dersi aktarıyor: En karanlık anda pes etmemek, hayattaki en büyük beceridir.</x:v>
      </x:c>
      <x:c r="J88" s="37" t="str">
        <x:v>SEAL eğitiminin en ağır günlerinden birinde McRaven tamamen tükenmişti.
Soğuk, yorgun, açtı. Uyumamıştı. Her kası ağrıyordu.
Eğitimcisi yanına geldi ve kulağına fısıldadı: "Bu geçecek. Devam et."
##O cümle, o gün McRaven'in hayatında en önemli cümle oldu.##
Yıllar sonra McRaven şunu yazıyor: "Hayatın en zor anlarında çoğu insan durur. Ve çoğu zaman, bir adım daha atmış olsalardı, tünel sona ererdi."
Bu sadece fiziksel dayanıklılık hakkında değil.
Zor bir ilişki. Zor bir iş projesi. Zor bir kayıp. Zor bir hastalık. Her durumda bir an geliyor — "artık yapamıyorum" hissi.
McRaven'ın sorusu şu: O anda durmak doğru mu, yoksa bir adım daha atmak mı?
Cevabı basit: Durmak bazen doğru. Ama "çok zor olduğu için" durmak ile "gerçekten bitti, devam etmek anlamsız" diye durmak farklı şeyler.
Ve farkı bilmek, hayatın en değerli becerilerinden biri.
$$Zor anın sonu yoktur diye düşünmek, sonu getiren şeydir.$$
&amp;&amp;Şu an "artık dayanamıyorum" hissiyle baktığın bir şey var mı? O hissin gerçekten "bitti" mi yoksa "çok zor" mu dediğini nasıl ayırt edebilirsin?&amp;&amp;</x:v>
      </x:c>
      <x:c r="K88" s="37" t="str"/>
      <x:c r="L88" s="37" t="str"/>
      <x:c r="M88" s="37" t="str"/>
      <x:c r="N88" s="37" t="str"/>
      <x:c r="O88" s="37" t="str"/>
    </x:row>
    <x:row r="89" ht="20" customHeight="1">
      <x:c r="A89" s="33" t="n">
        <x:v>1146</x:v>
      </x:c>
      <x:c r="B89" s="34" t="str">
        <x:v>1</x:v>
      </x:c>
      <x:c r="C89" s="34" t="str">
        <x:v>Büyüme</x:v>
      </x:c>
      <x:c r="D89" s="34" t="str">
        <x:v>Kişisel Gelişim</x:v>
      </x:c>
      <x:c r="E89" s="34" t="str">
        <x:v>Sınırlar</x:v>
      </x:c>
      <x:c r="F89" s="34" t="str">
        <x:v>Nedra Tawwab</x:v>
      </x:c>
      <x:c r="G89" s="34" t="str">
        <x:v>2021</x:v>
      </x:c>
      <x:c r="H89" s="37" t="str">
        <x:v>Hayır diyememek ve tükenişin bedeli</x:v>
      </x:c>
      <x:c r="I89" s="37" t="str">
        <x:v>Tawwab, sürekli evet diyen bir terapistin hikayesiyle sınır koymak bencillik değil sürdürülebilir bakımın temeli olduğunu gösteriyor.</x:v>
      </x:c>
      <x:c r="J89" s="37" t="str">
        <x:v>Nedra Tawwab'ın danışanlarından biri terapistti.
İyi bir terapist. Hastalarına bağlıydı. Her birine gerçekten önem veriyordu.
O kadar önem veriyordu ki hiçbirine "hayır" diyemiyordu.
Acil aramalar gelirdi — cevaplıyordu. Gece geç saate seans isteyenler — kabul ediyordu. Hafta sonu yardım isteyenler — orada oluyordu.
##Bir gün seansın ortasında ağlamaya başladı. Durduramadı.##
Tükenmişliğin ta kendisiydi bu.
Tawwab bu hikayeyi şöyle yorumluyor: Sınırsız vermek, vermeyi durdurmak zorunda kalmakla sonuçlanır. Çünkü dolu olmayan bardak başkasına dökülemez.
Çoğumuz sınır koymayı bencillik olarak görüyor. "Ben önem veririm, o yüzden her şeyi yaparım." Ama bu denklem yanlış.
Gerçek şu: Sınır koymak, ilişkiyi korumak için gerekli. Sürdürülebilir bakım, sınırlı bakımdan geliyor.
Uçakta oksijen maskesi talimatı boşuna değil: "Önce kendinize takın, sonra yanınızdakine."
$$Sınır koymak "seni önemsemiyorum" değil, "biz ikimiz de önemlisiniz" demektir.$$
&amp;&amp;Şu an hayır demekte zorlandığın ve bu yüzden kendin için zamanın ya da enerjinin kalmadığı bir alan var mı?&amp;&amp;</x:v>
      </x:c>
      <x:c r="K89" s="37" t="str"/>
      <x:c r="L89" s="37" t="str"/>
      <x:c r="M89" s="37" t="str"/>
      <x:c r="N89" s="37" t="str"/>
      <x:c r="O89" s="37" t="str"/>
    </x:row>
    <x:row r="90" ht="20" customHeight="1">
      <x:c r="A90" s="33" t="n">
        <x:v>1147</x:v>
      </x:c>
      <x:c r="B90" s="34" t="str">
        <x:v>1</x:v>
      </x:c>
      <x:c r="C90" s="34" t="str">
        <x:v>Büyüme</x:v>
      </x:c>
      <x:c r="D90" s="34" t="str">
        <x:v>Kişisel Gelişim</x:v>
      </x:c>
      <x:c r="E90" s="34" t="str">
        <x:v>Sınırlar</x:v>
      </x:c>
      <x:c r="F90" s="34" t="str">
        <x:v>Nedra Tawwab</x:v>
      </x:c>
      <x:c r="G90" s="34" t="str">
        <x:v>2021</x:v>
      </x:c>
      <x:c r="H90" s="37" t="str">
        <x:v>Sınırların üç türü</x:v>
      </x:c>
      <x:c r="I90" s="37" t="str">
        <x:v>Tawwab, katı, esnek ve geçirgen sınırlar arasındaki farkı ve sağlıklı ilişkilerin esnek sınırlarla inşa edildiğini açıklıyor.</x:v>
      </x:c>
      <x:c r="J90" s="37" t="str">
        <x:v>Nedra Tawwab sınırları üç kategoriye ayırıyor.
Katı sınırlar: Kimseyi yakın bırakmıyorsunuz. "Paylaşmam", "yardım istemem", "kimseye güvenmem" kuralları. Bu, geçmişteki yaralanmaların koruması. Ama yalnızlığı da getiriyor.
Geçirgen sınırlar: Herkes her şeye girebiliyor. "İstemediğim şeylere evet diyorum", "başkasının duyguları benden sorulur", "beni inciten insanlara fırsat veririm" davranışları. Bu, ilişkiyi önce başkasının koşullarına bırakmak.
##Esnek sınırlar: Duruma, kişiye ve ilişkiye göre ne kadar açık, ne kadar kapalı olacağınızı bilinçli olarak belirliyorsunuz.##
Tawwab'a göre sağlıklı sınırlar esnek sınırlardır. Ne tamamen kapalı, ne tamamen açık. Değerlere ve o anki ihtiyaca göre şekillenen.
Ve sınır koymanın en zor kısmı bu: Karar vermek. "Bu kişiyle bu konuda ne kadar paylaşabilirim?" "Bu isteğe evet diyebilir miyim, içimde bir şeyler kaybetmeden?"
O soruyu sormayı öğrenmek, sınır koymayı öğrenmekten önce geliyor.
$$Sınır koymak hayır demek değil — nereye kadar evet diyeceğini bilmektir.$$
&amp;&amp;Hangi ilişkinde sınırların çok katı, hangisinde çok geçirgen? Ve hangisi sana daha çok enerji mü yoksa güven mi veriyor?&amp;&amp;</x:v>
      </x:c>
      <x:c r="K90" s="37" t="str"/>
      <x:c r="L90" s="37" t="str"/>
      <x:c r="M90" s="37" t="str"/>
      <x:c r="N90" s="37" t="str"/>
      <x:c r="O90" s="37" t="str"/>
    </x:row>
    <x:row r="91" ht="20" customHeight="1">
      <x:c r="A91" s="33" t="n">
        <x:v>1148</x:v>
      </x:c>
      <x:c r="B91" s="34" t="str">
        <x:v>1</x:v>
      </x:c>
      <x:c r="C91" s="34" t="str">
        <x:v>Büyüme</x:v>
      </x:c>
      <x:c r="D91" s="34" t="str">
        <x:v>Kişisel Gelişim</x:v>
      </x:c>
      <x:c r="E91" s="34" t="str">
        <x:v>Sınırlar</x:v>
      </x:c>
      <x:c r="F91" s="34" t="str">
        <x:v>Nedra Tawwab</x:v>
      </x:c>
      <x:c r="G91" s="34" t="str">
        <x:v>2021</x:v>
      </x:c>
      <x:c r="H91" s="37" t="str">
        <x:v>Sınır koymak ilişkileri yıkmaz, güçlendirir</x:v>
      </x:c>
      <x:c r="I91" s="37" t="str">
        <x:v>Tawwab, sınır koyduktan sonra ilişkinin bozulduğunu düşünen insanlara sınırsız ilişkilerin aslında hiç sağlıklı olmadığını gösteriyor.</x:v>
      </x:c>
      <x:c r="J91" s="37" t="str">
        <x:v>Tawwab'a danışanlar sık sık şunu söylüyor: "Sınır koymak istiyorum ama ilişkiyi bozmak istemiyorum."
Tawwab şu soruyu soruyor: "Peki şu an o ilişki sizi nasıl hissettiriyor?"
Cevap genellikle: "Yorgun. Değersizleşmiş gibi. Öfkeli."
##Tawwab şöyle diyor: "Sınır koymak ilişkiyi bozmaz. Çoktan bozuk olan bir ilişkiyi görünür kılar."##
Ve bazen bu görünürlük iyileşmenin başlangıcıdır. Diğer taraf sınırı öğrendiğinde ilişkiyi yeniden kurmak isteyebilir. Sağlıklı, karşılıklı saygıya dayalı bir ilişki.
Ama bazen diğer taraf sınıra tepki gösterir, uzaklaşır. Ve Tawwab'a göre bu da bir bilgi.
"Sınır koymadan önce her şeyinizi veren biriyle ilişkiniz varsa, o ilişki sınır değil fedakarlık üzerine kurulmuştu. Ve bu sağlıklı değildi."
Sınır koymak seçtiklerini gösterir: Sizi olduğunuz gibi kabul edenler kalır. Koşullu sevenler ise gider.
$$Sınır koyduktan sonra gidenler, sizi için değil sizden istedikleri için oradaydı.$$
&amp;&amp;Sınır koyduğun ya da koymayı istediğin bir ilişkini düşün. O sınır ilişkiyi korur mu, yoksa zaten sağlıklı olmayan bir şeyi görünür kılar mı?&amp;&amp;</x:v>
      </x:c>
      <x:c r="K91" s="37" t="str"/>
      <x:c r="L91" s="37" t="str"/>
      <x:c r="M91" s="37" t="str"/>
      <x:c r="N91" s="37" t="str"/>
      <x:c r="O91" s="37" t="str"/>
    </x:row>
    <x:row r="92" ht="20" customHeight="1">
      <x:c r="A92" s="33" t="n">
        <x:v>1149</x:v>
      </x:c>
      <x:c r="B92" s="34" t="str">
        <x:v>1</x:v>
      </x:c>
      <x:c r="C92" s="34" t="str">
        <x:v>Büyüme</x:v>
      </x:c>
      <x:c r="D92" s="34" t="str">
        <x:v>Motivasyon</x:v>
      </x:c>
      <x:c r="E92" s="34" t="str">
        <x:v>Azim</x:v>
      </x:c>
      <x:c r="F92" s="34" t="str">
        <x:v>Angela Duckworth</x:v>
      </x:c>
      <x:c r="G92" s="34" t="str">
        <x:v>2016</x:v>
      </x:c>
      <x:c r="H92" s="37" t="str">
        <x:v>West Point'in 'Dayanma' testi</x:v>
      </x:c>
      <x:c r="I92" s="37" t="str">
        <x:v>West Point'in zorlu seçme sürecini geçen öğrencilerden hayatta kalanları belirleyen zeka değil ölçülmesi zor olan azim ve tutku skoruydu.</x:v>
      </x:c>
      <x:c r="J92" s="37" t="str">
        <x:v>Her yıl binlerce genç West Point Askeri Akademisi'ne başvuruyor.
Seçim sürecini geçmek için sınıfının en iyisi olmak gerekiyor. Spor şampiyonlukları, liderlik geçmişi, mükemmel sınav puanları. Tüm bunlar için puan hesaplanıyor.
Sonra "Canavar Haftası" başlıyor. İlk yedi gün. Fiziksel ve zihinsel dayanma testi.
West Point onlarca yıl boyunca şunu anlamaya çalıştı: Kim kalıyor, kim bırakıyor? Ve en iyi seçme puanı bunu öngörebiliyor mu?
##Angela Duckworth hesapladı: Hayır. En yüksek seçme puanı, Canavar Haftası'nı bitirip bitiremeyeceğini öngörmüyordu.##
Duckworth kendi ölçütünü geliştirdi: Azim. Uzun vadeli hedeflere tutku ve sebat ile yaklaşma kapasitesi.
Azim skoru yüksek olanlar, seçme puanlarından bağımsız olarak çok daha yüksek oranda tamamladı.
Daha zeki, daha atletik olmak yeterli değildi. Zorlandığında devam edip etmeyeceğin belirleyiciydi.
$$Yetenek kapıyı açar; azim o kapının içinde kalmanızı sağlar.$$
&amp;&amp;Yeteneğin olduğunu bildiğin ama azim gerektirdiği için yarım bıraktığın bir şey var mı? O noktada ne oldu?&amp;&amp;</x:v>
      </x:c>
      <x:c r="K92" s="37" t="str"/>
      <x:c r="L92" s="37" t="str"/>
      <x:c r="M92" s="37" t="str"/>
      <x:c r="N92" s="37" t="str"/>
      <x:c r="O92" s="37" t="str"/>
    </x:row>
    <x:row r="93" ht="20" customHeight="1">
      <x:c r="A93" s="33" t="n">
        <x:v>1150</x:v>
      </x:c>
      <x:c r="B93" s="34" t="str">
        <x:v>1</x:v>
      </x:c>
      <x:c r="C93" s="34" t="str">
        <x:v>Büyüme</x:v>
      </x:c>
      <x:c r="D93" s="34" t="str">
        <x:v>Motivasyon</x:v>
      </x:c>
      <x:c r="E93" s="34" t="str">
        <x:v>Azim</x:v>
      </x:c>
      <x:c r="F93" s="34" t="str">
        <x:v>Angela Duckworth</x:v>
      </x:c>
      <x:c r="G93" s="34" t="str">
        <x:v>2016</x:v>
      </x:c>
      <x:c r="H93" s="37" t="str">
        <x:v>Başarının formülü: Yetenek x Çaba²</x:v>
      </x:c>
      <x:c r="I93" s="37" t="str">
        <x:v>Duckworth, yeteneğin yalnızca bir başlangıç noktası olduğunu ve gerçek başarının çabanın karesine bağlı olduğunu matematiksel bir modelle açıklıyor.</x:v>
      </x:c>
      <x:c r="J93" s="37" t="str">
        <x:v>Angela Duckworth yıllarca başarıyı araştırdı.
Sporcular, müzisyenler, akademisyenler, iş insanları. Neyin öngördüğünü buldu.
Ve basit bir formüle ulaştı:
Yetenek × Çaba = Beceri
Beceri × Çaba = Başarı
##Yani: Başarı = Yetenek × Çaba²##
Çaba iki kez sayılıyor.
Neden? Çünkü çaba hem yeteneği beceriye dönüştürüyor, hem de beceriyi başarıya.
Yeteneği olan ama çaba göstermeyen biri, beceri geliştiremez. Beceri geliştiren ama uygulamayanlar, başarı üretemez.
##Ve her iki adımda da çaba belirleyici.##
Duckworth'ün spor araştırmalarından bir örnek: İki yüzücü. Biri doğal yetenekle başlıyor. Diğeri az yetenekle ama çok çabayla. On yıl sonra ikincisi birincisini geçiyor.
Bu bir istisna değil. Duckworth bunu defalarca gözlemledi: "Doğal yetenek" insanları bir noktaya kadar götürüyor. Ama ilerisi çabanın alanı.
Ve güzel haber şu: Çaba seçilebilir. Yetenek seçilemiyor.
$$Yeteneğini kontrol edemeyebilirsin — ama çabayı kontrol edebilirsin.$$
&amp;&amp;Şu an azim gerektiren ama yeterince çaba göstermediğini hissettiğin bir şey hangisi? O çabayı artırmak için bu hafta ne yapabilirsin?&amp;&amp;</x:v>
      </x:c>
      <x:c r="K93" s="37" t="str"/>
      <x:c r="L93" s="37" t="str"/>
      <x:c r="M93" s="37" t="str"/>
      <x:c r="N93" s="37" t="str"/>
      <x:c r="O93" s="37" t="str"/>
    </x:row>
    <x:row r="94" ht="20" customHeight="1">
      <x:c r="A94" s="33" t="n">
        <x:v>1151</x:v>
      </x:c>
      <x:c r="B94" s="34" t="str">
        <x:v>1</x:v>
      </x:c>
      <x:c r="C94" s="34" t="str">
        <x:v>Büyüme</x:v>
      </x:c>
      <x:c r="D94" s="34" t="str">
        <x:v>Motivasyon</x:v>
      </x:c>
      <x:c r="E94" s="34" t="str">
        <x:v>Azim</x:v>
      </x:c>
      <x:c r="F94" s="34" t="str">
        <x:v>Angela Duckworth</x:v>
      </x:c>
      <x:c r="G94" s="34" t="str">
        <x:v>2016</x:v>
      </x:c>
      <x:c r="H94" s="37" t="str">
        <x:v>Tutkuyu bulmak: Bilmek değil keşfetmek</x:v>
      </x:c>
      <x:c r="I94" s="37" t="str">
        <x:v>Duckworth, tutkunun içimizde hazır bulunmadığını, merak ve disiplinle zamanla keşfedildiğini araştırmalarla gösteriyor.</x:v>
      </x:c>
      <x:c r="J94" s="37" t="str">
        <x:v>Duckworth binlerce başarılı insanı inceledi ve bir şeyi fark etti.
Neredeyse hiçbirinin "küçüklüğümden beri bunu yapmak istiyordum" hikayesi yoktu.
Aksine: Deneme, yanılma, tesadüf, keşif. Yıllar içinde bir şeye doğru çekilme.
##Duckworth şunu söylüyor: Tutku, keşfedilmeden önce var olan bir şey değil. Merakın zamanla derinleşmesiyle ortaya çıkan bir şey.##
Gençlere "tutkunuzu bulun" demek bu yüzden yanlış bir yönlendirme. Tutku öyle bulunmuyor. Dışarıya çıkıp deneyerek, hatalardan öğrenerek, zaman içinde yavaş yavaş şekilleniyor.
Duckworth bunu üç aşamaya bağlıyor:
İlk aşama: Merak. Bir şeye ilgi duyuyorsun ama neden bilmiyorsun.
İkinci aşama: Pratik. O ilgiyi takip ediyorsun, derine iniyorsun.
Üçüncü aşama: Amaç. O şeyin başkaları için de bir anlam taşıdığını görüyorsun.
Birçok insan merak aşamasında bırakıyor. En az ulaşılan aşama ise amaç.
$$Tutku, bir şeyi bulmak değil — bir şeye yeterince uzun süre sadık kalmaktır.$$
&amp;&amp;Şu an merak ettiğin ama henüz derine inmediğin bir alan var mı? O alana bir ay boyunca düzenli zaman ayırsan ne olurdu?&amp;&amp;</x:v>
      </x:c>
      <x:c r="K94" s="37" t="str"/>
      <x:c r="L94" s="37" t="str"/>
      <x:c r="M94" s="37" t="str"/>
      <x:c r="N94" s="37" t="str"/>
      <x:c r="O94" s="37" t="str"/>
    </x:row>
    <x:row r="95" ht="20" customHeight="1">
      <x:c r="A95" s="33" t="n">
        <x:v>1152</x:v>
      </x:c>
      <x:c r="B95" s="34" t="str">
        <x:v>1</x:v>
      </x:c>
      <x:c r="C95" s="34" t="str">
        <x:v>Felsefe</x:v>
      </x:c>
      <x:c r="D95" s="34" t="str">
        <x:v>Felsefe</x:v>
      </x:c>
      <x:c r="E95" s="34" t="str">
        <x:v>Büyük Soru</x:v>
      </x:c>
      <x:c r="F95" s="34" t="str">
        <x:v>Viktor Frankl</x:v>
      </x:c>
      <x:c r="G95" s="34" t="str">
        <x:v>1946</x:v>
      </x:c>
      <x:c r="H95" s="37" t="str">
        <x:v>Toplama kampında anlam arayışı</x:v>
      </x:c>
      <x:c r="I95" s="37" t="str">
        <x:v>Frankl, Auschwitz'de hayatta kalmayı başaranların daha güçlü değil varlığında anlam bulan kişiler olduğunu gözlemledi.</x:v>
      </x:c>
      <x:c r="J95" s="37" t="str">
        <x:v>Viktor Frankl bir psikiyatristti. Ailesini, karısını, annesini, tüm eşyalarını kaybetti.
Auschwitz'e gönderildi.
Orada bir şey gözlemledi. Fiziksel olarak daha güçlü olan bazıları pes ediyordu. Daha zayıf ama bir şeye tutunmuş olanlar hayatta kalıyordu.
Tutundukları şey neydi?
Anlam.
##Bir çocuğunu bekleyen anne. Bitirilmemiş bir kitabı olan yazar. Tamamlanmamış bir görevi olan bilim insanı. Yaşamak için bir "neden"i olanlar, "nasıl"ı buluyordu.##
Frankl bunu Nietzsche'nin sözüyle özetledi: "Neden yaşadığını bilen insan, neredeyse her nasıl'a dayanabilir."
Bu onu varoluşçu psikolojinin temellerini atmaya götürdü. Logoterapinin doğuşu burada.
Acı kaçınılmazdır. Ama o acıya anlam yüklemek — seçilmiş bir şey.
Frankl şöyle yazıyor: "Her şeyden soyulmuş insana son bir özgürlük kalıyor: Verilen koşullara karşı tutumunu seçmek."
$$Anlam acıyı ortadan kaldırmaz — ama onu taşınabilir kılar.$$
&amp;&amp;Şu an zorlu geçen bir dönemden geçiyorsan, bu dönem senin için ne anlam taşıyor? Bu zorluk seni nereye götürüyor olabilir?&amp;&amp;</x:v>
      </x:c>
      <x:c r="K95" s="37" t="str"/>
      <x:c r="L95" s="37" t="str"/>
      <x:c r="M95" s="37" t="str"/>
      <x:c r="N95" s="37" t="str"/>
      <x:c r="O95" s="37" t="str"/>
    </x:row>
    <x:row r="96" ht="20" customHeight="1">
      <x:c r="A96" s="33" t="n">
        <x:v>1153</x:v>
      </x:c>
      <x:c r="B96" s="34" t="str">
        <x:v>1</x:v>
      </x:c>
      <x:c r="C96" s="34" t="str">
        <x:v>Felsefe</x:v>
      </x:c>
      <x:c r="D96" s="34" t="str">
        <x:v>Felsefe</x:v>
      </x:c>
      <x:c r="E96" s="34" t="str">
        <x:v>Büyük Soru</x:v>
      </x:c>
      <x:c r="F96" s="34" t="str">
        <x:v>Viktor Frankl</x:v>
      </x:c>
      <x:c r="G96" s="34" t="str">
        <x:v>1946</x:v>
      </x:c>
      <x:c r="H96" s="37" t="str">
        <x:v>Boş zaman ve varoluş kaygısı</x:v>
      </x:c>
      <x:c r="I96" s="37" t="str">
        <x:v>Frankl, insanların anlamsızlıkla baş başa kaldıklarında varoluşsal bir boşluk hissettiklerini ve bunun pek çok modern sorunun kökü olduğunu gösteriyor.</x:v>
      </x:c>
      <x:c r="J96" s="37" t="str">
        <x:v>Frankl bir gözlemde bulunuyor: Hafta sonları ve tatiller insanlar için çoğu zaman beklenmedik kadar zor.
Neden?
Çünkü hafta içi meşgulsünüz. Görevler, toplantılar, sorumluluklar. Anlam sorusu sorulmuyor.
Ama boş zaman geldiğinde, soru kendiliğinden beliriyor: "Peki ya ben? Bu ne için?"
##Frankl buna "varoluşsal boşluk" diyor. Ve bu boşluk pek çok modern rahatsızlığın kökü.##
Alkol, uyuşturucu, aşırı çalışma, anlamsız ilişkiler — bunların pek çoğu bu boşluğu doldurmaya yönelik girişimler.
Ama boşluk doldurulmuyor. Sadece örtülüyor.
Frankl'ın çözümü basit ama derin: Anlam, dışarıdan gelmez. İçeriden seçilir. Ve bu seçim üç kanaldan yapılır: Bir şey yaratarak, birine sevgiyle bağlanarak ya da kaçınılmaz acıya tutumla yaklaşarak.
Anlam küçük şeylerde de olabilir. Bir bitki yetiştirmek. Birinin gözlerindeki ışıltıyı görmek. Bir görevi dürüstçe tamamlamak.
$$Anlam aramak yerine, anlamı seçmek mümkün.$$
&amp;&amp;Hayatının şu döneminde anlam veren en küçük şey nedir? O küçük şey ne zaman fark edilebilir hale geliyor?&amp;&amp;</x:v>
      </x:c>
      <x:c r="K96" s="37" t="str"/>
      <x:c r="L96" s="37" t="str"/>
      <x:c r="M96" s="37" t="str"/>
      <x:c r="N96" s="37" t="str"/>
      <x:c r="O96" s="37" t="str"/>
    </x:row>
    <x:row r="97" ht="20" customHeight="1">
      <x:c r="A97" s="33" t="n">
        <x:v>1154</x:v>
      </x:c>
      <x:c r="B97" s="34" t="str">
        <x:v>1</x:v>
      </x:c>
      <x:c r="C97" s="34" t="str">
        <x:v>Felsefe</x:v>
      </x:c>
      <x:c r="D97" s="34" t="str">
        <x:v>Felsefe</x:v>
      </x:c>
      <x:c r="E97" s="34" t="str">
        <x:v>Büyük Soru</x:v>
      </x:c>
      <x:c r="F97" s="34" t="str">
        <x:v>Viktor Frankl</x:v>
      </x:c>
      <x:c r="G97" s="34" t="str">
        <x:v>1946</x:v>
      </x:c>
      <x:c r="H97" s="37" t="str">
        <x:v>Sorumluluk özgürlüğün diğer yüzü</x:v>
      </x:c>
      <x:c r="I97" s="37" t="str">
        <x:v>Frankl, özgürlüğün yalnızca başka anlam taşıdığını ve gerçek özgürlüğün sorumlulukla tamamlandığını savunuyor.</x:v>
      </x:c>
      <x:c r="J97" s="37" t="str">
        <x:v>Frankl Amerika'ya ilk gittiğinde Özgürlük Anıtı'nı gördü.
Şöyle dedi: "Batı kıyısına da bir Sorumluluk Anıtı dikilmeli."
Bu sadece bir espri değildi.
Frankl'ın temel görüşü şuydu: Özgürlük anlam taşımak için sorumlulukla tamamlanmalı.
##Özgür olmak ne yapacağını değil, hangi değerler doğrultusunda yaşayacağını seçmek demektir.##
Modern dünya özgürlüğü yoğun olarak vaaz ediyor. "Dilediğini yap", "sınır tanıma", "kendin için yaşa."
Ama Frankl şunu görüyordu: Sorumluluktan koşanlar özgürlük bulmuyordu. Anlamsızlık buluyordu.
Çünkü anlam, bağlantıdan geliyor. Bir amaca, bir insana, bir değere bağlılıktan.
Ve bağlılık, bir seçimdir — ama aynı zamanda bir sorumluluktur.
"Bu anın getirdiklerini değiştiremiyorum. Ama nasıl yanıt vereceğimi seçebiliyorum." İşte Frankl'ın özgürlüğü bu.
$$Gerçek özgürlük sınırsız seçimde değil, doğru seçimi yapabilme kapasitesindedir.$$
&amp;&amp;"Özgür olmak" sana ne ifade ediyor? Ve o özgürlüğün içinde ne tür sorumluluklar var?&amp;&amp;</x:v>
      </x:c>
      <x:c r="K97" s="37" t="str"/>
      <x:c r="L97" s="37" t="str"/>
      <x:c r="M97" s="37" t="str"/>
      <x:c r="N97" s="37" t="str"/>
      <x:c r="O97" s="37" t="str"/>
    </x:row>
    <x:row r="98" ht="20" customHeight="1">
      <x:c r="A98" s="33" t="n">
        <x:v>1155</x:v>
      </x:c>
      <x:c r="B98" s="34" t="str">
        <x:v>1</x:v>
      </x:c>
      <x:c r="C98" s="34" t="str">
        <x:v>Psikoloji</x:v>
      </x:c>
      <x:c r="D98" s="34" t="str">
        <x:v>Psikoloji</x:v>
      </x:c>
      <x:c r="E98" s="34" t="str">
        <x:v>Olumlu Zeka</x:v>
      </x:c>
      <x:c r="F98" s="34" t="str">
        <x:v>Shirzad Chamine</x:v>
      </x:c>
      <x:c r="G98" s="34" t="str">
        <x:v>2012</x:v>
      </x:c>
      <x:c r="H98" s="37" t="str">
        <x:v>Sabotaj zihninin beş sesi</x:v>
      </x:c>
      <x:c r="I98" s="37" t="str">
        <x:v>Chamine, hepimizin zihninde performansı ve mutluluğu sabote eden iç sesler olduğunu ve bunları tanımanın değiştirmenin ilk adımı olduğunu anlatıyor.</x:v>
      </x:c>
      <x:c r="J98" s="37" t="str">
        <x:v>Shirzad Chamine yıllarca yöneticilerle çalıştı. Ve tekrar eden bir şey fark etti.
En zeki, en deneyimli liderler bile kritik anlarda kendilerini sabote ediyordu. Hata yapınca kendilerini yeriyorlar, belirsizlik karşısında felaket senaryoları kuruyorlar, başarı gelince yetersiz hissediyorlardı.
Chamine bunlara "Sabotajcılar" adını verdi.
##En yaygın sabotajcı: Yargıç. Her şeyi, herkesi ve özellikle kendini sürekli yargılar. "Bu yetmez. Bu hatalıydı. Daha iyisini yapmalıydın."##
Diğerleri: Kaygıcı ("hep en kötüsünü düşün"), Titiz ("mükemmel olmazsa kabul etme"), Kurban ("ben hep böyle"), Denetleyici ("her şeyi kontrol et").
Chamine şunu söylüyor: Bu sesler tamamen ortadan kalkmaz. Ama tanındıklarında güçleri azalır.
"Ah, bu Yargıç konuşuyor." Bu tek farkındalık, sesin sizi sürüklemesini engeller.
Sonra başka bir soru geliyor: Bu durum hakkında başka nasıl düşünebilirim?
$$Sabotajcıları susturmanız gerekmiyor — sadece onları fark etmeniz yeterli.$$
&amp;&amp;Kendi zihninizdeki en güçlü sabotajcı hangisi? Ve o ses en çok ne zaman ortaya çıkıyor?&amp;&amp;</x:v>
      </x:c>
      <x:c r="K98" s="37" t="str"/>
      <x:c r="L98" s="37" t="str"/>
      <x:c r="M98" s="37" t="str"/>
      <x:c r="N98" s="37" t="str"/>
      <x:c r="O98" s="37" t="str"/>
    </x:row>
    <x:row r="99" ht="20" customHeight="1">
      <x:c r="A99" s="33" t="n">
        <x:v>1156</x:v>
      </x:c>
      <x:c r="B99" s="34" t="str">
        <x:v>1</x:v>
      </x:c>
      <x:c r="C99" s="34" t="str">
        <x:v>Psikoloji</x:v>
      </x:c>
      <x:c r="D99" s="34" t="str">
        <x:v>Psikoloji</x:v>
      </x:c>
      <x:c r="E99" s="34" t="str">
        <x:v>Olumlu Zeka</x:v>
      </x:c>
      <x:c r="F99" s="34" t="str">
        <x:v>Shirzad Chamine</x:v>
      </x:c>
      <x:c r="G99" s="34" t="str">
        <x:v>2012</x:v>
      </x:c>
      <x:c r="H99" s="37" t="str">
        <x:v>PQ — olumlu zeka kası</x:v>
      </x:c>
      <x:c r="I99" s="37" t="str">
        <x:v>Chamine, IQ ve EQ'nun yanına üçüncü bir zeka türü olan Pozitif Zeka'yı ekliyor ve bunun tıpkı bir kas gibi geliştirilebileceğini kanıtlıyor.</x:v>
      </x:c>
      <x:c r="J99" s="37" t="str">
        <x:v>Shirzad Chamine on yıllar içinde bir soru üzerinde çalıştı: Neden bazı insanlar aynı zorluklarla karşılaştıklarında çok daha iyi performans gösteriyor?
IQ mu? Kısmen. EQ mu? Kısmen.
Ama yeterli değildi. Bir şey eksikti.
##Chamine buna PQ — Pozitif Zeka katsayısı — adını verdi.##
PQ şunu ölçüyor: Zihinsel zamanının ne kadarını sabotajcı sesler yerine güçlü, sakin, meraklı ve empatik bir modda geçiriyorsun?
Yüzü yetmiş yedi ülkede beş yüz bin kişiyle çalışan araştırmalar şunu gösterdi: PQ yüksek olanlar hem daha mutlu hem de daha başarılı.
Ama PQ değişmez bir özellik değil. Tıpkı kas gibi geliştirilebilir.
Nasıl? Chamine üç yöntemle açıklıyor: Sabotajcıları tanımak, beyin kaslarını güçlendirmek (kısa ve yoğun meditasyon pratikleri), ve "bilge zihin" adını verdiği merkezden hareket etmek.
Bilge zihin meraklı, sakin, net ve şimdiye bağlı. Sabotajcı zihin ise geçmişe ya da geleceğe takılı, reaktif ve yargılayıcı.
$$Sabotajcı sesler ne kadar yüksek olursa olsun, onların altında her zaman daha güçlü bir ses var.$$
&amp;&amp;Bugün zihinsel zamanının ne kadarı sabotajcı seslerle geçti? O sesleri fark ettiğinde ne oldu?&amp;&amp;</x:v>
      </x:c>
      <x:c r="K99" s="37" t="str"/>
      <x:c r="L99" s="37" t="str"/>
      <x:c r="M99" s="37" t="str"/>
      <x:c r="N99" s="37" t="str"/>
      <x:c r="O99" s="37" t="str"/>
    </x:row>
    <x:row r="100" ht="20" customHeight="1">
      <x:c r="A100" s="33" t="n">
        <x:v>1157</x:v>
      </x:c>
      <x:c r="B100" s="34" t="str">
        <x:v>1</x:v>
      </x:c>
      <x:c r="C100" s="34" t="str">
        <x:v>Psikoloji</x:v>
      </x:c>
      <x:c r="D100" s="34" t="str">
        <x:v>Psikoloji</x:v>
      </x:c>
      <x:c r="E100" s="34" t="str">
        <x:v>Olumlu Zeka</x:v>
      </x:c>
      <x:c r="F100" s="34" t="str">
        <x:v>Shirzad Chamine</x:v>
      </x:c>
      <x:c r="G100" s="34" t="str">
        <x:v>2012</x:v>
      </x:c>
      <x:c r="H100" s="37" t="str">
        <x:v>Zorlukları hediyeye çevirmek</x:v>
      </x:c>
      <x:c r="I100" s="37" t="str">
        <x:v>Chamine, her zorluğun içinde gizli bir armağan olduğunu ve bunu görme kapasitesinin olumlu zekanın en güçlü göstergesi olduğunu anlatıyor.</x:v>
      </x:c>
      <x:c r="J100" s="37" t="str">
        <x:v>Chamine şunu soruyor: "Son büyük başarısızlığınızı ya da zorluğunuzu düşünün. Şu an geriye dönüp baktığınızda, o zorluk size ne öğretti?"
Neredeyse herkes bir şey buluyor.
Ama o anda — zorluk yaşanırken — kaç kişi "bu bir hediye" diyebilir?
##Chamine'nin araştırmadığı PQ liderleri tam da bunu yapıyor. Gerçek zamanlı olarak, zorluğun içinde, "bu bana ne öğretebilir?" diye soruyorlar.##
Bu naif bir iyimserlik değil. "Her şey güzel" demek değil.
Bu, bir çerçeveleme seçimi. Aynı zorluk iki şekilde görülebilir: Tehdit ya da öğrenme fırsatı. İki çerçeve de gerçek. Ama birincisi felç ederken, ikincisi harekete geçirir.
Chamine bunu "Sage" — bilge — bakış açısı olarak tanımlıyor. Bilge, iyi ve kötüyü inkâr etmiyor. Ama her ikisinde de anlam buluyor.
Bu kapasite egzersizle güçleniyor. Ve güçlendikçe, hem performans artıyor hem de mutluluk.
$$Her zorluk bir tehdit ya da bir ders — seçim sizin.$$
&amp;&amp;Geçmişte çok zor hissettiğin ama şimdi "iyi ki olmuş" dediğin bir deneyim var mı? O deneyim sana ne öğretti?&amp;&amp;</x:v>
      </x:c>
      <x:c r="K100" s="37" t="str"/>
      <x:c r="L100" s="37" t="str"/>
      <x:c r="M100" s="37" t="str"/>
      <x:c r="N100" s="37" t="str"/>
      <x:c r="O100" s="37" t="str"/>
    </x:row>
    <x:row r="101" ht="20" customHeight="1">
      <x:c r="A101" s="33" t="n">
        <x:v>1158</x:v>
      </x:c>
      <x:c r="B101" s="34" t="str">
        <x:v>1</x:v>
      </x:c>
      <x:c r="C101" s="34" t="str">
        <x:v>İletişim</x:v>
      </x:c>
      <x:c r="D101" s="34" t="str">
        <x:v>İletişim</x:v>
      </x:c>
      <x:c r="E101" s="34" t="str">
        <x:v>Dürüst Konuşmak</x:v>
      </x:c>
      <x:c r="F101" s="34" t="str">
        <x:v>Kerry Patterson</x:v>
      </x:c>
      <x:c r="G101" s="34" t="str">
        <x:v>2002</x:v>
      </x:c>
      <x:c r="H101" s="37" t="str">
        <x:v>Uçak kazası ve söylenmeden kalan söz</x:v>
      </x:c>
      <x:c r="I101" s="37" t="str">
        <x:v>Kerry Patterson, bir yardımcı pilotun kaptana uçuşun tehlikeli olduğunu söyleyememesinin kazayla sonuçlandığı hikayeyle kritik konuşmaların hayat kurtardığını gösteriyor.</x:v>
      </x:c>
      <x:c r="J101" s="37" t="str">
        <x:v>Bir uçak pistten kalktı. Hava şartları kötüydü.
Yardımcı pilot bunu biliyordu. Kaptana bakıyordu. Bir şeyler söylemek istiyordu.
Ama söylemedi.
Kaptan deneyimli bir pilottu. Otorite. Yardımcı pilot onu sorgulamaktan çekindi. "Belki haklıdır. Belki ben yanılıyorum. Benim yerim değil."
Uçak inmede sorun yaşadı. Birçok yolcu hayatını kaybetti.
##Kazanın sonraki analizi şunu ortaya koydu: Yardımcı pilot sorunu gördüğünü, ama söylemediğini ifade etti.##
Kerry Patterson bunu "kritik konuşmalar" kitabının açılış hikayesi yapıyor.
Kritik konuşmalar, bahislerin yüksek olduğu, duygusal gerginliğin arttığı ve görüşlerin ayrıştığı anlardaki konuşmalar. Ve araştırmalar gösteriyor: İnsanlar bu anların büyük çoğunluğunda ya sessiz kalıyor ya da patlamalı tepkiler veriyor.
İkisi de işe yaramıyor.
Patterson şunu soruyor: Bu konuşmaları yapabilen insanlar ne yapıyor farklı?
$$Söylenmesi zor olan şey söylenmediğinde, bedel çoğu zaman çok daha ağır oluyor.$$
&amp;&amp;Şu an söylemekte zorlandığın, söylemediğin için bedel ödediğin bir konuşma var mı?&amp;&amp;</x:v>
      </x:c>
      <x:c r="K101" s="37" t="str"/>
      <x:c r="L101" s="37" t="str"/>
      <x:c r="M101" s="37" t="str"/>
      <x:c r="N101" s="37" t="str"/>
      <x:c r="O101" s="37" t="str"/>
    </x:row>
    <x:row r="102" ht="20" customHeight="1">
      <x:c r="A102" s="33" t="n">
        <x:v>1159</x:v>
      </x:c>
      <x:c r="B102" s="34" t="str">
        <x:v>1</x:v>
      </x:c>
      <x:c r="C102" s="34" t="str">
        <x:v>İletişim</x:v>
      </x:c>
      <x:c r="D102" s="34" t="str">
        <x:v>İletişim</x:v>
      </x:c>
      <x:c r="E102" s="34" t="str">
        <x:v>Dürüst Konuşmak</x:v>
      </x:c>
      <x:c r="F102" s="34" t="str">
        <x:v>Kerry Patterson</x:v>
      </x:c>
      <x:c r="G102" s="34" t="str">
        <x:v>2002</x:v>
      </x:c>
      <x:c r="H102" s="37" t="str">
        <x:v>Ortak zemin yaratma sanatı</x:v>
      </x:c>
      <x:c r="I102" s="37" t="str">
        <x:v>Patterson, kritik konuşmaların başarısızlığının çoğunlukla güvensizlik ortamından kaynaklandığını ve önce güven inşa etmenin gerekli olduğunu gösteriyor.</x:v>
      </x:c>
      <x:c r="J102" s="37" t="str">
        <x:v>Patterson ve ekibi binlerce konuşmayı inceledi.
Başarısız kritik konuşmaların ortak bir noktası vardı: Bir taraf kendini güvensiz hissediyordu.
Güvensiz hisseden insan ya susuyor, ya saldırıyor, ya da konuşmadan kaçıyor.
##Başarılı kritik konuşmaların sırrı ise şuydu: Her iki tarafın da güvende hissettiği bir ortam. Patterson buna "ortak zemin" diyor.##
Ortak zemin iki şeyi gerektiriyor: Karşındakini önemsediğini hissettirmek ve ortak bir amaç olduğunu göstermek.
"Seninle bu konuşmayı yapıyorum çünkü seni önemsiyorum ve ikimiz de bunun işe yaramasını istiyoruz" cümlesi, savunma duvarlarını düşürüyor.
Ama bunu gerçekten hissetmek gerekiyor. Teknik olarak söylemek işe yaramıyor. Karşındaki bunu anında fark ediyor.
Patterson'ın pratik önerisi: Zor bir konuşmaya girmeden önce kendinize şunu sorun: "Bu kişi için gerçekten ne istiyorum? Bu ilişki için ne istiyorum?"
Cevabı bulduğunuzda, konuşmanın tonu kendiliğinden değişiyor.
$$Zor konuşmaları mümkün kılan teknik değil, güvendir.$$
&amp;&amp;Zor bir konuşmaya girmek zorunda kaldığında, önce ne yapıyorsun — hemen içeriğe mi giriyorsun, yoksa önce ilişkiyi mi kuruyorsun?&amp;&amp;</x:v>
      </x:c>
      <x:c r="K102" s="37" t="str"/>
      <x:c r="L102" s="37" t="str"/>
      <x:c r="M102" s="37" t="str"/>
      <x:c r="N102" s="37" t="str"/>
      <x:c r="O102" s="37" t="str"/>
    </x:row>
    <x:row r="103" ht="20" customHeight="1">
      <x:c r="A103" s="33" t="n">
        <x:v>1160</x:v>
      </x:c>
      <x:c r="B103" s="34" t="str">
        <x:v>1</x:v>
      </x:c>
      <x:c r="C103" s="34" t="str">
        <x:v>İletişim</x:v>
      </x:c>
      <x:c r="D103" s="34" t="str">
        <x:v>İletişim</x:v>
      </x:c>
      <x:c r="E103" s="34" t="str">
        <x:v>Dürüst Konuşmak</x:v>
      </x:c>
      <x:c r="F103" s="34" t="str">
        <x:v>Kerry Patterson</x:v>
      </x:c>
      <x:c r="G103" s="34" t="str">
        <x:v>2002</x:v>
      </x:c>
      <x:c r="H103" s="37" t="str">
        <x:v>Hikayelerden gerçeklere dönmek</x:v>
      </x:c>
      <x:c r="I103" s="37" t="str">
        <x:v>Patterson, insanların olayları gözlemlemek yerine hızla hikayeler ürettiklerini ve bu hikayelerin kritik konuşmaları nasıl mahvettiğini anlatıyor.</x:v>
      </x:c>
      <x:c r="J103" s="37" t="str">
        <x:v>İki kişi aynı toplantıdaydı.
Birincisi: "Müdür beni toplantıda görmezden geldi. Beni dışlamak istiyor. Belki işten çıkarmayı planlıyor."
İkincisi: Aynı toplantı. "Müdür çok meşgul görünüyordu, belki bir problemi vardı."
##Aynı olay. İki tamamen farklı hikaye. Ve Patterson'ın araştırması şunu gösteriyor: İnsanlar olay ile hikayeyi neredeyse anında birleştiriyor.##
Beyin boşluğu dolduruyor. Gözlemlenen gerçek veriyle, üretilen hikaye arasında hiç zaman geçmiyor.
Ve kritik konuşmalarda bu hikayeler yıkıcı oluyor. "O böyle düşünüyor" sanılarak konuşma başlıyor. Ama o "böyle düşünüyor" tamamen uydurulmuş bir hikaye.
Patterson'ın çözümü: Hikayeni gerçeğe ayır.
"Müdür beni görmezden geldi" — gözlemlenen gerçek.
"Beni dışlamak istiyor" — üretilen hikaye.
Kritik konuşmaya hikayeleri değil, gerçekleri taşı. "Toplantıda söz hakkı alamadım — bunun nedenini merak ediyorum" çok daha dürüst ve etkili bir başlangıç.
$$Olaylarla ilgili hikayelerin ne kadarı gerçek, ne kadarı beyninin doldurmalarıdır?&amp;&amp;</x:v>
      </x:c>
      <x:c r="K103" s="37" t="str"/>
      <x:c r="L103" s="37" t="str"/>
      <x:c r="M103" s="37" t="str"/>
      <x:c r="N103" s="37" t="str"/>
      <x:c r="O103" s="37" t="str"/>
    </x:row>
    <x:row r="104" ht="20" customHeight="1">
      <x:c r="A104" s="33" t="n">
        <x:v>1161</x:v>
      </x:c>
      <x:c r="B104" s="34" t="str">
        <x:v>1</x:v>
      </x:c>
      <x:c r="C104" s="34" t="str">
        <x:v>Psikoloji</x:v>
      </x:c>
      <x:c r="D104" s="34" t="str">
        <x:v>Psikoloji</x:v>
      </x:c>
      <x:c r="E104" s="34" t="str">
        <x:v>Sezgi Gücü</x:v>
      </x:c>
      <x:c r="F104" s="34" t="str">
        <x:v>Malcolm Gladwell</x:v>
      </x:c>
      <x:c r="G104" s="34" t="str">
        <x:v>2005</x:v>
      </x:c>
      <x:c r="H104" s="37" t="str">
        <x:v>İtfaiyecinin ölümcül sezgisi</x:v>
      </x:c>
      <x:c r="I104" s="37" t="str">
        <x:v>Gladwell, deneyimli bir itfaiye komutanının açıklayamadığı bir sezgiyle ekibini yanan evden çektiğini ve 60 saniye sonra zeminin çöktüğünü anlatıyor.</x:v>
      </x:c>
      <x:c r="J104" s="37" t="str">
        <x:v>Gary Klein bir itfaiye komutanıyla görüşüyordu. Komutan birkaç yıl önce yaşadığı bir olayı anlatıyordu.
Bir eve girdi. Yangın birinci kattaydı. Her şey normal görünüyordu.
Ama bir şey yanlış hissettiriyordu.
"Çık" dedi ekibine.
Herkesi dışarı çıkardılar. Altmış saniye sonra zeminler çöktü. Yangın aslında bodrumdaydı. İçeride kalsalardı, hepsi ölürdü.
Malcolm Gladwell bu hikayeyi şöyle aktarıyor: Komutan sonradan düşündü. Neden çıkmak istemiş olabilirdi?
##Cevabı buldu: Yangın çok sessizdi. Ve oda beklenenden çok daha sıcaktı. Bilinçdışı bu iki ipucunu birleştirmiş ve "tehlike" sinyali üretmişti.##
Gladwell buna "ince dilimleme" diyor. Uzman bir zihin, kısa bir anda büyük bir veriyi işleyip anlamlı bir sonuç çıkarıyor.
Bu sihir değil. Yılların deneyiminin bilinçdışına kodlanması.
Ama dikkat: Bu kapasite yalnızca o alanda derin deneyimi olan kişilerde çalışıyor. Deneyimsiz "sezgisi" çoğu zaman önyargıdır.
$$Sezgi, deneyimin bilinçdışına işlenmiş halidir — değil daha azı.$$
&amp;&amp;Bir deneyim alanında "bir şeyler yanlış" hissin oldu ama açıklayamadığın bir an var mı? Sonra o his doğru çıktı mı?&amp;&amp;</x:v>
      </x:c>
      <x:c r="K104" s="37" t="str"/>
      <x:c r="L104" s="37" t="str"/>
      <x:c r="M104" s="37" t="str"/>
      <x:c r="N104" s="37" t="str"/>
      <x:c r="O104" s="37" t="str"/>
    </x:row>
    <x:row r="105" ht="20" customHeight="1">
      <x:c r="A105" s="33" t="n">
        <x:v>1162</x:v>
      </x:c>
      <x:c r="B105" s="34" t="str">
        <x:v>1</x:v>
      </x:c>
      <x:c r="C105" s="34" t="str">
        <x:v>Psikoloji</x:v>
      </x:c>
      <x:c r="D105" s="34" t="str">
        <x:v>Psikoloji</x:v>
      </x:c>
      <x:c r="E105" s="34" t="str">
        <x:v>Sezgi Gücü</x:v>
      </x:c>
      <x:c r="F105" s="34" t="str">
        <x:v>Malcolm Gladwell</x:v>
      </x:c>
      <x:c r="G105" s="34" t="str">
        <x:v>2005</x:v>
      </x:c>
      <x:c r="H105" s="37" t="str">
        <x:v>Sahte antika ve uzman gözü</x:v>
      </x:c>
      <x:c r="I105" s="37" t="str">
        <x:v>Gladwell, sanat uzmanlarının bilimsel testlerin aksine sezgisel olarak sahte bir heykeli anında tespit ettiği şaşırtıcı hikayeyi aktarıyor.</x:v>
      </x:c>
      <x:c r="J105" s="37" t="str">
        <x:v>1983. Getty Müzesi 10 milyon dolarlık bir heykel satın almak üzereydi.
Kuroi adlı bir Yunan heykeli. Antika mı, sahte mi? Müze on dört ay boyunca bilimsel testler yaptı. Geoloji uzmanları, kimya analizleri, termolüminesans testleri.
Sonuç: Orijinal.
Müze satın aldı.
Ama birkaç ay sonra Yunanistan'ın önde gelen sanat tarihçisi Federico Zeri heykeli gördü ve bir şey hissetti.
##"Parmak tırnakları yanlış" dedi. Sadece bakarak.##
Başka uzmanlar da aynı şeyi hissetti. "Taze görünüyor" dedi biri. "Sanki her şey yanlış" dedi diğeri. Neden olduğunu açıklayamıyorlardı.
Uzun araştırma sonucu: Heykel sahteydi.
Bilimsel testler başarısız olmuştu. Uzmanların birkaç saniyelik gözlemi başarılı olmuştu.
Gladwell bunu şöyle açıklıyor: Uzmanlar on yıllarca antika gördükten sonra "gerçek" ile "sahte" arasındaki fark bilinçdışına işleniyor. Ve o fark, bazen kelimelerden çok daha hızlı konuşuyor.
$$Uzmanlık kelimelerle değil, gözlemlerle birikir — ve gözlemler sezgi haline gelir.$$
&amp;&amp;Kendi alanında "bir şeyler yanlış" hissi yaşadın mı? O his verilerin söylediklerinden önce mi geldi?&amp;&amp;</x:v>
      </x:c>
      <x:c r="K105" s="37" t="str"/>
      <x:c r="L105" s="37" t="str"/>
      <x:c r="M105" s="37" t="str"/>
      <x:c r="N105" s="37" t="str"/>
      <x:c r="O105" s="37" t="str"/>
    </x:row>
    <x:row r="106" ht="20" customHeight="1">
      <x:c r="A106" s="33" t="n">
        <x:v>1163</x:v>
      </x:c>
      <x:c r="B106" s="34" t="str">
        <x:v>1</x:v>
      </x:c>
      <x:c r="C106" s="34" t="str">
        <x:v>Psikoloji</x:v>
      </x:c>
      <x:c r="D106" s="34" t="str">
        <x:v>Psikoloji</x:v>
      </x:c>
      <x:c r="E106" s="34" t="str">
        <x:v>Sezgi Gücü</x:v>
      </x:c>
      <x:c r="F106" s="34" t="str">
        <x:v>Malcolm Gladwell</x:v>
      </x:c>
      <x:c r="G106" s="34" t="str">
        <x:v>2005</x:v>
      </x:c>
      <x:c r="H106" s="37" t="str">
        <x:v>İlk izlenim ve Warren Harding hatası</x:v>
      </x:c>
      <x:c r="I106" s="37" t="str">
        <x:v>Gladwell, yakışıklı ve karizmatik görünen Warren Harding'in nasıl başarısız bir başkan seçildiğini anlatarak ilk izlenimin ne zaman güvenilir olmadığını gösteriyor.</x:v>
      </x:c>
      <x:c r="J106" s="37" t="str">
        <x:v>Warren Harding 1920'de Amerikan başkanı seçildi.
Seçilmesinin temel nedeni şuydu: Olağanüstü yakışıklıydı. Karizmatik konuşuyordu. "Başkanlık gibi görünüyordu."
##Tarihin en yetersiz başkanlarından biri oldu.##
Gladwell buna "Warren Harding Hatası" diyor. İlk izlenimin yanıltmasına verilen bir ad.
Blink'in ana tezi şu: İlk izlenimler bazen inanılmaz derecede doğru. Ama bazen korkunç derecede yanlış.
Farkı ne yapıyor?
Doğru izlenimler: Deneyimli bir zihnin, kendi alanında, önyargıdan bağımsız yaptığı hızlı değerlendirmeler.
Yanlış izlenimler: Önyargının, kalıpların ve stereotiplerin hızlı karar sürecine sızdığı durumlar.
Harding'de insanlar "başkan gibi görünmek" stereotipine kapıldı. Gerçek yeterliliği değil, görünüşü değerlendirdi.
Gladwell'in çözümü: Hızlı düşünme gücünü kullan. Ama ne zaman "blink"ine güveneceğini, ne zaman sorgulaması gerektiğini bil.
$$İlk izlenim bir veri noktasıdır — ne tanrı sözü, ne yok sayılacak bir his.$$
&amp;&amp;İlk izleniminin seni yanıltttığı bir durum var mı? O yanılgının arkasında hangi önyargı yatıyordu?&amp;&amp;</x:v>
      </x:c>
      <x:c r="K106" s="37" t="str"/>
      <x:c r="L106" s="37" t="str"/>
      <x:c r="M106" s="37" t="str"/>
      <x:c r="N106" s="37" t="str"/>
      <x:c r="O106" s="37" t="str"/>
    </x:row>
    <x:row r="107" ht="20" customHeight="1">
      <x:c r="A107" s="33" t="n">
        <x:v>1164</x:v>
      </x:c>
      <x:c r="B107" s="34" t="str">
        <x:v>1</x:v>
      </x:c>
      <x:c r="C107" s="34" t="str">
        <x:v>Liderlik</x:v>
      </x:c>
      <x:c r="D107" s="34" t="str">
        <x:v>Başarı</x:v>
      </x:c>
      <x:c r="E107" s="34" t="str">
        <x:v>10.000 Saat Kuralı</x:v>
      </x:c>
      <x:c r="F107" s="34" t="str">
        <x:v>Malcolm Gladwell</x:v>
      </x:c>
      <x:c r="G107" s="34" t="str">
        <x:v>2008</x:v>
      </x:c>
      <x:c r="H107" s="37" t="str">
        <x:v>Beatles'ın Hamburg günleri</x:v>
      </x:c>
      <x:c r="I107" s="37" t="str">
        <x:v>Gladwell, Beatles'ın dünyaca ünlü olmadan önce Hamburg'da yıllarca günde sekiz saat sahne yaparak 10.000 saatlik pratiklerini tamamladığını anlatıyor.</x:v>
      </x:c>
      <x:c r="J107" s="37" t="str">
        <x:v>1960. The Beatles henüz kimse tarafından tanınmıyordu.
Hamburg'dan bir teklif geldi: Bir gece kulübünde çalmak. Koşullar ağırdı. Günde sekiz saat, haftada yedi gün. Çok az para. Küçük ve çoğu zaman ilgisiz bir kalabalık.
Ama kabul ettiler.
Yıl boyunca Hamburg'da çaldılar. Sonra döndüler, tekrar gittiler, tekrar döndüler.
##1964'e gelindiğinde — Amerika'yı fethettikleri yıla — The Beatles yaklaşık 1.200 canlı performans yapmıştı. Çoğu popüler grup ömrü boyunca bu kadar sahneye çıkmıyor.##
Malcolm Gladwell bu hikayeyi 10.000 Saat Kuralı'nın en iyi örneği olarak sunuyor.
Psikolog Anders Ericsson'ın araştırması, herhangi bir alanda dünya standartında uzman olmak için yaklaşık 10.000 saatlik bilinçli pratik gerektiğini ortaya koydu.
Beatles deha ile değil, Hamburg ile büyüdü. Yetenekleri vardı. Ama o yetenek, yüzlerce sahnede pişerek müzikal dehaya dönüştü.
Gladwell şunu soruyor: Büyük başarılar arkasında ne zaman şansı, ne zaman fırsatı, ne zaman birikmiş pratiği görüyoruz?
$$Deha doğuştan gelmez — on binlerce saatlik pratikten doğar.$$
&amp;&amp;Gerçekten iyi olmak istediğin bir alanda şimdiye kadar kaç saat harcadın? 10.000 saate ne kadar yakınsın?&amp;&amp;</x:v>
      </x:c>
      <x:c r="K107" s="37" t="str"/>
      <x:c r="L107" s="37" t="str"/>
      <x:c r="M107" s="37" t="str"/>
      <x:c r="N107" s="37" t="str"/>
      <x:c r="O107" s="37" t="str"/>
    </x:row>
    <x:row r="108" ht="20" customHeight="1">
      <x:c r="A108" s="33" t="n">
        <x:v>1165</x:v>
      </x:c>
      <x:c r="B108" s="34" t="str">
        <x:v>1</x:v>
      </x:c>
      <x:c r="C108" s="34" t="str">
        <x:v>Liderlik</x:v>
      </x:c>
      <x:c r="D108" s="34" t="str">
        <x:v>Başarı</x:v>
      </x:c>
      <x:c r="E108" s="34" t="str">
        <x:v>10.000 Saat Kuralı</x:v>
      </x:c>
      <x:c r="F108" s="34" t="str">
        <x:v>Malcolm Gladwell</x:v>
      </x:c>
      <x:c r="G108" s="34" t="str">
        <x:v>2008</x:v>
      </x:c>
      <x:c r="H108" s="37" t="str">
        <x:v>Bill Gates ve nadir fırsat</x:v>
      </x:c>
      <x:c r="I108" s="37" t="str">
        <x:v>Gates'in bilgisayara 1968'de lise öğrencisiyken erişmesi, istatistiksel olarak olağandışı bir şanstı ve Microsoft'un temelini bu şans attı.</x:v>
      </x:c>
      <x:c r="J108" s="37" t="str">
        <x:v>1968. Seattle'daki Lakeside School adlı özel lise garip bir karar aldı.
Bilgisayar satın alacaktı. Öğrenciler gerçek bir bilgisayarla çalışabilecekti.
O dönemde Amerika'da yalnızca birkaç yüz okulda bilgisayar vardı. Lakeside bunlardan biriydi.
##Bill Gates o okulun öğrencisiydi. Ve tüm zamanını o bilgisayarda geçirmeye başladı.##
Gladwell bu hikayeyi olağanüstü bir şans olarak tanımlıyor. Çünkü Gates yedinci sınıftayken, 1968'de, bilgisayara sınırsız erişim fırsatı bulmak istatistiksel olarak neredeyse imkansızdı.
Ama Gates de şansı kovaladı. O bilgisayara ulaşmak için her fırsatı değerlendirdi. Gece girişimlerini planladı, yazılım şirketlerinde pratik yaptı, üniversite bilgisayar merkezlerine izinsiz girdi.
On altı yaşına geldiğinde binlerce saatlik programlama deneyimi vardı.
Ve bu sayede 1975'te, kişisel bilgisayar devrimi patladığında, Gates hazırdı.
Gladwell şunu soruyor: Her büyük başarının arkasında bu tür olağanüstü fırsatlar var mı?
Evet, diyor. Ama fırsatı yakalayacak birikimi oluşturmak için de bir şeyler gerekiyor.
$$Şans fırsatı sunar; birikim o fırsatı değerlendirmeyi sağlar.$$
&amp;&amp;Hayatındaki en büyük fırsatı düşün. O fırsatı değerlendirebilmek için öncesinde hangi birikimi oluşturmuştun?&amp;&amp;</x:v>
      </x:c>
      <x:c r="K108" s="37" t="str"/>
      <x:c r="L108" s="37" t="str"/>
      <x:c r="M108" s="37" t="str"/>
      <x:c r="N108" s="37" t="str"/>
      <x:c r="O108" s="37" t="str"/>
    </x:row>
    <x:row r="109" ht="20" customHeight="1">
      <x:c r="A109" s="33" t="n">
        <x:v>1166</x:v>
      </x:c>
      <x:c r="B109" s="34" t="str">
        <x:v>1</x:v>
      </x:c>
      <x:c r="C109" s="34" t="str">
        <x:v>Liderlik</x:v>
      </x:c>
      <x:c r="D109" s="34" t="str">
        <x:v>Başarı</x:v>
      </x:c>
      <x:c r="E109" s="34" t="str">
        <x:v>10.000 Saat Kuralı</x:v>
      </x:c>
      <x:c r="F109" s="34" t="str">
        <x:v>Malcolm Gladwell</x:v>
      </x:c>
      <x:c r="G109" s="34" t="str">
        <x:v>2008</x:v>
      </x:c>
      <x:c r="H109" s="37" t="str">
        <x:v>Doğum tarihi ve Kanada hokeyi</x:v>
      </x:c>
      <x:c r="I109" s="37" t="str">
        <x:v>Gladwell, Kanada milli hokey takımının neden büyük çoğunluğunun yılın ilk üç ayında doğduğunu gösteren çarpıcı araştırmayı anlatıyor.</x:v>
      </x:c>
      <x:c r="J109" s="37" t="str">
        <x:v>Kanada'nın milli hokey takımına bakıyorsunuz.
Doğum tarihlerine bakıyorsunuz.
Ve garip bir örüntü görüyorsunuz: Oyuncuların büyük çoğunluğu Ocak, Şubat ya da Mart'ta doğmuş.
Tesadüf mü?
Değil.
##Kanada'da hokey ligleri için yaş kesim tarihi 1 Ocak. Yani Ocak'ta doğan çocuk, Aralık'ta doğanla aynı yaş grubunda oynuyor. Ama aralarında neredeyse bir yıl var.##
Küçük yaşlarda bu fark büyük. Ocak çocuğu daha iri, daha koordineli, daha güçlü. Antrenörler onu seçiyor. Daha iyi takıma giriyor. Daha iyi koçlarla çalışıyor. Daha fazla pratik yapıyor.
Ve yıllar içinde gerçekten daha iyi oluyor. Çünkü sistematik olarak daha fazla fırsat verildi.
Gladwell bunu "kümülatif avantaj" olarak tanımlıyor. Küçük bir başlangıç farkı, zamanla büyük bir uçuruma dönüşüyor.
Ve bu sadece hokeyda değil. Eğitimde, iş dünyasında, hayatın pek çok alanında aynı mekanizma çalışıyor.
$$Başarı çoğu zaman yeteneği değil, hangi sisteme dahil olduğunu ölçer.$$
&amp;&amp;Hayatında farkında olmadan avantajlı ya da dezavantajlı başladığın bir alan var mı? O başlangıç noktası seni nasıl şekillendirdi?&amp;&amp;</x:v>
      </x:c>
      <x:c r="K109" s="37" t="str"/>
      <x:c r="L109" s="37" t="str"/>
      <x:c r="M109" s="37" t="str"/>
      <x:c r="N109" s="37" t="str"/>
      <x:c r="O109" s="37" t="str"/>
    </x:row>
    <x:row r="110" ht="20" customHeight="1">
      <x:c r="A110" s="33" t="n">
        <x:v>1167</x:v>
      </x:c>
      <x:c r="B110" s="34" t="str">
        <x:v>1</x:v>
      </x:c>
      <x:c r="C110" s="34" t="str">
        <x:v>Psikoloji</x:v>
      </x:c>
      <x:c r="D110" s="34" t="str">
        <x:v>Psikoloji</x:v>
      </x:c>
      <x:c r="E110" s="34" t="str">
        <x:v>Flow</x:v>
      </x:c>
      <x:c r="F110" s="34" t="str">
        <x:v>Mihaly Csikszentmihalyi</x:v>
      </x:c>
      <x:c r="G110" s="34" t="str">
        <x:v>1990</x:v>
      </x:c>
      <x:c r="H110" s="37" t="str">
        <x:v>Rock tırmanıcısının zaman kaybı</x:v>
      </x:c>
      <x:c r="I110" s="37" t="str">
        <x:v>Csikszentmihalyi, tehlikeli bir tırmanışta saatlerin nasıl geçtiğini unuttuğunu anlatan bir rock tırmanıcısının deneyimiyle akış halini tanımlıyor.</x:v>
      </x:c>
      <x:c r="J110" s="37" t="str">
        <x:v>Mihaly Csikszentmihalyi yüzlerce insanla görüştü. Sanatçılar, sporcular, cerrahlar, satranç oyuncuları, çobanlar.
Hepsine aynı soruyu sordu: "En iyi hissettiğiniz anları anlatın."
Ve cevaplarda garip bir ortaklık vardı.
Bir rock tırmanıcısı şöyle anlattı: "Tırmanırken zaman durur gibi oluyor. Ne aç olduğumu ne yorulduğumu ne soğuk olduğumu hissediyorum. Sadece kaya ve ben varım."
##Csikszentmihalyi bunu "akış" olarak adlandırdı. Bir aktiviteye o kadar dalmak ki zaman, beden ve benlik arka plana çekiliyor.##
Akış yalnızca zevkli aktivitelerde değil, tam tersine olabiliyor. Yeterince zorlu ama üstesinden gelinebilir bir görevde.
Çok kolay: Sıkılıyorsunuz.
Çok zor: Kaygılanıyorsunuz.
Tam ortası: Akış.
Bu denge noktası kişiden kişiye, aktiviteden aktiviteye değişiyor. Ama herkes için var.
Ve Csikszentmihalyi'nin en çarpıcı bulgusu şu: Akış anları, kişinin en mutlu hissettiği anlarla örtüşüyor.
$$Mutluluk çoğu zaman aranıp bulunmaz — içine dalındığında zaten orada olduğu keşfedilir.$$
&amp;&amp;Son "zaman geçtiğini unuttuğun" anı hatırlıyor musun? O anda ne yapıyordun?&amp;&amp;</x:v>
      </x:c>
      <x:c r="K110" s="37" t="str"/>
      <x:c r="L110" s="37" t="str"/>
      <x:c r="M110" s="37" t="str"/>
      <x:c r="N110" s="37" t="str"/>
      <x:c r="O110" s="37" t="str"/>
    </x:row>
    <x:row r="111" ht="20" customHeight="1">
      <x:c r="A111" s="33" t="n">
        <x:v>1168</x:v>
      </x:c>
      <x:c r="B111" s="34" t="str">
        <x:v>1</x:v>
      </x:c>
      <x:c r="C111" s="34" t="str">
        <x:v>Psikoloji</x:v>
      </x:c>
      <x:c r="D111" s="34" t="str">
        <x:v>Psikoloji</x:v>
      </x:c>
      <x:c r="E111" s="34" t="str">
        <x:v>Flow</x:v>
      </x:c>
      <x:c r="F111" s="34" t="str">
        <x:v>Mihaly Csikszentmihalyi</x:v>
      </x:c>
      <x:c r="G111" s="34" t="str">
        <x:v>1990</x:v>
      </x:c>
      <x:c r="H111" s="37" t="str">
        <x:v>Cerrahın ameliyathanede kaybolması</x:v>
      </x:c>
      <x:c r="I111" s="37" t="str">
        <x:v>Csikszentmihalyi, bir cerrahın zorlu operasyonlarda saatlerin nasıl geçtiğini fark etmediğini ve bu 'akış' halinin en yüksek performansının ortaya çıktığı an olduğunu anlatıyor.</x:v>
      </x:c>
      <x:c r="J111" s="37" t="str">
        <x:v>Deneyimli bir beyin cerrahıyla görüşme.
Csikszentmihalyi soruyor: "En zorlu operasyonlarda neler yaşıyorsunuz?"
Cerrah düşünüyor ve şöyle anlatıyor: "Ameliyatın ortasında bazen fark ediyorum ki saatler geçmiş. Bacaklarım ağrıyor. Açım. Ama o an içinde bunların hiçbirini hissetmedim."
##"O anlarda sadece el, göz ve beyin varım. Dışarısı yok."##
Csikszentmihalyi bu anlatımı akışın mükemmel örneği olarak kullanıyor.
Cerrahın beden ve zihni tamamen tek bir görevde birleşmiş. Bilinç darmadağınık değil, yoğunlaşmış. Benlik fark edilmez hale gelmiş.
Ve ilginç olan şu: Cerrah o operasyonları en zor olarak değil, en tatmin edici olarak tanımlıyor.
Csikszentmihalyi bunu şöyle açıklıyor: Akış hem zorluğu hem yetkinliği gerektiriyor. Hiç zorlanmadan yapılan bir şey akış yaratmıyor. Çok zorlu bir şey de değil. Ama tam sınırda — hem yeterince zorlu hem de yapılabilir — akış kapısı açılıyor.
$$En derin tatmin, en kolay değil — tam sınırda mücadele ettiğimizde gelir.$$
&amp;&amp;Hangi aktivite seni akış haline en çok yaklaştırıyor? O aktiviteye son ne zaman yeterince zaman ayırdın?&amp;&amp;</x:v>
      </x:c>
      <x:c r="K111" s="37" t="str"/>
      <x:c r="L111" s="37" t="str"/>
      <x:c r="M111" s="37" t="str"/>
      <x:c r="N111" s="37" t="str"/>
      <x:c r="O111" s="37" t="str"/>
    </x:row>
    <x:row r="112" ht="20" customHeight="1">
      <x:c r="A112" s="33" t="n">
        <x:v>1169</x:v>
      </x:c>
      <x:c r="B112" s="34" t="str">
        <x:v>1</x:v>
      </x:c>
      <x:c r="C112" s="34" t="str">
        <x:v>Psikoloji</x:v>
      </x:c>
      <x:c r="D112" s="34" t="str">
        <x:v>Psikoloji</x:v>
      </x:c>
      <x:c r="E112" s="34" t="str">
        <x:v>Flow</x:v>
      </x:c>
      <x:c r="F112" s="34" t="str">
        <x:v>Mihaly Csikszentmihalyi</x:v>
      </x:c>
      <x:c r="G112" s="34" t="str">
        <x:v>1990</x:v>
      </x:c>
      <x:c r="H112" s="37" t="str">
        <x:v>Otomatik pilot ve bilinçli seçim</x:v>
      </x:c>
      <x:c r="I112" s="37" t="str">
        <x:v>Csikszentmihalyi, günlük hayatın büyük çoğunluğunun otomatik pilot modunda geçtiğini ve akışı artırmanın bilinçli deneyim tasarımıyla mümkün olduğunu anlatıyor.</x:v>
      </x:c>
      <x:c r="J112" s="37" t="str">
        <x:v>Csikszentmihalyi ve ekibi bir araştırma yöntemi geliştirdi: ESM, Deneyim Örnekleme Yöntemi.
Katılımcılar gün boyunca rastgele zamanlarda bir uyarı alıyordu. Her uyarıda şunu not ediyorlardı: Ne yapıyorum? Ne hissediyorum? Ne düşünüyorum?
Sonuçlar çarpıcıydı.
##İnsanların zamanının büyük çoğunluğu ya edilgen (televizyon izleme gibi) ya da zorunlu (iş, görev) aktivitelerde geçiyordu. Akış halleri nadir ve kısaydı.##
Ama daha da çarpıcı olan şuydu: Televisyon izlerken insanlar kendilerini zevk alıyor sanıyor. Ama ESM uyarısı geldiğinde, çoğunlukla boşlukta, sıkılmış ya da anlamsız hissediyorlardı.
Aksine, zorlayıcı bir görevde — hatta iş yerinde — akış anları daha sık yaşanıyordu.
Csikszentmihalyi'nin sonucu: Mutluluk kendiliğinden gelmiyor. Bilinçli olarak tasarlanıyor.
Ve tasarımın anahtarı şu: Günlük aktiviteleri zorlu ama yapılabilir yapmak. Pasif tüketimi azaltmak. Aktif katılımı artırmak.
$$Mutluluk tesadüfle değil, dikkatli seçimlerle inşa edilir.$$
&amp;&amp;Haftanın kaç saatini gerçekten aktif ve meşgul hissettiren şeylere ayırıyorsun? O süreyi artırmak için ne yapabilirsin?&amp;&amp;</x:v>
      </x:c>
      <x:c r="K112" s="37" t="str"/>
      <x:c r="L112" s="37" t="str"/>
      <x:c r="M112" s="37" t="str"/>
      <x:c r="N112" s="37" t="str"/>
      <x:c r="O112" s="37" t="str"/>
    </x:row>
    <x:row r="113" ht="20" customHeight="1">
      <x:c r="A113" s="33" t="n">
        <x:v>1170</x:v>
      </x:c>
      <x:c r="B113" s="34" t="str">
        <x:v>1</x:v>
      </x:c>
      <x:c r="C113" s="34" t="str">
        <x:v>Psikoloji</x:v>
      </x:c>
      <x:c r="D113" s="34" t="str">
        <x:v>Psikoloji</x:v>
      </x:c>
      <x:c r="E113" s="34" t="str">
        <x:v>Karar Verme Sanatı</x:v>
      </x:c>
      <x:c r="F113" s="34" t="str">
        <x:v>Daniel Kahneman</x:v>
      </x:c>
      <x:c r="G113" s="34" t="str">
        <x:v>2011</x:v>
      </x:c>
      <x:c r="H113" s="37" t="str">
        <x:v>Sistem 1 ve Sistem 2</x:v>
      </x:c>
      <x:c r="I113" s="37" t="str">
        <x:v>Kahneman, beynin iki farklı düşünce sistemiyle çalıştığını ve hızlı ile yavaş düşünmenin farklı koşullarda nasıl hata yaptığını somut örneklerle anlatıyor.</x:v>
      </x:c>
      <x:c r="J113" s="37" t="str">
        <x:v>Daniel Kahneman şu soruyu soruyor: "Bir beyzbol sopası ve bir top birlikte 1 dolar 10 sent ediyor. Sopa toptan 1 dolar daha pahalı. Top kaç senttir?"
Büyük çoğunluğun aklına hemen gelen cevap: 10 sent.
Yanlış.
Doğru cevap 5 sent. (Sopa 1.05 dolar, top 0.05 dolar, toplam 1.10 dolar.)
##Kahneman bu örneği beynin iki sistemini göstermek için kullanıyor.##
Sistem 1: Hızlı, otomatik, sezgisel. Çaba gerektirmiyor. 10 sent cevabı bu sistemden geliyor.
Sistem 2: Yavaş, analitik, bilinçli. Çaba gerektiriyor. 5 sent cevabını bulmak için bu sistemi devreye sokmak gerekiyor.
Sorun şu: Sistem 2 tembeldir. Sistem 1'in ürettiği cevabı çoğu zaman sorgulamadan onaylıyor.
Ve Sistem 1 çoğu zaman harika çalışıyor — ama önyargılara çok açık.
Kahneman onlarca yıl Sistem 1'in ne tür hatalar yaptığını araştırdı. Sonuçlar hem büyüleyici hem ürkütücü.
$$Düşündüğümüzden çok daha az düşünüyoruz — ve bunu fark etmiyoruz.$$
&amp;&amp;Şu an önemli bir karar verirken hangi sistem çalışıyor — Sistem 1 mi, Sistem 2 mi? Nasıl anlıyorsun?&amp;&amp;</x:v>
      </x:c>
      <x:c r="K113" s="37" t="str"/>
      <x:c r="L113" s="37" t="str"/>
      <x:c r="M113" s="37" t="str"/>
      <x:c r="N113" s="37" t="str"/>
      <x:c r="O113" s="37" t="str"/>
    </x:row>
    <x:row r="114" ht="20" customHeight="1">
      <x:c r="A114" s="33" t="n">
        <x:v>1171</x:v>
      </x:c>
      <x:c r="B114" s="34" t="str">
        <x:v>1</x:v>
      </x:c>
      <x:c r="C114" s="34" t="str">
        <x:v>Psikoloji</x:v>
      </x:c>
      <x:c r="D114" s="34" t="str">
        <x:v>Psikoloji</x:v>
      </x:c>
      <x:c r="E114" s="34" t="str">
        <x:v>Karar Verme Sanatı</x:v>
      </x:c>
      <x:c r="F114" s="34" t="str">
        <x:v>Daniel Kahneman</x:v>
      </x:c>
      <x:c r="G114" s="34" t="str">
        <x:v>2011</x:v>
      </x:c>
      <x:c r="H114" s="37" t="str">
        <x:v>Çapalama etkisi ve müzayede</x:v>
      </x:c>
      <x:c r="I114" s="37" t="str">
        <x:v>Kahneman, ilk duyulan bir sayının sonraki tüm tahminleri nasıl sistematik olarak etkilediğini müzayede ve fiyat örnekleriyle kanıtlıyor.</x:v>
      </x:c>
      <x:c r="J114" s="37" t="str">
        <x:v>Bir deneyde katılımcılara büyük bir döner çark çevrildi.
Çark 10 ile 65 arasında rastgele bir sayı gösteriyordu. Katılımcılar sayıyı gördü.
Sonra soruldu: "Afrika'da kaç ülke var?"
##10 gören grubu ortalama 25 dedi. 65 gören grubu ortalama 45 dedi.##
Döner çarkın gösterdiği tamamen rastgele bir sayıydı. Afrika'daki ülke sayısıyla hiçbir ilgisi yoktu.
Ama zihin, ilk duyduğu sayıya "çapalanıyor." Ve sonraki tüm tahminler o çapaya göre şekilleniyor.
Kahneman bu etkinin pratikte nasıl çalıştığını gösteriyor:
Bir ev 500.000 dolar olarak fiyatlanmıştı. Alıcı 490.000 teklif etti. Satış 495.000'de kapandı.
Aynı ev 550.000 dolar olarak fiyatlanmış olsaydı? Muhtemelen 530.000'de kapanırdı.
Başlangıç fiyatı — gerçek değerden bağımsız — sonucu şekillendiriyor.
$$İlk duyulan sayı, son kararı çoğu zaman bizim farkımızda olmadan belirliyor.$$
&amp;&amp;Son önemli müzakereni ya da fiyat tartışmanı düşün. İlk sayı kim söyledi? Bu seni nasıl etkiledi?&amp;&amp;</x:v>
      </x:c>
      <x:c r="K114" s="37" t="str"/>
      <x:c r="L114" s="37" t="str"/>
      <x:c r="M114" s="37" t="str"/>
      <x:c r="N114" s="37" t="str"/>
      <x:c r="O114" s="37" t="str"/>
    </x:row>
    <x:row r="115" ht="20" customHeight="1">
      <x:c r="A115" s="33" t="n">
        <x:v>1172</x:v>
      </x:c>
      <x:c r="B115" s="34" t="str">
        <x:v>1</x:v>
      </x:c>
      <x:c r="C115" s="34" t="str">
        <x:v>Psikoloji</x:v>
      </x:c>
      <x:c r="D115" s="34" t="str">
        <x:v>Psikoloji</x:v>
      </x:c>
      <x:c r="E115" s="34" t="str">
        <x:v>Karar Verme Sanatı</x:v>
      </x:c>
      <x:c r="F115" s="34" t="str">
        <x:v>Daniel Kahneman</x:v>
      </x:c>
      <x:c r="G115" s="34" t="str">
        <x:v>2011</x:v>
      </x:c>
      <x:c r="H115" s="37" t="str">
        <x:v>Linda problemi ve konjunksiyon hatası</x:v>
      </x:c>
      <x:c r="I115" s="37" t="str">
        <x:v>Kahneman'ın ünlü Linda deneyi, insanların istatistiksel açıdan imkansız olan bir seçeneği neden daha olası bulduğunu gözler önüne seriyor.</x:v>
      </x:c>
      <x:c r="J115" s="37" t="str">
        <x:v>Daniel Kahneman şu problemi sunuyor:
"Linda 31 yaşında, bekar, zeki ve dürüst bir kadın. Felsefe okudu. Öğrenciyken sosyal adalet konularına derin ilgi duydu ve nükleer karşıtı gösterilere katıldı."
Şimdi soru: Hangisi daha olası?
A) Linda bir banka memuru.
B) Linda bir banka memuru ve feminist harekette aktif.
##Katılımcıların yüzde sekseninden fazlası B'yi seçiyor.##
Bu matematiksel olarak imkansız. "A ve B birlikte" her zaman "yalnızca A"dan daha az olası.
Ama Sistem 1, istatistik değil hikaye görüyor. Linda'nın tanımı B ile örtüşüyor. "Feminist banka memuru" doğru hissettiriyor.
Kahneman buna "konjunksiyon hatası" diyor. Ve bu hatayı yalnızca sıradan insanlar yapmıyor. Araştırmasında profesyonel istatistikçiler ve tıp doktorları da aynı hatayı yaptı.
İnsan zihni, olasılıklar için değil, anlatılar için tasarlanmış. Anlamlı hissettiren her şey daha olası görünüyor.
$$Bir şeyin doğru hissettirmesi, onun doğru olduğu anlamına gelmiyor.$$
&amp;&amp;Kesinlikle doğru olduğuna inandığın ama aslında bilinçdışı bir önyargının şekillendirdiği bir görüşün var mı?&amp;&amp;</x:v>
      </x:c>
      <x:c r="K115" s="37" t="str"/>
      <x:c r="L115" s="37" t="str"/>
      <x:c r="M115" s="37" t="str"/>
      <x:c r="N115" s="37" t="str"/>
      <x:c r="O115" s="37" t="str"/>
    </x:row>
    <x:row r="116" ht="20" customHeight="1">
      <x:c r="A116" s="33" t="n">
        <x:v>1173</x:v>
      </x:c>
      <x:c r="B116" s="34" t="str">
        <x:v>1</x:v>
      </x:c>
      <x:c r="C116" s="34" t="str">
        <x:v>İletişim</x:v>
      </x:c>
      <x:c r="D116" s="34" t="str">
        <x:v>İletişim</x:v>
      </x:c>
      <x:c r="E116" s="34" t="str">
        <x:v>İkna Sanatı</x:v>
      </x:c>
      <x:c r="F116" s="34" t="str">
        <x:v>Dale Carnegie</x:v>
      </x:c>
      <x:c r="G116" s="34" t="str">
        <x:v>1936</x:v>
      </x:c>
      <x:c r="H116" s="37" t="str">
        <x:v>Köpek çalınan adam</x:v>
      </x:c>
      <x:c r="I116" s="37" t="str">
        <x:v>Carnegie, bir adamın komşusunu suçlamak yerine onu anlayışla dinlemesinin köpeği geri getirdiğini anlatır.</x:v>
      </x:c>
      <x:c r="J116" s="37" t="str">
        <x:v>Theodore Roosevelt bir gün komşusunun köpeğini bahçede gördü. Kendi köpeğiydi bu — kaçmıştı.
Komşuyu suçlayabilirdi. Kapıyı çalıp bağırabilirdi.
Bunun yerine içeri girdi, oturdu ve komşuyu dinledi. Komşunun o gün neler yaşadığını sordu, sorunlarını dinledi.
Konuşmanın sonunda komşu ayağa kalktı: "Ah, köpeğiniz bahçede. Hemen getireyim."
##Carnegie bu hikayeyi şöyle özetledi: "İnsanlar anlaşıldıklarını hissettiklerinde her kapı açılır."##
Carnegie'nin temel tezi şu: İnsanlar kendi bakış açılarından çok ilgi görmek istiyor. Eleştiri, kınama ve şikayet — bunlar insanı kapatıyor. Anlayış ve ilgi ise açıyor.
Bu manipülasyon değil. Gerçek merak ve saygıdan gelen bir yaklaşım.
Ve işin ilginç yanı: Karşı tarafı anlamaya çalışmak, çoğu zaman sorunu çözmenin en hızlı yolu oluyor. Çünkü insanlar anlaşılınca savunmalarını indiriyor.
$$İkna etmenin en kısa yolu, önce anlamaya çalışmaktır.$$
&amp;&amp;Son bir anlaşmazlığında karşı tarafı gerçekten dinledin mi? O dinleme sonucu ne değişti ya da değişebilirdi?&amp;&amp;</x:v>
      </x:c>
      <x:c r="K116" s="37" t="str"/>
      <x:c r="L116" s="37" t="str"/>
      <x:c r="M116" s="37" t="str"/>
      <x:c r="N116" s="37" t="str"/>
      <x:c r="O116" s="37" t="str"/>
    </x:row>
    <x:row r="117" ht="20" customHeight="1">
      <x:c r="A117" s="33" t="n">
        <x:v>1174</x:v>
      </x:c>
      <x:c r="B117" s="34" t="str">
        <x:v>1</x:v>
      </x:c>
      <x:c r="C117" s="34" t="str">
        <x:v>İletişim</x:v>
      </x:c>
      <x:c r="D117" s="34" t="str">
        <x:v>İletişim</x:v>
      </x:c>
      <x:c r="E117" s="34" t="str">
        <x:v>İkna Sanatı</x:v>
      </x:c>
      <x:c r="F117" s="34" t="str">
        <x:v>Dale Carnegie</x:v>
      </x:c>
      <x:c r="G117" s="34" t="str">
        <x:v>1936</x:v>
      </x:c>
      <x:c r="H117" s="37" t="str">
        <x:v>Roosevelt'in isim hafızası</x:v>
      </x:c>
      <x:c r="I117" s="37" t="str">
        <x:v>Roosevelt isim ve ilgi alanlarını hatırlayarak herkesi etkiledi; insanlar kendilerine değer verildiğini hissedince her kapı açılır.</x:v>
      </x:c>
      <x:c r="J117" s="37" t="str">
        <x:v>Theodore Roosevelt Beyaz Saray'da çalışanları şaşırtmaya devam ediyordu.
Uşakların, aşçıların, bekçilerin isimlerini biliyordu. Onların ailelerini soruyordu. Geçen sefer söyledikleri bir şeyi hatırlıyordu.
Bir uşak şöyle anlattı: "Başkan beni ilk kez hizmetkar olarak görmedi. İnsan olarak gördü."
##Carnegie bunu liderliğin en temel becerisi olarak tanımlıyor: "Bir insanın adı, ona göre dünyanın en tatlı ve en önemli sesidir."##
Roosevelt'in sırrı basitti: Biriyle tanışınca tam dikkatini veriyordu. İsmini not ediyor, bir şeyleri hatırlıyordu. Bir dahaki karşılaşmada bu detayları kullanıyordu.
Bu çaba değil, saygıydı. Ve insanlar farkı hissediyordu.
Carnegie onlarca yıl sonra bu ilkeyi şöyle özetledi: Sizi ilgilendiren biri hakkında konuşmak yerine, onları ilgilendiren şeyler hakkında konuşun. Anında en ilginç insan siz olursunuz.
$$Gerçek ilgi göstermek, en güçlü etki aracıdır.$$
&amp;&amp;Bugün karşılaştığın birine gerçekten ilgi göstersen — adını, bir detayını hatırlasan — bu o kişi için ne anlam taşırdı?&amp;&amp;</x:v>
      </x:c>
      <x:c r="K117" s="37" t="str"/>
      <x:c r="L117" s="37" t="str"/>
      <x:c r="M117" s="37" t="str"/>
      <x:c r="N117" s="37" t="str"/>
      <x:c r="O117" s="37" t="str"/>
    </x:row>
    <x:row r="118" ht="20" customHeight="1">
      <x:c r="A118" s="33" t="n">
        <x:v>1175</x:v>
      </x:c>
      <x:c r="B118" s="34" t="str">
        <x:v>1</x:v>
      </x:c>
      <x:c r="C118" s="34" t="str">
        <x:v>İletişim</x:v>
      </x:c>
      <x:c r="D118" s="34" t="str">
        <x:v>İletişim</x:v>
      </x:c>
      <x:c r="E118" s="34" t="str">
        <x:v>İkna Sanatı</x:v>
      </x:c>
      <x:c r="F118" s="34" t="str">
        <x:v>Dale Carnegie</x:v>
      </x:c>
      <x:c r="G118" s="34" t="str">
        <x:v>1936</x:v>
      </x:c>
      <x:c r="H118" s="37" t="str">
        <x:v>Eleştiri yerine soru sormak</x:v>
      </x:c>
      <x:c r="I118" s="37" t="str">
        <x:v>Carnegie, bir çalışanı azarlamak yerine ona nasıl hissettiğini soran yöneticinin hem sorunu çözdüğünü hem de bağlılığı güçlendirdiğini anlatır.</x:v>
      </x:c>
      <x:c r="J118" s="37" t="str">
        <x:v>Bir fabrika müdürü, bir çalışanın tekrar tekrar aynı hatayı yaptığını fark etti.
Alışılagelen tepki: Çağır, azarla, uyar.
Ama müdür farklı bir şey yaptı. Çalışanı çağırdı ve şunu sordu: "Bu konuda nasıl hissediyorsun? Ne olduğunu anlatır mısın?"
Çalışan şaşırdı. Beklediği fırça değildi bu.
##Konuşmanın sonunda çalışan hatayı kendi ağzıyla tanımlamış, nedenini anlamış ve çözümü kendisi önermişti.##
Carnegie bu yaklaşımın gücünü şöyle açıklıyor: Eleştiri ego'yu kapatır. Soru ise düşündürür. Ve insanlar kendi vardıkları sonuçlara sahip çıkar.
"Sana şunu söylüyorum" ile "sen ne düşünüyorsun" arasındaki fark muazzam. Birincisi direnç yaratır, ikincisi işbirliği.
Bu sadece yönetimde değil, tüm ilişkilerde geçerli. Çocuğuna, partnere, arkadaşa söylemek yerine sormak — çoğu zaman çok daha derin bir değişim yaratıyor.
$$İnsanlar söylenenleri değil, kendi keşfettiklerini benimser.$$
&amp;&amp;Birini değiştirmek ya da ikna etmek istediğinde, genellikle söyler misin yoksa sorar mısın? Farkı fark ediyor musun?&amp;&amp;</x:v>
      </x:c>
      <x:c r="K118" s="37" t="str"/>
      <x:c r="L118" s="37" t="str"/>
      <x:c r="M118" s="37" t="str"/>
      <x:c r="N118" s="37" t="str"/>
      <x:c r="O118" s="37" t="str"/>
    </x:row>
    <x:row r="119" ht="20" customHeight="1">
      <x:c r="A119" s="33" t="n">
        <x:v>1176</x:v>
      </x:c>
      <x:c r="B119" s="34" t="str">
        <x:v>1</x:v>
      </x:c>
      <x:c r="C119" s="34" t="str">
        <x:v>Verimlilik</x:v>
      </x:c>
      <x:c r="D119" s="34" t="str">
        <x:v>Verimlilik</x:v>
      </x:c>
      <x:c r="E119" s="34" t="str">
        <x:v>Pareto İlkesi</x:v>
      </x:c>
      <x:c r="F119" s="34" t="str">
        <x:v>Richard Koch</x:v>
      </x:c>
      <x:c r="G119" s="34" t="str">
        <x:v>1997</x:v>
      </x:c>
      <x:c r="H119" s="37" t="str">
        <x:v>Bahçedeki bezelye</x:v>
      </x:c>
      <x:c r="I119" s="37" t="str">
        <x:v>Pareto, bahçesindeki bezelye tohumlarının yüzde yirmisinin tüm ürünün yüzde seksenini ürettiğini fark etti ve bu gözlem ekonomiyi dönüştürdü.</x:v>
      </x:c>
      <x:c r="J119" s="37" t="str">
        <x:v>Vilfredo Pareto 1890'larda İtalya'da yaşıyordu. Bir ekonomistti. Ama asıl keşfini bahçesinde yaptı.
Bezelye tohumlarını dikkatle inceledi. Ve fark etti: Tohumların yaklaşık yüzde yirmisi, tüm ürünün yaklaşık yüzde seksenini veriyordu.
Tesadüf mü? Hayır.
Aynı ilişkiyi İtalya'nın servet dağılımında da gördü: Nüfusun yüzde yirmisi, toplam servetin yüzde seksenine sahipti.
##Pareto daha derine indi. Bu oran her yerde çıkıyordu karşısına. İş hayatında, doğada, sosyal yapılarda.##
Richard Koch bu ilkeyi modern hayata taşıdı: Sonuçların yüzde seksenini üreten nedenlerin yüzde yirmisini bul. Enerjini oraya ver.
Müşterilerin yüzde yirmisi gelirinizin yüzde seksenini oluşturuyor. Faaliyetlerinizin yüzde yirmisi sonuçlarınızın yüzde seksenini üretiyor. İlişkilerinizin yüzde yirmisi mutluluğunuzun yüzde seksenini sağlıyor.
Koch'un sorusu şu: O yüzde yirmiyi biliyor musun? Ve ona yeterince zaman ayırıyor musun?
$$Daha az şey yapmak, daha fazlası elde etmenin en kısa yoludur.$$
&amp;&amp;İşinde ya da hayatında en büyük sonuçları yaratan yüzde yirmi nedir? Bugün ona ne kadar zaman ayırdın?&amp;&amp;</x:v>
      </x:c>
      <x:c r="K119" s="37" t="str"/>
      <x:c r="L119" s="37" t="str"/>
      <x:c r="M119" s="37" t="str"/>
      <x:c r="N119" s="37" t="str"/>
      <x:c r="O119" s="37" t="str"/>
    </x:row>
    <x:row r="120" ht="20" customHeight="1">
      <x:c r="A120" s="33" t="n">
        <x:v>1177</x:v>
      </x:c>
      <x:c r="B120" s="34" t="str">
        <x:v>1</x:v>
      </x:c>
      <x:c r="C120" s="34" t="str">
        <x:v>Verimlilik</x:v>
      </x:c>
      <x:c r="D120" s="34" t="str">
        <x:v>Verimlilik</x:v>
      </x:c>
      <x:c r="E120" s="34" t="str">
        <x:v>Pareto İlkesi</x:v>
      </x:c>
      <x:c r="F120" s="34" t="str">
        <x:v>Richard Koch</x:v>
      </x:c>
      <x:c r="G120" s="34" t="str">
        <x:v>1997</x:v>
      </x:c>
      <x:c r="H120" s="37" t="str">
        <x:v>80/20 ve zaman yönetimi</x:v>
      </x:c>
      <x:c r="I120" s="37" t="str">
        <x:v>Koch, çoğu insanın zamanının yüzde seksenini düşük değerli aktivitelere harcadığını ve bu oranı tersine çevirmenin hayatı nasıl dönüştürdüğünü anlatıyor.</x:v>
      </x:c>
      <x:c r="J120" s="37" t="str">
        <x:v>Richard Koch danışmanlık kariyerinin zirvesindeydi. Çok çalışıyordu. Çok meşguldu.
Ama bir gün durdu ve kendi zamanını analiz etti.
Gerçek değer yaratan işler: Toplantıların küçük bir kısmı, müşteri ilişkilerinin yüzde yirmisi, projelerin yüzde yirmi beşi.
Geri kalan zaman: Düşük değerli toplantılar, gereksiz raporlar, görünmesi için yapılan işler.
##Koch radikal bir karar verdi: Düşük değerli her şeyi kesti ya da delege etti. Zamanının büyük bölümünü yalnızca en yüksek değerli yüzde yirmiye ayırdı.##
Sonuç? Daha az çalıştı. Ama çok daha fazla kazandı ve çok daha mutlu oldu.
Koch'un tezi şu: Verimlilik "daha çok yapmak" değil. Verimlilik, "neyi yapmaması gerektiğini bilmek."
Çoğu insan yapılacaklar listesini uzatıyor. Koch tersini öneriyor: Yapılmayacaklar listesi. Enerji çalan, değer üretmeyen, yalnızca meşgul hissettiren her şeyi o listeye al.
$$Zamanını ne zaman harcadığın değil, nasıl harcadığın belirleyici.$$
&amp;&amp;Geçen haftanı düşün. Gerçek sonuç yaratan aktiviteler hangileriydi? Geri kalanı olmasa ne değişirdi?&amp;&amp;</x:v>
      </x:c>
      <x:c r="K120" s="37" t="str"/>
      <x:c r="L120" s="37" t="str"/>
      <x:c r="M120" s="37" t="str"/>
      <x:c r="N120" s="37" t="str"/>
      <x:c r="O120" s="37" t="str"/>
    </x:row>
    <x:row r="121" ht="20" customHeight="1">
      <x:c r="A121" s="33" t="n">
        <x:v>1178</x:v>
      </x:c>
      <x:c r="B121" s="34" t="str">
        <x:v>1</x:v>
      </x:c>
      <x:c r="C121" s="34" t="str">
        <x:v>Verimlilik</x:v>
      </x:c>
      <x:c r="D121" s="34" t="str">
        <x:v>Verimlilik</x:v>
      </x:c>
      <x:c r="E121" s="34" t="str">
        <x:v>Pareto İlkesi</x:v>
      </x:c>
      <x:c r="F121" s="34" t="str">
        <x:v>Richard Koch</x:v>
      </x:c>
      <x:c r="G121" s="34" t="str">
        <x:v>1997</x:v>
      </x:c>
      <x:c r="H121" s="37" t="str">
        <x:v>Az ama öz ilişkiler</x:v>
      </x:c>
      <x:c r="I121" s="37" t="str">
        <x:v>Koch, sosyal ilişkilerin de Pareto ilkesine tabi olduğunu ve az sayıda derin ilişkinin yüzde seksen mutluluğu yarattığını anlatıyor.</x:v>
      </x:c>
      <x:c r="J121" s="37" t="str">
        <x:v>Richard Koch'un araştırması ilişkilere uzandı.
İnsanların sosyal ağlarını inceledi. Ortalama bir yetişkin yüzlerce tanıdığa, onlarca arkadaşa sahip.
Ama mutluluğa en çok katkı yapan ilişkiler?
##Genellikle beş ila on kişi. Toplam ilişkilerin yüzde beş ila onu. Ama mutluluğun yüzde seksenini sağlayan bu az sayıda derin bağ.##
Koch bu bulguyu şöyle yorumluyor: Sosyal enerji sınırlı. Her ilişkiye eşit yatırım yapmak mümkün değil ve verimli de değil.
O yüzden soru şu: En değerli ilişkilerin hangileri? Ve onlara yeterince zaman ve özen gösteriyor musun?
Koch'un kendi hayatında yaptığı şu: Yüzeysel sosyal yükümlülükleri azalttı. Derin ilişkilere daha fazla zaman ayırdı. Sonuç olarak hem daha az sosyal hem de çok daha mutlu.
Bu bencillik değil. Gerçek bağlantı, yüzeysel çok sayıda temastan çok daha değerli. Hem sen için hem de o birkaç kişi için.
$$Çok sayıda yüzeysel ilişki, az sayıda derin ilişkinin yerine geçemez.$$
&amp;&amp;Hayatında gerçek anlamda besleyen beş kişi kim? Son bir ayda onlara ne kadar zaman ayırdın?&amp;&amp;</x:v>
      </x:c>
      <x:c r="K121" s="37" t="str"/>
      <x:c r="L121" s="37" t="str"/>
      <x:c r="M121" s="37" t="str"/>
      <x:c r="N121" s="37" t="str"/>
      <x:c r="O121" s="37" t="str"/>
    </x:row>
    <x:row r="122" ht="20" customHeight="1">
      <x:c r="A122" s="33" t="n">
        <x:v>1179</x:v>
      </x:c>
      <x:c r="B122" s="34" t="str">
        <x:v>1</x:v>
      </x:c>
      <x:c r="C122" s="34" t="str">
        <x:v>Verimlilik</x:v>
      </x:c>
      <x:c r="D122" s="34" t="str">
        <x:v>Yaratıcılık</x:v>
      </x:c>
      <x:c r="E122" s="34" t="str">
        <x:v>Yaratıcı Olmak</x:v>
      </x:c>
      <x:c r="F122" s="34" t="str">
        <x:v>Elizabeth Gilbert</x:v>
      </x:c>
      <x:c r="G122" s="34" t="str">
        <x:v>2015</x:v>
      </x:c>
      <x:c r="H122" s="37" t="str">
        <x:v>İlham perisinin ziyareti</x:v>
      </x:c>
      <x:c r="I122" s="37" t="str">
        <x:v>Gilbert, yaratıcılığı 'ilham perisinin ziyareti' olarak değil her gün masanın başına geçmek olarak tanımlar; iyi fikirler sadece çalışanları ziyaret eder.</x:v>
      </x:c>
      <x:c r="J122" s="37" t="str">
        <x:v>Elizabeth Gilbert "Eat Pray Love" yazdıktan sonra bir sorunla karşılaştı.
Nasıl devam edecekti? O kitap neredeyse yaşamıydı. Ya bir daha o iyi olmasa? "Tek kitaplık yazar" olursa?
Araştırırken eski Yunan ve Roma düşüncesine ulaştı. Antik çağda yaratıcılık kişinin içinden gelen bir şey olarak görülmezdi. Dışarıdan gelen bir varlıktı — bir cin, bir peri, bir ruh.
##Gilbert bu fikri modern hayata taşıdı: "Yaratıcı deha benim değil. Ben sadece çalışıyorum. Deha ziyarete gelirse, ikimiz birlikte harika bir şey yapıyoruz."##
Bu bakış açısı onu özgürleştirdi. Çünkü başarı da başarısızlık da tamamen onun omuzlarında değildi.
Ama daha önemlisi şu: Peri yalnızca çalışanları ziyaret ediyor. Masada oturanları, kalemi elinde tutanları, sesi kaydedenler.
"İlham gelince yazacağım" diyenler için peri hiç gelmiyor. Çünkü peri, nerede bekleneceğini bilmek istiyor.
$$İlham, hareketsizliği değil — eylemi bulur.$$
&amp;&amp;Yaratıcı bir şey üretmek isteyip "ilham gelmedi" diye bekledin mi? Yarın masana oturup yalnızca 20 dakika çalışsan ne olurdu?&amp;&amp;</x:v>
      </x:c>
      <x:c r="K122" s="37" t="str"/>
      <x:c r="L122" s="37" t="str"/>
      <x:c r="M122" s="37" t="str"/>
      <x:c r="N122" s="37" t="str"/>
      <x:c r="O122" s="37" t="str"/>
    </x:row>
    <x:row r="123" ht="20" customHeight="1">
      <x:c r="A123" s="33" t="n">
        <x:v>1180</x:v>
      </x:c>
      <x:c r="B123" s="34" t="str">
        <x:v>1</x:v>
      </x:c>
      <x:c r="C123" s="34" t="str">
        <x:v>Verimlilik</x:v>
      </x:c>
      <x:c r="D123" s="34" t="str">
        <x:v>Yaratıcılık</x:v>
      </x:c>
      <x:c r="E123" s="34" t="str">
        <x:v>Yaratıcı Olmak</x:v>
      </x:c>
      <x:c r="F123" s="34" t="str">
        <x:v>Elizabeth Gilbert</x:v>
      </x:c>
      <x:c r="G123" s="34" t="str">
        <x:v>2015</x:v>
      </x:c>
      <x:c r="H123" s="37" t="str">
        <x:v>Korkuyla dans etmek</x:v>
      </x:c>
      <x:c r="I123" s="37" t="str">
        <x:v>Gilbert, her yaratıcı girişimin korkuyu beraberinde getirdiğini ve başarılı yaratıcıların korkuyu yok etmediğini, onunla birlikte yürüdüğünü anlatıyor.</x:v>
      </x:c>
      <x:c r="J123" s="37" t="str">
        <x:v>Elizabeth Gilbert şunu soruyor: Yaratıcı bir şey yapmadan önce ne hissediyorsunuz?
Büyük çoğunluğun cevabı: Korku.
"Yeterince iyi değilim." "Eleştirilersem ne olur?" "Daha önce biri yapmış mı?" "Aptal görünürsem?"
Gilbert şöyle diyor: Ben her kitap yazmadan önce bunların hepsini hissediyorum. Ve her seferinde aynı şeyi yapıyorum: Korkuyu yanıma oturtuyor, çalışmaya devam ediyorum.
##"Korku araba yolculuğuna gelecek" diyor Gilbert. "Ama direksiyona geçmeyecek."##
Yaratıcılık ile mükemmeliyetçilik birbiriyle savaş halinde. Mükemmeliyetçilik yaratıcılığı öldürür çünkü hiçbir şey başlamadan eleştirilir.
Gilbert'in çözümü: "Meraklı ol, mükemmeliyetçi değil." Merak, yaratıcılığın yakıtı. Merak "bu nasıl olur?" diye sorar. Mükemmeliyetçilik ise "bu yeterince iyi mi?" diye sorar.
İkinci soru çoğu zaman cevap verilmeden kalır. Çünkü mükemmel hiç gelmez.
$$Korku yaratıcılığı öldürmez — ama ona izin verirsen öldürür.$$
&amp;&amp;Yaratmak isteyip korkudan başlamadığın bir şey var mı? O korkuya rağmen tek bir adım atsan ne değişir?&amp;&amp;</x:v>
      </x:c>
      <x:c r="K123" s="37" t="str"/>
      <x:c r="L123" s="37" t="str"/>
      <x:c r="M123" s="37" t="str"/>
      <x:c r="N123" s="37" t="str"/>
      <x:c r="O123" s="37" t="str"/>
    </x:row>
    <x:row r="124" ht="20" customHeight="1">
      <x:c r="A124" s="33" t="n">
        <x:v>1181</x:v>
      </x:c>
      <x:c r="B124" s="34" t="str">
        <x:v>1</x:v>
      </x:c>
      <x:c r="C124" s="34" t="str">
        <x:v>Verimlilik</x:v>
      </x:c>
      <x:c r="D124" s="34" t="str">
        <x:v>Yaratıcılık</x:v>
      </x:c>
      <x:c r="E124" s="34" t="str">
        <x:v>Yaratıcı Olmak</x:v>
      </x:c>
      <x:c r="F124" s="34" t="str">
        <x:v>Elizabeth Gilbert</x:v>
      </x:c>
      <x:c r="G124" s="34" t="str">
        <x:v>2015</x:v>
      </x:c>
      <x:c r="H124" s="37" t="str">
        <x:v>Yaratıcılık bir sorumluluk</x:v>
      </x:c>
      <x:c r="I124" s="37" t="str">
        <x:v>Gilbert, içinde yaratıcı bir fikrin olduğunu hissedip onu dünyaya çıkarmamanın hem kişiye hem dünyaya karşı bir sorumsuzluk olduğunu anlatıyor.</x:v>
      </x:c>
      <x:c r="J124" s="37" t="str">
        <x:v>Elizabeth Gilbert bir fikir teorisi geliştirdi.
Fikirler varlıklardır. Dünyada bir şekil almak istiyorlar. Ve bir insan aracı arıyorlar.
Bir fikir size geliyor. Fısıldıyor: "Beni yaz. Beni çiz. Beni inşa et."
Eğer siz yaramazsanız — çok meşgulsünüz, çok korkuyorsunuz, çok tembel hissediyorsunuz — fikir başka birine gidiyor. O fırsatı kaçırdınız.
##Gilbert şöyle diyor: "Bu bir maneviyat meselesi. Sana verilen bu fikri dünyaya çıkarmak, bir sorumluluktur."##
Bu kulağa büyük gelebilir. Ama pratikte çok basit bir soruya dönüşüyor: İçinde taşıdığın o fikri — o roman, o proje, o konuşma, o iş — gerçekleştirmek için ne bekliyorsun?
Gilbert'in gözlemi şu: Pek çok insan ölüm döşeğinde en büyük pişmanlığın yapılanlar değil, yapılmayanlar olduğunu söylüyor.
Yaşanmayan hikayeler. Yazılmayan kitaplar. Söylenmeyen sözler.
$$İçindeki fikri dünyaya çıkarmak, kendin için değil — belki tam da o fikre ihtiyaç duyan biri için gereklidir.$$
&amp;&amp;İçinde taşıdığın, hâlâ hayata geçirmediğin bir fikir ya da proje var mı? O fikrin gerçekleşmesini bekleyen biri olduğunu düşünüyor musun?&amp;&amp;</x:v>
      </x:c>
      <x:c r="K124" s="37" t="str"/>
      <x:c r="L124" s="37" t="str"/>
      <x:c r="M124" s="37" t="str"/>
      <x:c r="N124" s="37" t="str"/>
      <x:c r="O124" s="37" t="str"/>
    </x:row>
    <x:row r="125" ht="20" customHeight="1">
      <x:c r="A125" s="33" t="n">
        <x:v>1182</x:v>
      </x:c>
      <x:c r="B125" s="34" t="str">
        <x:v>1</x:v>
      </x:c>
      <x:c r="C125" s="34" t="str">
        <x:v>Finans</x:v>
      </x:c>
      <x:c r="D125" s="34" t="str">
        <x:v>Finans</x:v>
      </x:c>
      <x:c r="E125" s="34" t="str">
        <x:v>Money: Master the Game</x:v>
      </x:c>
      <x:c r="F125" s="34" t="str">
        <x:v>Tony Robbins</x:v>
      </x:c>
      <x:c r="G125" s="34" t="str">
        <x:v>2014</x:v>
      </x:c>
      <x:c r="H125" s="37" t="str">
        <x:v>Bileşik faizin sihri</x:v>
      </x:c>
      <x:c r="I125" s="37" t="str">
        <x:v>Robbins, Theodore Johnson'ın her maaşından yüzde yirmi yatırım yaparak emekliliğinde 70 milyon dolar biriktirdiği hikayesiyle bileşik faizin gücünü gösteriyor.</x:v>
      </x:c>
      <x:c r="J125" s="37" t="str">
        <x:v>Theodore Johnson UPS'te bir çalışandı. Hiç büyük maaş almadı. Milyoner olmayı hayal bile etmedi.
Ama bir alışkanlığı vardı: Her maaşından yüzde yirmiyi yatırıyordu. Hiç istisnasız.
Emekli olduğunda portföyüne baktı.
##70 milyon dolar.##
Tony Robbins bu hikayeyi kitabının açılışına koyuyor. Çünkü Johnson'ın sırrı yüksek gelir değildi. Tutarlılık ve zamandı.
Bileşik faiz şöyle çalışıyor: Kazancın üzerine kazanç ekleniyor. İlk yıllarda yavaş görünüyor. Ama zaman ilerledikçe, büyüme katlanarak artıyor.
Einstein'ın bileşik faizi "dünyanın sekizinci harikası" olarak nitelendirdiği söylenir. Ve Johnson bunu tesadüfen değil, sistemli olarak kullandı.
Robbins'in mesajı: Finansal özgürlük yüksek gelir değil, tutarlı yatırım ve zamanla inşa edilir. Ve bu herkes için mümkün — Johnson'ın başardığı gibi.
$$Servet büyük gelirden değil, küçük ama tutarlı kararların birikmesinden doğar.$$
&amp;&amp;Her ay gelirinizin yüzde kaçını yatırım yapıyorsunuz? Bu oranı yüzde beş artırsanız, 20 yıl içinde ne fark yaratır?&amp;&amp;</x:v>
      </x:c>
      <x:c r="K125" s="37" t="str"/>
      <x:c r="L125" s="37" t="str"/>
      <x:c r="M125" s="37" t="str"/>
      <x:c r="N125" s="37" t="str"/>
      <x:c r="O125" s="37" t="str"/>
    </x:row>
    <x:row r="126" ht="20" customHeight="1">
      <x:c r="A126" s="33" t="n">
        <x:v>1183</x:v>
      </x:c>
      <x:c r="B126" s="34" t="str">
        <x:v>1</x:v>
      </x:c>
      <x:c r="C126" s="34" t="str">
        <x:v>Finans</x:v>
      </x:c>
      <x:c r="D126" s="34" t="str">
        <x:v>Finans</x:v>
      </x:c>
      <x:c r="E126" s="34" t="str">
        <x:v>Money: Master the Game</x:v>
      </x:c>
      <x:c r="F126" s="34" t="str">
        <x:v>Tony Robbins</x:v>
      </x:c>
      <x:c r="G126" s="34" t="str">
        <x:v>2014</x:v>
      </x:c>
      <x:c r="H126" s="37" t="str">
        <x:v>Finansal özgürlüğün beş adımı</x:v>
      </x:c>
      <x:c r="I126" s="37" t="str">
        <x:v>Robbins, dünyanın en başarılı yatırımcılarıyla konuşarak finansal bağımsızlığa ulaşmanın evrensel ilkelerini sıradan insanlar için uygulanabilir adımlara dönüştürdü.</x:v>
      </x:c>
      <x:c r="J126" s="37" t="str">
        <x:v>Tony Robbins 50'den fazla dünyanın en başarılı yatırımcısıyla görüştü. Ray Dalio, Warren Buffett, John Bogle.
Hepsine aynı soruyu sordu: "Sıradan bir insana verebileceğiniz en önemli finansal tavsiye nedir?"
Cevapların özü şaşırtıcı derecede benzerdi.
##"Önce kendinize ödeyin. Harcamadan önce yatırımı yapın."##
Çoğumuz tam tersini yapıyor. Önce harcıyor, kalan varsa yatırıyoruz. Ve genellikle kalmıyor.
Robbins "otomatik ödeme" sistemini öneriyor: Maaş hesabına girdiği anda, belirli bir yüzde otomatik olarak yatırım hesabına aktarılsın. Siz görmeden önce gitsin.
İkinci ortak ilke: Giderleri azalt, geliri artır, farkı yatır.
Üçüncüsü: Çeşitlendir. Tüm yumurtaları tek sepete koyma.
Dördüncüsü: Vergileri optimize et. Yasal yollarla.
Beşincisi: Sabret. Piyasalar iner çıkar — ama uzun vadede yükselir.
$$Finansal özgürlük karmaşık değil — zor olan, basit ilkeleri tutarlı uygulamaktır.$$
&amp;&amp;Bu beş adımdan şu an uyguladıkların hangisi, uygulamadıkların hangisi?&amp;&amp;</x:v>
      </x:c>
      <x:c r="K126" s="37" t="str"/>
      <x:c r="L126" s="37" t="str"/>
      <x:c r="M126" s="37" t="str"/>
      <x:c r="N126" s="37" t="str"/>
      <x:c r="O126" s="37" t="str"/>
    </x:row>
    <x:row r="127" ht="20" customHeight="1">
      <x:c r="A127" s="33" t="n">
        <x:v>1184</x:v>
      </x:c>
      <x:c r="B127" s="34" t="str">
        <x:v>1</x:v>
      </x:c>
      <x:c r="C127" s="34" t="str">
        <x:v>Finans</x:v>
      </x:c>
      <x:c r="D127" s="34" t="str">
        <x:v>Finans</x:v>
      </x:c>
      <x:c r="E127" s="34" t="str">
        <x:v>Money: Master the Game</x:v>
      </x:c>
      <x:c r="F127" s="34" t="str">
        <x:v>Tony Robbins</x:v>
      </x:c>
      <x:c r="G127" s="34" t="str">
        <x:v>2014</x:v>
      </x:c>
      <x:c r="H127" s="37" t="str">
        <x:v>Risk asimetrisi ve kayıptan kaçınma</x:v>
      </x:c>
      <x:c r="I127" s="37" t="str">
        <x:v>Robbins, en iyi yatırımcıların kazanmaya değil kaybetmemey odaklandığını ve asimetrik risk-ödül dengesi kurmanın servetin korunmasındaki rolünü anlatıyor.</x:v>
      </x:c>
      <x:c r="J127" s="37" t="str">
        <x:v>Tony Robbins, Ray Dalio ile uzun bir sohbet yaptı.
Dalio'ya şunu sordu: "Servetini korumak için en önemli kural nedir?"
Dalio'nun cevabı beklenmedikti: "Kaybetme."
##"Kazanmak için değil, kaybetmemek için optimize ediyorum."##
Robbins bu yaklaşımı araştırdı. Ve "asimetrik risk-ödül" kavramıyla karşılaştı.
Basit örnek: 5 dolar riske et, 100 dolar kazanma ihtimalin var. Kaybedersen 5 dolar gider. Ama kazanırsan 100 gelir.
Bu asimetrik bir bahis. En iyi yatırımcılar böyle bahisler arıyor.
Tersini ise yapmıyorlar: 100 dolar riske at, belki 110 kazan. Bu simetrik ya da negatif asimetrik bir bahis.
Psikolojik araştırmalar gösteriyor: İnsanlar 100 dolar kaybetmenin acısını, 100 dolar kazanmanın sevincinden yaklaşık iki kat daha yoğun hissediyor. Bu kayıptan kaçınma yanlılığı.
Dalio ve Robbins'in önerisi: Bu psikolojik zayıflığı fark et. Büyük kayıpları engelle. Küçük pozisyonlarla yüksek getiri fırsatları ara.
$$Finansal zeka kazanmak için değil, kaybetmemek için optimize etmeyi içerir.$$
&amp;&amp;Son finansal kararında riski hesapladın mı? Kaybedersen ne olur, kazanırsan ne kazanırsın — bu denge adil miydi?&amp;&amp;</x:v>
      </x:c>
      <x:c r="K127" s="37" t="str"/>
      <x:c r="L127" s="37" t="str"/>
      <x:c r="M127" s="37" t="str"/>
      <x:c r="N127" s="37" t="str"/>
      <x:c r="O127" s="37" t="str"/>
    </x:row>
    <x:row r="128" ht="20" customHeight="1">
      <x:c r="A128" s="33" t="n">
        <x:v>1185</x:v>
      </x:c>
      <x:c r="B128" s="34" t="str">
        <x:v>1</x:v>
      </x:c>
      <x:c r="C128" s="34" t="str">
        <x:v>Felsefe</x:v>
      </x:c>
      <x:c r="D128" s="34" t="str">
        <x:v>Öğrenme</x:v>
      </x:c>
      <x:c r="E128" s="34" t="str">
        <x:v>Zihin Haritası</x:v>
      </x:c>
      <x:c r="F128" s="34" t="str">
        <x:v>Tony Buzan</x:v>
      </x:c>
      <x:c r="G128" s="34" t="str">
        <x:v>1993</x:v>
      </x:c>
      <x:c r="H128" s="37" t="str">
        <x:v>Einstein'ın görsel düşünce sırrı</x:v>
      </x:c>
      <x:c r="I128" s="37" t="str">
        <x:v>Einstein, karmaşık fizik problemlerini çözerken zihinsel görsel haritalar oluşturduğunu anlattı; düşünmenin sözel değil görsel olduğunu kanıtladı.</x:v>
      </x:c>
      <x:c r="J128" s="37" t="str">
        <x:v>Einstein'a sorulmuş: "Nasıl düşünüyorsunuz?"
Cevabı sürprizdi: "Kelimelerle değil. Görüntülerle, hislerle, müzikle."
Izafiyet teorisi bir denklem olarak değil bir görüntü olarak doğmuştu zihninde: Işık hızında hareket eden bir ışın demetinin yanında uçtuğunu hayal ediyordu.
##Tony Buzan bu gözlemden şunu çıkardı: Beyin doğası gereği görsel ve çağrışımsal çalışıyor — lineer ve sözel değil.##
Ama okullarda ne öğretiyoruz? Lineer notlar. Madde maddeler. Dikey listeler.
Buzan'ın iddiası şu: Bu öğrenme yöntemi beynin doğasına aykırı. Zihin haritaları ise beynin gerçekten çalıştığı şekli — çağrışımsal, görsel, renkli, dallanan — yansıtıyor.
Deney sonuçları dikkat çekici: Zihin haritası kullananlar aynı materyali yüzde elli daha hızlı öğreniyor ve çok daha uzun süre hatırlıyor.
Einstein'ın sırrı deha değildi. Beyninin doğal çalışma biçimiyle uyumlu düşünmekti.
$$Beyin doğrusal değil; düşünceler ise bir ağaç gibi dallanan yapılardır.$$
&amp;&amp;Son öğrenmeye çalıştığın bir konuyu liste yerine harita olarak çizsen, ne fark ederdin?&amp;&amp;</x:v>
      </x:c>
      <x:c r="K128" s="37" t="str"/>
      <x:c r="L128" s="37" t="str"/>
      <x:c r="M128" s="37" t="str"/>
      <x:c r="N128" s="37" t="str"/>
      <x:c r="O128" s="37" t="str"/>
    </x:row>
    <x:row r="129" ht="20" customHeight="1">
      <x:c r="A129" s="33" t="n">
        <x:v>1186</x:v>
      </x:c>
      <x:c r="B129" s="34" t="str">
        <x:v>1</x:v>
      </x:c>
      <x:c r="C129" s="34" t="str">
        <x:v>Felsefe</x:v>
      </x:c>
      <x:c r="D129" s="34" t="str">
        <x:v>Öğrenme</x:v>
      </x:c>
      <x:c r="E129" s="34" t="str">
        <x:v>Zihin Haritası</x:v>
      </x:c>
      <x:c r="F129" s="34" t="str">
        <x:v>Tony Buzan</x:v>
      </x:c>
      <x:c r="G129" s="34" t="str">
        <x:v>1993</x:v>
      </x:c>
      <x:c r="H129" s="37" t="str">
        <x:v>Bir sayfada bir kitap</x:v>
      </x:c>
      <x:c r="I129" s="37" t="str">
        <x:v>Buzan, zihin haritasının yüzlerce sayfalık bir kitabı tek bir sayfada nasıl özetleyebildiğini ve bu tekniğin hafıza üzerindeki dramatik etkisini anlatıyor.</x:v>
      </x:c>
      <x:c r="J129" s="37" t="str">
        <x:v>Tony Buzan öğrencilere şunu gösterdi.
Bir kitabı oku. Sonra 20 madde hâlinde özet çıkar. Bir ay sonra ne hatırlıyorsun?
Karşılaştırma grubu: Aynı kitabı zihin haritasıyla özetle. Bir ay sonra ne hatırlıyorsun?
##Sonuç: Zihin haritası grubu yaklaşık üç kat daha fazla hatırlıyordu.##
Neden?
Çünkü zihin haritası beynin birden fazla alanını aktive ediyor. Renk, şekil, uzamsal ilişkiler, anahtar kelimeler — hepsi birden kodlanıyor.
Düz metin ise yalnızca sözel hafızaya hitap ediyor.
Buzan'ın tekniği basit: Merkeze ana fikri koy. Oradan ana dallar çıkar. Her daldan alt dallar. Anahtar kelimeler, renkler ve semboller kullan.
Bir kitabı bir sayfada toplayabilirsin. Ve o sayfa, yüzlerce sayfalık nottan çok daha kolay hatırlanıyor.
Buzan şunu söylüyor: Öğrenmek zor değil. Yanlış araçlarla öğrenmek zor.
$$Doğru araçla öğrenmek, öğrenmeyi hem hızlı hem kalıcı yapar.$$
&amp;&amp;Son okuduğun ya da öğrendiğin bir şeyin zihin haritasını çizmek için beş dakika ayırsan, ne keşfederdin?&amp;&amp;</x:v>
      </x:c>
      <x:c r="K129" s="37" t="str"/>
      <x:c r="L129" s="37" t="str"/>
      <x:c r="M129" s="37" t="str"/>
      <x:c r="N129" s="37" t="str"/>
      <x:c r="O129" s="37" t="str"/>
    </x:row>
    <x:row r="130" ht="20" customHeight="1">
      <x:c r="A130" s="33" t="n">
        <x:v>1187</x:v>
      </x:c>
      <x:c r="B130" s="34" t="str">
        <x:v>1</x:v>
      </x:c>
      <x:c r="C130" s="34" t="str">
        <x:v>Büyüme</x:v>
      </x:c>
      <x:c r="D130" s="34" t="str">
        <x:v>Motivasyon</x:v>
      </x:c>
      <x:c r="E130" s="34" t="str">
        <x:v>Korkusuzluk</x:v>
      </x:c>
      <x:c r="F130" s="34" t="str">
        <x:v>Susan Jeffers</x:v>
      </x:c>
      <x:c r="G130" s="34" t="str">
        <x:v>1987</x:v>
      </x:c>
      <x:c r="H130" s="37" t="str">
        <x:v>Paraşütle atlayan kadın</x:v>
      </x:c>
      <x:c r="I130" s="37" t="str">
        <x:v>Susan Jeffers, paraşütle atlamaktan korkmasına rağmen atlayan bir kadının deneyimiyle korkunun atlatılmasının ama asla geçmeyeceğini ve kabul etmenin tek yol olduğunu gösteriyor.</x:v>
      </x:c>
      <x:c r="J130" s="37" t="str">
        <x:v>Susan Jeffers'ın bir arkadaşı paraşütle atlamak istiyordu. Jeffers onu dinledi ve tek düşüncesi şuydu: "Asla."
Sonra kendine bir soru sordu: "Bu korkuyu yaşasam ne olurdu?"
Ve korkuya rağmen kaydoldu.
##Atlamadan önce korkuyordu. Atlarken korkuyordu. Ama yaptı. Ve yaptıktan sonra fark etti: Korku geçmemişti. Ama onu geçmiş olmak her şeyi değiştirdi.##
Jeffers bu deneyimden kitabının temel tezini çıkardı: "Feel the Fear and Do It Anyway" — Korkuyu hisset ve yine de yap.
Korku asla tamamen geçmiyor. Her yeni adım, her yeni deneyim, beraberinde yeni bir korku getiriyor. Bu evrensel. Çok az insan gerçekten korkusuz.
Fark şu: Korkusuz insanlar ile korkuyu yöneten insanlar arasında değil — korkusuz insanlar çoğunlukla yok.
Jeffers'ın formülü: Her yeni şey korkutucu. Korku, büyümenin işareti. Korkuyu hissedip yapmak, özgüveni inşa eden tek şey.
$$Korku geçmez. Ama korkuya rağmen yapmak, korkunun büyüklüğünü küçültür.$$
&amp;&amp;Korkudan vazgeçtiğin ama hâlâ içinde taşıdığın bir şey var mı? O korkuya rağmen ilk adımı atsan ne hissederdin?&amp;&amp;</x:v>
      </x:c>
      <x:c r="K130" s="37" t="str"/>
      <x:c r="L130" s="37" t="str"/>
      <x:c r="M130" s="37" t="str"/>
      <x:c r="N130" s="37" t="str"/>
      <x:c r="O130" s="37" t="str"/>
    </x:row>
    <x:row r="131" ht="20" customHeight="1">
      <x:c r="A131" s="33" t="n">
        <x:v>1188</x:v>
      </x:c>
      <x:c r="B131" s="34" t="str">
        <x:v>1</x:v>
      </x:c>
      <x:c r="C131" s="34" t="str">
        <x:v>Büyüme</x:v>
      </x:c>
      <x:c r="D131" s="34" t="str">
        <x:v>Motivasyon</x:v>
      </x:c>
      <x:c r="E131" s="34" t="str">
        <x:v>Korkusuzluk</x:v>
      </x:c>
      <x:c r="F131" s="34" t="str">
        <x:v>Susan Jeffers</x:v>
      </x:c>
      <x:c r="G131" s="34" t="str">
        <x:v>1987</x:v>
      </x:c>
      <x:c r="H131" s="37" t="str">
        <x:v>Hayır deme korkusu</x:v>
      </x:c>
      <x:c r="I131" s="37" t="str">
        <x:v>Jeffers, insanların hayır demekten korkmasının altında yatan 'sevilmeme' korkusunu keşfetti ve sınır koymanın paradoksal olarak ilişkileri nasıl güçlendirdiğini anlatıyor.</x:v>
      </x:c>
      <x:c r="J131" s="37" t="str">
        <x:v>Susan Jeffers danışanlarının çoğunda ortak bir tema gördü.
Hayır demekten korkuyorlardı. Her istekleri kabul ediyorlardı. Ve her kabul ettiklerinde içlerinde bir şey küçülüyordu.
Korkuyu araştırdı: "Hayır desem ne olur?"
##"Beni sevmezler." "Kızarlar." "Yalnız kalırım."##
Jeffers bu korkuları sorguladı: Gerçekten her hayır dediklerinde insanlar gidiyor muydu? Hayır.
Aksine şunu buldu: Hayır diyebilen insanlar evet dediklerinde daha değerli bir şey veriyorlardı. Çünkü o evet, otomatik değil — gerçek bir seçimdi.
Jeffers'ın kilit sorusu: "Hayır desem en kötü ne olur?" Çoğu zaman cevap, hayal edilen felaketten çok uzak.
Ve bir adım daha: "Hayır desem ve en kötüsü gerçekleşse — bunu kaldırabilir miyim?"
Büyük çoğunlukla cevap evet. Ve bu farkındalık, korkunun gücünü dramatik biçimde azaltıyor.
$$Evet'in değeri, hayır diyebilme kapasitesinden gelir.$$
&amp;&amp;Şu an içinde gerçekten hayır demek istediğin ama söyleyemediğin bir şey var mı? En kötü senaryoyu gerçekten yaşasan ne olur?&amp;&amp;</x:v>
      </x:c>
      <x:c r="K131" s="37" t="str"/>
      <x:c r="L131" s="37" t="str"/>
      <x:c r="M131" s="37" t="str"/>
      <x:c r="N131" s="37" t="str"/>
      <x:c r="O131" s="37" t="str"/>
    </x:row>
    <x:row r="132" ht="20" customHeight="1">
      <x:c r="A132" s="33" t="n">
        <x:v>1189</x:v>
      </x:c>
      <x:c r="B132" s="34" t="str">
        <x:v>1</x:v>
      </x:c>
      <x:c r="C132" s="34" t="str">
        <x:v>Felsefe</x:v>
      </x:c>
      <x:c r="D132" s="34" t="str">
        <x:v>Felsefe</x:v>
      </x:c>
      <x:c r="E132" s="34" t="str">
        <x:v>Stillness Is the Key</x:v>
      </x:c>
      <x:c r="F132" s="34" t="str">
        <x:v>Ryan Holiday</x:v>
      </x:c>
      <x:c r="G132" s="34" t="str">
        <x:v>2019</x:v>
      </x:c>
      <x:c r="H132" s="37" t="str">
        <x:v>Büyük İskender'in hareketsizliği</x:v>
      </x:c>
      <x:c r="I132" s="37" t="str">
        <x:v>İskender, muazzam seferler öncesinde günlerce hareketsiz bekleyerek ordusuna sabır ve netliğin gücün en büyük silahı olduğunu öğretti.</x:v>
      </x:c>
      <x:c r="J132" s="37" t="str">
        <x:v>Büyük İskender'in generalleri çoğu zaman sabırsızlanırdı.
Düşman görünürdü. Savaş fırsatı doğardı. Generaller harekete geçmek isterdi.
İskender ise beklerdi.
Saatler, bazen günler. Analiz eder, gözlemler, düşünürdü. Telaşlanmazdı.
##Sonra tam doğru anda harekete geçerdi. Ve çoğunlukla tek bir seferlik, ezici bir hamleyle zaferi kazanırdı.##
Ryan Holiday bu hikayeyi "stillness" — hareketsizlik, sükûnet — kavramının özü olarak sunuyor.
Hareketsizlik tembellik değil. Reaktif olmamak, anlık dürtülere kapılmamak. İçsel sessizlikten hareket etmek.
Modern dünya sürekli hareket, sürekli tepki, sürekli üretim istiyor. Sessizlik zayıflık olarak görülüyor.
Ama Holiday'in araştırdığı büyük liderler — askerler, filozoflar, sanatçılar — sürekli hareketsizlik pratiği yapıyordu. Düşünmek için, netleşmek için, gerçekten önemli olanı görmek için.
$$Gürültüde cevap değil — sessizlikte netlik bulunur.$$
&amp;&amp;Son önemli kararında ne kadar beklediğin? Daha fazla beklemiş olsaydın, karar değişir miydi?&amp;&amp;</x:v>
      </x:c>
      <x:c r="K132" s="37" t="str"/>
      <x:c r="L132" s="37" t="str"/>
      <x:c r="M132" s="37" t="str"/>
      <x:c r="N132" s="37" t="str"/>
      <x:c r="O132" s="37" t="str"/>
    </x:row>
    <x:row r="133" ht="20" customHeight="1">
      <x:c r="A133" s="33" t="n">
        <x:v>1190</x:v>
      </x:c>
      <x:c r="B133" s="34" t="str">
        <x:v>1</x:v>
      </x:c>
      <x:c r="C133" s="34" t="str">
        <x:v>Felsefe</x:v>
      </x:c>
      <x:c r="D133" s="34" t="str">
        <x:v>Felsefe</x:v>
      </x:c>
      <x:c r="E133" s="34" t="str">
        <x:v>Stillness Is the Key</x:v>
      </x:c>
      <x:c r="F133" s="34" t="str">
        <x:v>Ryan Holiday</x:v>
      </x:c>
      <x:c r="G133" s="34" t="str">
        <x:v>2019</x:v>
      </x:c>
      <x:c r="H133" s="37" t="str">
        <x:v>Epiktetos'un özgürlüğü</x:v>
      </x:c>
      <x:c r="I133" s="37" t="str">
        <x:v>Holiday, köle olarak doğan Epiktetos'un iç özgürlüğü dış koşullardan tamamen bağımsız kılmasını Stoa felsefesinin özü olarak sunuyor.</x:v>
      </x:c>
      <x:c r="J133" s="37" t="str">
        <x:v>Epiktetos bir köleydi. Efendisi bir gün eğlence için bacağını büktü ve kırdı.
Epiktetos sakin bir şekilde dedi: "Kırılacağını söylemiştim."
Bu tepki — acı içinde, güçsüz bir durumda, sakin ve net bir gözlem — Stoa felsefesinin kalbini özetliyor.
##Holiday bunu şöyle açıklıyor: Epiktetos kontrolü elinde olmayan her şeye kayıtsızdı. Kontrolü elinde olan tek şeye — kendi zihnine, tepkilerine, yargılarına — ise tamamen odaklanmıştı.##
Bu pasiflik değil. Aksine, zihinsel güç.
"Kontrol edemiyorum" deyip bırakan bir tutum değil. "Bunu kontrol edemiyorum — o zaman enerjimi kontrol edebildiğime veriyorum."
Holiday bu ilkeyi modern hayata şöyle uyarluyor: Trafik, hava, başkalarının kararları, ekonomi — bunlar dışarıda. Tepkin, çaban, değerlerin — bunlar içeride.
Çoğumuz tam tersini yapıyor: Dışarısını kontrol etmeye çabalıyor, içerisini ihmal ediyor.
$$Gerçek özgürlük dış koşullardan değil, iç tutumdan gelir.$$
&amp;&amp;Şu an kontrol edemediğin ama enerji harcadığın bir şey var mı? O enerjiyi kontrol edebildiğin neye yönlendirebilirsin?&amp;&amp;</x:v>
      </x:c>
      <x:c r="K133" s="37" t="str"/>
      <x:c r="L133" s="37" t="str"/>
      <x:c r="M133" s="37" t="str"/>
      <x:c r="N133" s="37" t="str"/>
      <x:c r="O133" s="37" t="str"/>
    </x:row>
    <x:row r="134" ht="20" customHeight="1">
      <x:c r="A134" s="33" t="n">
        <x:v>1191</x:v>
      </x:c>
      <x:c r="B134" s="34" t="str">
        <x:v>1</x:v>
      </x:c>
      <x:c r="C134" s="34" t="str">
        <x:v>Felsefe</x:v>
      </x:c>
      <x:c r="D134" s="34" t="str">
        <x:v>Felsefe</x:v>
      </x:c>
      <x:c r="E134" s="34" t="str">
        <x:v>Ego Is the Enemy</x:v>
      </x:c>
      <x:c r="F134" s="34" t="str">
        <x:v>Ryan Holiday</x:v>
      </x:c>
      <x:c r="G134" s="34" t="str">
        <x:v>2016</x:v>
      </x:c>
      <x:c r="H134" s="37" t="str">
        <x:v>Howard Hughes'un çöküşü</x:v>
      </x:c>
      <x:c r="I134" s="37" t="str">
        <x:v>Dünyanın en zenginlerinden Hughes, egosuna yenik düşerek kendini izole etti ve son yıllarını yalnız, paranoyak ve sefil geçirdi.</x:v>
      </x:c>
      <x:c r="J134" s="37" t="str">
        <x:v>Howard Hughes mucizevi bir adamdı.
Uçak tasarımcısı. Film yapımcısı. İş insanı. Dünyanın en zenginlerinden biri. Her alanda olağanüstü.
Ama ego her şeyi dönüştürdü.
Başarılar arttıkça "ben herkesten iyiyim" inancı güçlendi. Danışmanları dinlemez oldu. Eleştiri kabul etmez oldu. Kendini izole etti.
##Son yıllarında Las Vegas'ın bir otel odasında yaşıyordu. Tırnakları uzamış, yıkanmamış, paranoyaklaşmış, yalnız.##
Ryan Holiday bu hikayeyi egonun paradoksunu göstermek için kullanıyor: Ego başarı getirebilir. Ama sonra aynı başarının içini oyar.
Çünkü ego öğrenmeyi engeller. "Ben zaten biliyorum" diyen insan yeni bilgiye kapalı. "Ben harikaydım" diyen insan bugün hatalarını göremez. "Bana ihtiyaçları var" diyen insan geri bildirimleri reddeder.
Büyük başarılar ego için en tehlikeli anlar. Çünkü "bu doğru, ben mükemmelim" inancını en güçlü destekliyor.
$$Ego sizi yükseltir — sonra aynı yükseklikten düşürür.$$
&amp;&amp;Bir alanda başarılı olduğunda egon devreye giriyor mu? Nasıl anlıyorsun?&amp;&amp;</x:v>
      </x:c>
      <x:c r="K134" s="37" t="str"/>
      <x:c r="L134" s="37" t="str"/>
      <x:c r="M134" s="37" t="str"/>
      <x:c r="N134" s="37" t="str"/>
      <x:c r="O134" s="37" t="str"/>
    </x:row>
    <x:row r="135" ht="20" customHeight="1">
      <x:c r="A135" s="33" t="n">
        <x:v>1192</x:v>
      </x:c>
      <x:c r="B135" s="34" t="str">
        <x:v>1</x:v>
      </x:c>
      <x:c r="C135" s="34" t="str">
        <x:v>Felsefe</x:v>
      </x:c>
      <x:c r="D135" s="34" t="str">
        <x:v>Felsefe</x:v>
      </x:c>
      <x:c r="E135" s="34" t="str">
        <x:v>Ego Is the Enemy</x:v>
      </x:c>
      <x:c r="F135" s="34" t="str">
        <x:v>Ryan Holiday</x:v>
      </x:c>
      <x:c r="G135" s="34" t="str">
        <x:v>2016</x:v>
      </x:c>
      <x:c r="H135" s="37" t="str">
        <x:v>Öğrenci zihniyeti</x:v>
      </x:c>
      <x:c r="I135" s="37" t="str">
        <x:v>Holiday, en büyük başarıların sürekli öğrenci kalmayı seçenlerden geldiğini ve egonun bu öğrenci zihniyetini nasıl yok ettiğini anlatıyor.</x:v>
      </x:c>
      <x:c r="J135" s="37" t="str">
        <x:v>Ryan Holiday, tarihin en başarılı insanlarını inceledi ve ortak bir özellik buldu.
Angela Merkel şöyle demiş: "Her toplantıya not defterle giriyorum. Öğreneceğim bir şey var."
Warren Buffett zamanının yüzde seksenini okuyarak geçiriyor. Hâlâ.
Leonardo da Vinci not defterlerini ölümüne kadar tuttu.
##Ortak nokta: Uzman olmalarına rağmen, öğrenci gibi yaklaşıyorlar.##
Holiday bunu "Ego Düşmanı"nın merkezine koyuyor. Ego şunu söylüyor: "Artık öğrenmem gerekmez. Zaten biliyorum." Öğrenci zihniyeti ise şunu söylüyor: "Her zaman bilmediğim bir şey var."
Japon Zen geleneğinde buna "Shoshin" — yeni başlayanın zihni — deniyor. Uzmanlık geldikçe olasılıklar azalır. Yeni başlayanın zihninde ise sonsuz olasılık vardır.
Egosuz büyük insanların sırrı bu. Başarı onları kapamıyor, açıyor. Her zirve, yeni ufuklar görmeyi sağlıyor.
$$Bilmek sizi kapatır — öğrenmek açar.$$
&amp;&amp;Son bir yılda gerçekten yeni bir şey öğrendin mi? "Bunu zaten biliyorum" dediğin ama aslında yüzeysel kaldığın bir alan var mı?&amp;&amp;</x:v>
      </x:c>
      <x:c r="K135" s="37" t="str"/>
      <x:c r="L135" s="37" t="str"/>
      <x:c r="M135" s="37" t="str"/>
      <x:c r="N135" s="37" t="str"/>
      <x:c r="O135" s="37" t="str"/>
    </x:row>
    <x:row r="136" ht="20" customHeight="1">
      <x:c r="A136" s="33" t="n">
        <x:v>1193</x:v>
      </x:c>
      <x:c r="B136" s="34" t="str">
        <x:v>1</x:v>
      </x:c>
      <x:c r="C136" s="34" t="str">
        <x:v>Felsefe</x:v>
      </x:c>
      <x:c r="D136" s="34" t="str">
        <x:v>Felsefe</x:v>
      </x:c>
      <x:c r="E136" s="34" t="str">
        <x:v>Engel Yolu Açar</x:v>
      </x:c>
      <x:c r="F136" s="34" t="str">
        <x:v>Ryan Holiday</x:v>
      </x:c>
      <x:c r="G136" s="34" t="str">
        <x:v>2014</x:v>
      </x:c>
      <x:c r="H136" s="37" t="str">
        <x:v>Edison'ın fabrika yangını</x:v>
      </x:c>
      <x:c r="I136" s="37" t="str">
        <x:v>Edison'ın fabrikası yandığında 67 yaşındaki mucit 'tüm hatalarımız da yandı, yarın sıfırdan başlıyoruz' dedi.</x:v>
      </x:c>
      <x:c r="J136" s="37" t="str">
        <x:v>1914. Thomas Edison'ın fabrikası yanıyordu.
On yıllarca biriktirilen araştırma notları. Prototipler. Ekipmanlar. Hepsi alevler içinde.
Edison'ın oğlu Charles şaşkınlıkla yanına koştu. Yirmi dört yaşındaydı. Babasının bu yıkıma nasıl tepki vereceğini merak ediyordu.
Edison oğluna döndü ve şöyle dedi:
##"Git annenizi çağır. Bu yangını bir daha hiç görmeyecek. Yetmiş yedi yılımda bu kadar güzel bir şey görmedim."##
Sonra ekledi: "Tanrışükür, tüm hatalarımız da yandı. Yarın sıfırdan başlıyoruz."
Ryan Holiday bu hikayeyi "Engel Yolu Açar"ın özü olarak sunuyor. Stoa filozofları bu ilkeye "Amor Fati" diyordu — kaderini sev.
Bu naif iyimserlik değil. Gerçekçi bir güç. Değiştirilemeyen şeyle savaşmak yerine, onu avantaja dönüştürmek.
Edison'ın fabrikası yanınca yeniden inşa etti. Ve yeni fabrika daha iyiydi.
$$Her engel aslında bir yönlendirme — eğer onu öyle görmeyi seçersen.$$
&amp;&amp;Hayatında büyük bir kayıp ya da engel sonunda seni beklenmedik bir yere götüren bir deneyim yaşadın mı?&amp;&amp;</x:v>
      </x:c>
      <x:c r="K136" s="37" t="str"/>
      <x:c r="L136" s="37" t="str"/>
      <x:c r="M136" s="37" t="str"/>
      <x:c r="N136" s="37" t="str"/>
      <x:c r="O136" s="37" t="str"/>
    </x:row>
    <x:row r="137" ht="20" customHeight="1">
      <x:c r="A137" s="33" t="n">
        <x:v>1194</x:v>
      </x:c>
      <x:c r="B137" s="34" t="str">
        <x:v>1</x:v>
      </x:c>
      <x:c r="C137" s="34" t="str">
        <x:v>Felsefe</x:v>
      </x:c>
      <x:c r="D137" s="34" t="str">
        <x:v>Felsefe</x:v>
      </x:c>
      <x:c r="E137" s="34" t="str">
        <x:v>Engel Yolu Açar</x:v>
      </x:c>
      <x:c r="F137" s="34" t="str">
        <x:v>Ryan Holiday</x:v>
      </x:c>
      <x:c r="G137" s="34" t="str">
        <x:v>2014</x:v>
      </x:c>
      <x:c r="H137" s="37" t="str">
        <x:v>Marcus Aurelius'un mektupları</x:v>
      </x:c>
      <x:c r="I137" s="37" t="str">
        <x:v>Holiday, imparator olmak istemediği hâlde Roma'nın en zor döneminde liderlik eden Marcus Aurelius'un içsel gücünü nasıl koruduğunu anlatıyor.</x:v>
      </x:c>
      <x:c r="J137" s="37" t="str">
        <x:v>Marcus Aurelius imparator olmak istemiyordu.
Filozof olmak istiyordu. Ama Roma tarihinin en zorlu dönemlerinden birinde, istemeden imparator oldu.
Salgın hastalıklar. Savaşlar. Ekonomik krizler. İhanetler.
Ve bütün bunların içinde, kendi kendine mektuplar yazdı. Bunlar "Düşünceler" — Meditations — olarak tarihe geçti.
##"Engel, eylemi durdurmaz. Eylem engeli aşar. Ve bu engeli aşmak, eylemi güçlendirir."##
Holiday bunu şöyle açıklıyor: Aurelius her zorluğu iki şekilde görebilirdi. "Bu benim başıma neden geldi?" ya da "Bu bende ne geliştirecek?"
İkincisini seçti. Defalarca, yıllarca.
Ve o seçim — zorlukları yakıt olarak kullanmak — onu Roma'nın en beğenilen imparatorlarından biri yaptı.
Holiday'in mesajı evrensel: Her engelin içinde gizli bir fırsat var. Onu görmek için belirli bir bakış açısı gerekiyor.
$$Engel yolu kapatmaz. Doğru gözle bakıldığında, engel yolu gösterir.$$
&amp;&amp;Şu an hayatındaki en büyük engel nedir? O engelin içinde gizli hangi fırsat olabilir?&amp;&amp;</x:v>
      </x:c>
      <x:c r="K137" s="37" t="str"/>
      <x:c r="L137" s="37" t="str"/>
      <x:c r="M137" s="37" t="str"/>
      <x:c r="N137" s="37" t="str"/>
      <x:c r="O137" s="37" t="str"/>
    </x:row>
    <x:row r="138" ht="20" customHeight="1">
      <x:c r="A138" s="33" t="n">
        <x:v>1195</x:v>
      </x:c>
      <x:c r="B138" s="34" t="str">
        <x:v>1</x:v>
      </x:c>
      <x:c r="C138" s="34" t="str">
        <x:v>Sağlık</x:v>
      </x:c>
      <x:c r="D138" s="34" t="str">
        <x:v>Sağlık</x:v>
      </x:c>
      <x:c r="E138" s="34" t="str">
        <x:v>Neden Uyuyoruz</x:v>
      </x:c>
      <x:c r="F138" s="34" t="str">
        <x:v>Matthew Walker</x:v>
      </x:c>
      <x:c r="G138" s="34" t="str">
        <x:v>2017</x:v>
      </x:c>
      <x:c r="H138" s="37" t="str">
        <x:v>Uyku ve beyin temizliği</x:v>
      </x:c>
      <x:c r="I138" s="37" t="str">
        <x:v>Walker, beynin uyku sırasında zararlı atıkları temizlediğini ve bu sürecin Alzheimer başta olmak üzere pek çok hastalıkla bağlantılı olduğunu anlatıyor.</x:v>
      </x:c>
      <x:c r="J138" s="37" t="str">
        <x:v>Matthew Walker'ın en çarpıcı bulgularından biri şu: Uyurken beyniniz temizleniyor.
Araştırmacılar 2013'te glia hücrelerinin uyku sırasında aktive olduğunu keşfetti. Bu hücreler beyni daraltan, nöronlar arasındaki aralıkları genişleten bir sistem oluşturuyor.
Ve bu genişlemiş alanlara serebrospinal sıvı akıyor. Ve bu sıvı beynin atıklarını — özellikle beta-amiloid plaklarını — temizliyor.
##Beta-amiloid Alzheimer'ın temel belirteçlerinden biri.##
Walker şöyle diyor: Beyin gündüz çalışırken bu çöpleri biriktiriyor. Gece uyurken temizliyor. Yeterince uyumayanların beyni bu temizlemeyi tamamlayamıyor.
Bu tek başına uykunun neden kritik olduğunu açıklıyor.
Ama Walker daha da ileri gidiyor: Kötü uyku kalp hastalığı, diyabet, obezite, depresyon ve çeşitli kanser türleriyle de ilişkili. Ve bu ilişkiler korelasyon değil — mekanizma açısından da anlaşılıyor.
Uyku lüks değil. Biyolojik bir zorunluluk.
$$Uyku beyni kapatmaz — en kritik bakım işlemlerini o sırada gerçekleştirir.$$
&amp;&amp;Geçen hafta ortalama kaç saat uyudun? Ve bu uyku kalitesi nasıldı?&amp;&amp;</x:v>
      </x:c>
      <x:c r="K138" s="37" t="str"/>
      <x:c r="L138" s="37" t="str"/>
      <x:c r="M138" s="37" t="str"/>
      <x:c r="N138" s="37" t="str"/>
      <x:c r="O138" s="37" t="str"/>
    </x:row>
    <x:row r="139" ht="20" customHeight="1">
      <x:c r="A139" s="33" t="n">
        <x:v>1196</x:v>
      </x:c>
      <x:c r="B139" s="34" t="str">
        <x:v>1</x:v>
      </x:c>
      <x:c r="C139" s="34" t="str">
        <x:v>Sağlık</x:v>
      </x:c>
      <x:c r="D139" s="34" t="str">
        <x:v>Sağlık</x:v>
      </x:c>
      <x:c r="E139" s="34" t="str">
        <x:v>Neden Uyuyoruz</x:v>
      </x:c>
      <x:c r="F139" s="34" t="str">
        <x:v>Matthew Walker</x:v>
      </x:c>
      <x:c r="G139" s="34" t="str">
        <x:v>2017</x:v>
      </x:c>
      <x:c r="H139" s="37" t="str">
        <x:v>Roger Federer'in 12 saati</x:v>
      </x:c>
      <x:c r="I139" s="37" t="str">
        <x:v>Federer ve LeBron James gibi elit sporcuların gece 12 saat uyuması, uykunun performansın en güçlü ve en ucuz dopingi olduğunu kanıtlar.</x:v>
      </x:c>
      <x:c r="J139" s="37" t="str">
        <x:v>Elite sporcuların uyku alışkanlıklarını araştırdığınızda şaşırtıcı bir tablo çıkıyor.
Roger Federer: 11-12 saat.
LeBron James: 12 saat.
Usain Bolt: 8-10 saat artı şekerleme.
Venus Williams: 8-9 saat.
##Matthew Walker bu örüntüyü şöyle açıklıyor: Elit sporcular tesadüfen değil — bilinçli olarak uyku yönetiyor.##
Çünkü uyku performansın her boyutunu etkiliyor: Reaksiyon süresi, karar verme hızı, kasların toparlanması, yaralanma riski, motivasyon, yoğunlaşma.
Walker bir çalışmayı aktarıyor: Stanford Üniversitesi basketbol takımı oyuncuları uyku sürelerini 6 saatten 10 saate çıkardı. Serbest atış başarısı yüzde dokuz arttı. Sprint süreleri düştü. Yorgunluk azaldı.
Hiçbir takviye, hiçbir antrenman bu kadar geniş çaplı bir iyileşme sağlayamazdı.
Walker şunu söylüyor: Uyku, en güçlü, en ucuz ve en doğal performans artırıcısıdır. Ama modern dünya bunu zayıflık olarak etiketlemiş.
$$Uyku vermek değil — almak; en büyük performans yatırımıdır.$$
&amp;&amp;Şu an uyku miktarın ve kaliteni optimize etmek için değiştirebileceğin bir alışkanlık nedir?&amp;&amp;</x:v>
      </x:c>
      <x:c r="K139" s="37" t="str"/>
      <x:c r="L139" s="37" t="str"/>
      <x:c r="M139" s="37" t="str"/>
      <x:c r="N139" s="37" t="str"/>
      <x:c r="O139" s="37" t="str"/>
    </x:row>
    <x:row r="140" ht="20" customHeight="1">
      <x:c r="A140" s="33" t="n">
        <x:v>1197</x:v>
      </x:c>
      <x:c r="B140" s="34" t="str">
        <x:v>1</x:v>
      </x:c>
      <x:c r="C140" s="34" t="str">
        <x:v>Sağlık</x:v>
      </x:c>
      <x:c r="D140" s="34" t="str">
        <x:v>Sağlık</x:v>
      </x:c>
      <x:c r="E140" s="34" t="str">
        <x:v>Bedenin Sesi</x:v>
      </x:c>
      <x:c r="F140" s="34" t="str">
        <x:v>Bessel van der Kolk</x:v>
      </x:c>
      <x:c r="G140" s="34" t="str">
        <x:v>2014</x:v>
      </x:c>
      <x:c r="H140" s="37" t="str">
        <x:v>Vietnam gazilerinin dondurulmuş anları</x:v>
      </x:c>
      <x:c r="I140" s="37" t="str">
        <x:v>Savaş travması yaşayan gaziler yıllarca sonra da patlama sesi duyduklarında bedenlerinin sanki gerçek tehlikedeymiş gibi tepki verdiğini anlattı.</x:v>
      </x:c>
      <x:c r="J140" s="37" t="str">
        <x:v>Bessel van der Kolk onlarca yıl travma hastalarıyla çalıştı.
Vietnam gazileri en zorlu vakalardan biriydi. Savaş bitmişti. Onlar evdeydiler. Güvendeler.
Ama bir kapı çarpıldığında kapandılar. Bir araba egzoz sesi duyduklarında yere atladılar. Kabuslarda tekrar savaş alanındaydılar.
##Van der Kolk şunu keşfetti: Travma anılar olarak değil, bedensel tepkiler olarak depolanıyor.##
Beyin tehlikeli bir anı "geçti, bitti" olarak işaretleyemiyor. Bunun yerine, o anın bedensel izleri kalıyor. Ve benzer bir uyaran — ses, koku, dokunuş — o izleri aktive ediyor.
Kişi zihinsel olarak "güvende" olduğunu biliyor. Ama bedeni bilmiyor.
Bu bulgu travma tedavisini temelden değiştirdi. Konuşma terapisi tek başına yeterli değil — çünkü travma bedensel. Bedenle çalışmak gerekiyor: nefes, hareket, dokunuş, yoga.
Van der Kolk şunu söylüyor: "Beden hesabı tutuyor. Ve o hesap bir gün ödeniyor."
$$Travma zihinsel değil bedenseldir — iyileşme de bedenle başlar.$$
&amp;&amp;Bedeninde taşıdığını hissettiğin ama henüz ifade edemediğin bir şey var mı?&amp;&amp;</x:v>
      </x:c>
      <x:c r="K140" s="37" t="str"/>
      <x:c r="L140" s="37" t="str"/>
      <x:c r="M140" s="37" t="str"/>
      <x:c r="N140" s="37" t="str"/>
      <x:c r="O140" s="37" t="str"/>
    </x:row>
    <x:row r="141" ht="20" customHeight="1">
      <x:c r="A141" s="33" t="n">
        <x:v>1198</x:v>
      </x:c>
      <x:c r="B141" s="34" t="str">
        <x:v>1</x:v>
      </x:c>
      <x:c r="C141" s="34" t="str">
        <x:v>Sağlık</x:v>
      </x:c>
      <x:c r="D141" s="34" t="str">
        <x:v>Sağlık</x:v>
      </x:c>
      <x:c r="E141" s="34" t="str">
        <x:v>Bedenin Sesi</x:v>
      </x:c>
      <x:c r="F141" s="34" t="str">
        <x:v>Bessel van der Kolk</x:v>
      </x:c>
      <x:c r="G141" s="34" t="str">
        <x:v>2014</x:v>
      </x:c>
      <x:c r="H141" s="37" t="str">
        <x:v>Güvenli beden ve iyileşme</x:v>
      </x:c>
      <x:c r="I141" s="37" t="str">
        <x:v>Van der Kolk, travma iyileşmesinin konuşmaktan değil güvenli bir beden deneyimi yaratmaktan geçtiğini yoga ve EMDR gibi beden temelli yaklaşımlarla kanıtladı.</x:v>
      </x:c>
      <x:c r="J141" s="37" t="str">
        <x:v>Bessel van der Kolk bir TSSB hastasıyla standart konuşma terapisi yürütüyordu.
Hasta her seans aynı anıyı anlatıyordu. Detaylar değişmiyordu. Duygu değişmiyordu. Terapi ilerlemiyor gibiydi.
Van der Kolk farklı bir şey denedi: Beden temelli yaklaşım.
Nefes egzersizleri. Dikkatli hareket. Yoga.
##Birkaç ay sonra hasta ilk kez şunu söyledi: "Bedenimi geri aldım."##
Van der Kolk bu dönüşümü şöyle açıklıyor: Travma bedensel hafızaya kodlandığında, sözel yaklaşım yüzeyde kalıyor. Asıl çalışma bedenin güvende hissetmeyi yeniden öğrenmesini sağlamak.
Bu neden önemli? Çünkü beyin sürekli tehdidi izliyor. Ve eğer beden tehlike sinyali göndermeye devam ediyorsa, zihin de savaş modunda kalıyor.
Ama beden güvenli hissedince — nefes düzeliyor, kaslar gevşiyor — beyin de "tehlike yok" sinyalini alabiliyor.
İyileşme bir hikayeyi yeniden anlatmaktan değil — bedenin yeni bir deneyim yaşamasından geçiyor.
$$Ağızdan çıkan kelimeler bazen değiştiremez — ama bedenin yeni bir deneyim yaşaması değiştirebilir.$$
&amp;&amp;Stresliyken bedenin nasıl tepki veriyor? O bedensel tepkiyi fark ettiğinde ne yapıyorsun?&amp;&amp;</x:v>
      </x:c>
      <x:c r="K141" s="37" t="str"/>
      <x:c r="L141" s="37" t="str"/>
      <x:c r="M141" s="37" t="str"/>
      <x:c r="N141" s="37" t="str"/>
      <x:c r="O141" s="37" t="str"/>
    </x:row>
    <x:row r="142" ht="20" customHeight="1">
      <x:c r="A142" s="33" t="n">
        <x:v>1199</x:v>
      </x:c>
      <x:c r="B142" s="34" t="str">
        <x:v>1</x:v>
      </x:c>
      <x:c r="C142" s="34" t="str">
        <x:v>Verimlilik</x:v>
      </x:c>
      <x:c r="D142" s="34" t="str">
        <x:v>Verimlilik</x:v>
      </x:c>
      <x:c r="E142" s="34" t="str">
        <x:v>Saatlerin Efendisi</x:v>
      </x:c>
      <x:c r="F142" s="34" t="str">
        <x:v>Daniel Pink</x:v>
      </x:c>
      <x:c r="G142" s="34" t="str">
        <x:v>2018</x:v>
      </x:c>
      <x:c r="H142" s="37" t="str">
        <x:v>Hemingway'in sabah ritmi</x:v>
      </x:c>
      <x:c r="I142" s="37" t="str">
        <x:v>Hemingway her sabah gün doğumuyla yazmaya başlar öğleden sonra yayardı; araştırmalar sabahın analitik öğleden sonranın yaratıcı düşünce için ideal olduğunu kanıtlar.</x:v>
      </x:c>
      <x:c r="J142" s="37" t="str">
        <x:v>Ernest Hemingway her sabah gün doğar doğmaz masasına oturdu.
Kimseyle konuşmazdı. Telefon yoktu. Sabah kahvesini içer, yazmaya başlardı.
Öğleden sonra farklıydı: Balık tutmak, içmek, sosyal olmak.
Yazarlık arkadaşı F. Scott Fitzgerald tam tersini yapardı: Geç kalkar, öğleden sonra çalışırdı.
##Daniel Pink onlarca araştırmayı inceledi ve şunu buldu: Sabah analizdir, öğleden sonra yaratıcılıktır, akşam bağlantıdır.##
Ama bu herkes için aynı değil. Sabah insanları ve gece kuşları farklı piyklere sahip.
Pink'in mesajı şu: Kendinizin ne zaman en iyi olduğunu bilin. Ve en önemli işlerinizi o zamana yerleştirin.
Hemingway sabahçıydı ve analitik iş olan yazmayı sabaha koyuyordu. Fitzgerald akşamcıydı — ve ona göre en iyi zamanda çalışıyordu.
İkisi de harikaydı. Ama farklı saatlerde.
$$Doğru iş, doğru zamanda yapıldığında iki kat değerlenir.$$
&amp;&amp;En iyi düşündüğün, en yaratıcı olduğun saat hangisi? O saatte ne yapıyorsun?&amp;&amp;</x:v>
      </x:c>
      <x:c r="K142" s="37" t="str"/>
      <x:c r="L142" s="37" t="str"/>
      <x:c r="M142" s="37" t="str"/>
      <x:c r="N142" s="37" t="str"/>
      <x:c r="O142" s="37" t="str"/>
    </x:row>
    <x:row r="143" ht="20" customHeight="1">
      <x:c r="A143" s="33" t="n">
        <x:v>1200</x:v>
      </x:c>
      <x:c r="B143" s="34" t="str">
        <x:v>1</x:v>
      </x:c>
      <x:c r="C143" s="34" t="str">
        <x:v>Verimlilik</x:v>
      </x:c>
      <x:c r="D143" s="34" t="str">
        <x:v>Verimlilik</x:v>
      </x:c>
      <x:c r="E143" s="34" t="str">
        <x:v>Saatlerin Efendisi</x:v>
      </x:c>
      <x:c r="F143" s="34" t="str">
        <x:v>Daniel Pink</x:v>
      </x:c>
      <x:c r="G143" s="34" t="str">
        <x:v>2018</x:v>
      </x:c>
      <x:c r="H143" s="37" t="str">
        <x:v>Öğle sarhoşluğu ve dinlenme bilimi</x:v>
      </x:c>
      <x:c r="I143" s="37" t="str">
        <x:v>Pink, tüm insanların öğleden sonra performans düşüşü yaşadığını ve kısa şekerlemenin bunu dramatik biçimde tersine çevirdiğini anlatıyor.</x:v>
      </x:c>
      <x:c r="J143" s="37" t="str">
        <x:v>Daniel Pink'in araştırması beklenmedik bir sonuç ortaya koydu.
Tüm insanlar — sabahçılar, akşamcılar, farklı zaman dilimlerinden insanlar — öğleden sonra bir performans düşüşü yaşıyor.
Bu düşüşün tam zamanı değişiyor. Ama düşüş evrensel.
##Ve bu dönemde tıbbi hatalar, trafik kazaları ve iş hataları dramatik biçimde artıyor.##
Pink buna "öğle sarhoşluğu" diyor. Ama çözüm hazır: Kısa şekerleme.
NASA çalışmaları 26 dakikalık şekerlemanın pilot performansını yüzde otuz dört artırdığını gösteriyor. Google, Nike ve diğer şirketler "nap pods" — şekerleme kapsülleri — kurdu.
Pink'in önerisi: 10-20 dakika şekerleme. Daha uzun olursa derin uykuya dalınıyor ve uyku sersemliği oluyor.
İspanya'nın "siesta" geleneği rastgele değildi. Binlerce yıllık gözlemsel bilgelikti.
Modern dünya bunu zayıflık olarak etiketledi. Ama bilim tersini söylüyor.
$$Beyin yenilenmeye ihtiyaç duyar — bunu vermek zayıflık değil, stratejidir.$$
&amp;&amp;Öğleden sonraları performansın nasıl? Günün bu bölümünü daha iyi değerlendirmek için ne yapabilirsin?&amp;&amp;</x:v>
      </x:c>
      <x:c r="K143" s="37" t="str"/>
      <x:c r="L143" s="37" t="str"/>
      <x:c r="M143" s="37" t="str"/>
      <x:c r="N143" s="37" t="str"/>
      <x:c r="O143" s="37" t="str"/>
    </x:row>
    <x:row r="144" ht="20" customHeight="1">
      <x:c r="A144" s="33" t="n">
        <x:v>1201</x:v>
      </x:c>
      <x:c r="B144" s="34" t="str">
        <x:v>1</x:v>
      </x:c>
      <x:c r="C144" s="34" t="str">
        <x:v>Verimlilik</x:v>
      </x:c>
      <x:c r="D144" s="34" t="str">
        <x:v>Girişimcilik</x:v>
      </x:c>
      <x:c r="E144" s="34" t="str">
        <x:v>Sıfır'dan Bir'e</x:v>
      </x:c>
      <x:c r="F144" s="34" t="str">
        <x:v>Peter Thiel</x:v>
      </x:c>
      <x:c r="G144" s="34" t="str">
        <x:v>2014</x:v>
      </x:c>
      <x:c r="H144" s="37" t="str">
        <x:v>Monopol mu rekabet mi?</x:v>
      </x:c>
      <x:c r="I144" s="37" t="str">
        <x:v>Thiel, tüm iş dünyasının rekabetten kaçınıp monopol yaratmaya çalışması gerektiğini ve gerçek değerin sıfırdan bir yaratan şirketlerde olduğunu savunuyor.</x:v>
      </x:c>
      <x:c r="J144" s="37" t="str">
        <x:v>Peter Thiel bir soru soruyor: Hangi önemli gerçeği çok az insan seninle paylaşıyor?
Bu soruyu sormak hem zor hem de aydınlatıcı. Çünkü gerçek inovasyon her zaman çoğunluğun karşısında duruyor.
Thiel'in en radikal tezi şu: Rekabetten kaçın. Monopol ol.
##"Rekabetçi piyasalar kazananı yok eder. Monopol ise sürdürülebilir kâr yaratır."##
Google'ı düşün. Arama motorları arasında şiddetli bir rekabet var mıydı? Hayır. Google neredeyse tekeli aldı. Ve o tekelden muazzam bir kâr yarattı.
Thiel şunu soruyor: Eğer piyasanın yüzde birini alıyorsanız, bu zaten sorun. Çünkü o piyasada rekabet o kadar yoğun ki kim kâr edemez.
Ama piyasanın yüzde seksenini alıyorsanız, bu strateji doğru.
"Sıfırdan Bir" bu yüzden. Sıfırdan bire gitmek — yeni bir şey yaratmak, rakiplerden daha iyi olmak değil, tamamen yeni bir kategori oluşturmak.
$$Rekabetle başa çıkmak değil, rekabeti anlamsız kılmak — asıl strateji bu.$$
&amp;&amp;Yaptığın işte gerçek rakibin kim? Ve onlardan biraz daha iyi olmak mı yoksa tamamen farklı bir şey yapmak mı hedefliyorsun?&amp;&amp;</x:v>
      </x:c>
      <x:c r="K144" s="37" t="str"/>
      <x:c r="L144" s="37" t="str"/>
      <x:c r="M144" s="37" t="str"/>
      <x:c r="N144" s="37" t="str"/>
      <x:c r="O144" s="37" t="str"/>
    </x:row>
    <x:row r="145" ht="20" customHeight="1">
      <x:c r="A145" s="33" t="n">
        <x:v>1202</x:v>
      </x:c>
      <x:c r="B145" s="34" t="str">
        <x:v>1</x:v>
      </x:c>
      <x:c r="C145" s="34" t="str">
        <x:v>Verimlilik</x:v>
      </x:c>
      <x:c r="D145" s="34" t="str">
        <x:v>Girişimcilik</x:v>
      </x:c>
      <x:c r="E145" s="34" t="str">
        <x:v>Sıfır'dan Bir'e</x:v>
      </x:c>
      <x:c r="F145" s="34" t="str">
        <x:v>Peter Thiel</x:v>
      </x:c>
      <x:c r="G145" s="34" t="str">
        <x:v>2014</x:v>
      </x:c>
      <x:c r="H145" s="37" t="str">
        <x:v>Gizli sırlar ve kontrarian düşünce</x:v>
      </x:c>
      <x:c r="I145" s="37" t="str">
        <x:v>Thiel, büyük fırsatların herkesin bildiği yerde değil kimsenin henüz görmediği 'gizli sırlarda' yattığını ve bunu bulmanın yolunu anlatıyor.</x:v>
      </x:c>
      <x:c r="J145" s="37" t="str">
        <x:v>Peter Thiel her girişimciye şunu soruyor: "Başkalarının yanlış olduğunu düşündüğün ama gerçekte doğru olan nedir?"
Bu "kontrarian" soru. Çoğunluğun aksine bir görüş.
Thiel şöyle açıklıyor: Büyük fırsatlar herkesle hemfikir olduğunuz yerde değil. Orası zaten keşfedilmiş ve doymuş.
Büyük fırsatlar "gizli sırlarda" — herkesin yanlış sandığı ama aslında doğru olan fikirlerde.
##PayPal kurulduğunda herkes "internet ödeme sistemi asla güvenli olmaz" diyordu. Thiel ve ekibi aksini düşündü. Kazandı.##
Thiel şunu soruyor: Eğer emin olmadığınız ama güçlü biçimde inandığınız bir şey varsa, neden bunu yapmanız gerektiğini kim anlıyor?
Tek bir iyi cevap: Siz bir şey biliyorsunuz ki başkaları bilmiyor. Bu bir araştırma, bir deneyim, bir gözlem.
Bu bilgi — bu gizli sır — girişimin temelidir.
$$En büyük fırsatlar, çoğunluğun yanlış gördüğü yerde saklanır.$$
&amp;&amp;Şu an "herkes yanlış, ama ben şunu biliyorum" dediğin bir alan var mı? O "gizli sırrın" ne?&amp;&amp;</x:v>
      </x:c>
      <x:c r="K145" s="37" t="str"/>
      <x:c r="L145" s="37" t="str"/>
      <x:c r="M145" s="37" t="str"/>
      <x:c r="N145" s="37" t="str"/>
      <x:c r="O145" s="37" t="str"/>
    </x:row>
    <x:row r="146" ht="20" customHeight="1">
      <x:c r="A146" s="33" t="n">
        <x:v>1203</x:v>
      </x:c>
      <x:c r="B146" s="34" t="str">
        <x:v>1</x:v>
      </x:c>
      <x:c r="C146" s="34" t="str">
        <x:v>Liderlik</x:v>
      </x:c>
      <x:c r="D146" s="34" t="str">
        <x:v>Liderlik</x:v>
      </x:c>
      <x:c r="E146" s="34" t="str">
        <x:v>Karanlığın Ötesi</x:v>
      </x:c>
      <x:c r="F146" s="34" t="str">
        <x:v>Brené Brown</x:v>
      </x:c>
      <x:c r="G146" s="34" t="str">
        <x:v>2018</x:v>
      </x:c>
      <x:c r="H146" s="37" t="str">
        <x:v>Güvenlik alanından çıkmak</x:v>
      </x:c>
      <x:c r="I146" s="37" t="str">
        <x:v>Brown, cesur liderliğin önündeki en büyük engelin güvenlik alanında kalmak ve belirsizlikten kaçmak olduğunu araştırmalarla gösteriyor.</x:v>
      </x:c>
      <x:c r="J146" s="37" t="str">
        <x:v>Brené Brown liderlerle görüşmeler yaptı. Ve tekrar eden bir temayı fark etti.
En büyük pişmanlıkları neydi?
"Daha cesur olabilirdim." "O zor konuşmayı yapabilirdim." "O riski alabilirdim."
##Brown bunu şöyle özetliyor: "Cesur olmamayı seçtiklerinde, en derin acıyı hissettiler."##
Güvenlik alanında kalmak mantıklı hissettiriyor. Risk yok, eleştiri yok, başarısızlık yok.
Ama Brown'ın araştırması şunu gösteriyor: Uzun vadede güvenlik alanında kalmak çok daha büyük bir ağrı yaratıyor. Pişmanlık, merak, "ya yapsaydım?"
Cesur liderlik belirsizliği kucaklamayı gerektiriyor. "Cevabı bilmiyorum ama devam ediyorum." "Başarısız olabilirim ama deniyorum."
Brown'ın tanımı: Liderlik, insanları potansiyeline doğru yürürken cesaretlendirmektir. Ve bunu yapabilmek için önce kendinizin cesaretli olması gerekiyor.
$$Pişmanlığın bedeli, riski almanın bedelinden çok daha ağırdır.$$
&amp;&amp;Şu an güvenlik alanında beklediğin, ama cesaretini toplayıp yapabildiğin bir şey var mı?&amp;&amp;</x:v>
      </x:c>
      <x:c r="K146" s="37" t="str"/>
      <x:c r="L146" s="37" t="str"/>
      <x:c r="M146" s="37" t="str"/>
      <x:c r="N146" s="37" t="str"/>
      <x:c r="O146" s="37" t="str"/>
    </x:row>
    <x:row r="147" ht="20" customHeight="1">
      <x:c r="A147" s="33" t="n">
        <x:v>1204</x:v>
      </x:c>
      <x:c r="B147" s="34" t="str">
        <x:v>1</x:v>
      </x:c>
      <x:c r="C147" s="34" t="str">
        <x:v>Liderlik</x:v>
      </x:c>
      <x:c r="D147" s="34" t="str">
        <x:v>Liderlik</x:v>
      </x:c>
      <x:c r="E147" s="34" t="str">
        <x:v>Karanlığın Ötesi</x:v>
      </x:c>
      <x:c r="F147" s="34" t="str">
        <x:v>Brené Brown</x:v>
      </x:c>
      <x:c r="G147" s="34" t="str">
        <x:v>2018</x:v>
      </x:c>
      <x:c r="H147" s="37" t="str">
        <x:v>Zırh ve liderlik</x:v>
      </x:c>
      <x:c r="I147" s="37" t="str">
        <x:v>Brown, liderlerin savunmaya geçmek yerine savunmasızlığı kabul etmesinin hem onları hem ekiplerini nasıl güçlendirdiğini araştırmalarla gösteriyor.</x:v>
      </x:c>
      <x:c r="J147" s="37" t="str">
        <x:v>Brené Brown binlerce liderle görüştü. Ve onlara şunu sordu: "Liderliğin en zor kısmı ne?"
Beklenen cevaplar: Zor kararlar, kaynak sıkıntısı, rekabet.
##Gerçek cevap: "Zayıf görünmekten korkmak."##
Liderler zırh kuşanıyor. "Her şeyi biliyorum", "her şeyi kontrol altında tutuyorum", "asla şüphe etmiyorum" imajı.
Ama bu zırh hem onları hem ekiplerini mahsur ediyor.
Çünkü ekip liderin zırhını görüyor. Ve "bu konuşmayı yapamam, hata yapamam, sorumu soramam" diyor.
Brown'ın araştırması şunu gösteriyor: En bağlı ekipler, liderlerinin gerçek olduğu — yani savunmasız olabildiği — gruplarda ortaya çıkıyor.
"Bilmiyorum." "Yanılmış olabilirim." "Bu zor, birlikte çözelim." Bu cümleler liderliği zayıflatmıyor — güçlendiriyor.
Çünkü insanlar mükemmeliyete değil, özgünlüğe bağlanıyor.
$$Zırh sizi korur ama aynı zamanda bağlantıyı engeller.$$
&amp;&amp;Liderlik rolünde ya da ilişkilerinde hangi zırhları taşıyorsun? O zırhı bir anlığına indirsen ne olurdu?&amp;&amp;</x:v>
      </x:c>
      <x:c r="K147" s="37" t="str"/>
      <x:c r="L147" s="37" t="str"/>
      <x:c r="M147" s="37" t="str"/>
      <x:c r="N147" s="37" t="str"/>
      <x:c r="O147" s="37" t="str"/>
    </x:row>
    <x:row r="148" ht="20" customHeight="1">
      <x:c r="A148" s="33" t="n">
        <x:v>1205</x:v>
      </x:c>
      <x:c r="B148" s="34" t="str">
        <x:v>1</x:v>
      </x:c>
      <x:c r="C148" s="34" t="str">
        <x:v>Büyüme</x:v>
      </x:c>
      <x:c r="D148" s="34" t="str">
        <x:v>İlham</x:v>
      </x:c>
      <x:c r="E148" s="34" t="str">
        <x:v>Kaybedilen Cennet</x:v>
      </x:c>
      <x:c r="F148" s="34" t="str">
        <x:v>Paulo Coelho</x:v>
      </x:c>
      <x:c r="G148" s="34" t="str">
        <x:v>1988</x:v>
      </x:c>
      <x:c r="H148" s="37" t="str">
        <x:v>Hazinenin geri dönüşü</x:v>
      </x:c>
      <x:c r="I148" s="37" t="str">
        <x:v>Santiago, rüyasında gördüğü hazineyi aramak için binlerce kilometre yol gitti ve sonunda hazinenin başladığı yerde olduğunu öğrendi.</x:v>
      </x:c>
      <x:c r="J148" s="37" t="str">
        <x:v>Santiago adlı genç bir çoban tekrarlayan bir rüya görüyordu.
Mısır'daki piramitlerin yanında bir hazine var.
Her şeyi bıraktı. Koyunlarını sattı. Binlerce kilometre yol kat etti. Çölleri aştı. Tehlikelerle yüzleşti. Çok şey kaybetti.
Piramitlerin önüne geldi ve kazmaya başladı.
Bir şey yok.
Sonra orada tanıştığı biri şöyle dedi: "Ben de tekrarlayan bir rüya gördüm. İspanya'da küçük bir kilisede, incir ağacının dibinde bir hazine var."
##Santiago anladı. Hazine, başladığı yerdeydı. Yolculuk olmadan göremeyeceği bir hazine.##
Paulo Coelho bu hikayeyi evrensel bir gerçeğe çeviriyor: Aradığımız şeyler çoğu zaman bizden uzakta değil. Ama onu görebilmek için o yolculuğu yapmış olmak gerekiyor.
Yolculuk boşa gitmiyor. Yolculuk sizi dönüştürüyor. Ve o dönüşüm olmadan, evinizin bahçesindeki hazineyi görsek bile tanımayız.
$$Aradığın şey senden uzakta değil — ama onu görebilmek için yolculuğu tamamlamak gerekiyor.$$
&amp;&amp;Uzun süredir peşinde olduğun bir şeyi düşün. Bu yolculuk seni nasıl dönüştürdü?&amp;&amp;</x:v>
      </x:c>
      <x:c r="K148" s="37" t="str"/>
      <x:c r="L148" s="37" t="str"/>
      <x:c r="M148" s="37" t="str"/>
      <x:c r="N148" s="37" t="str"/>
      <x:c r="O148" s="37" t="str"/>
    </x:row>
    <x:row r="149" ht="20" customHeight="1">
      <x:c r="A149" s="33" t="n">
        <x:v>1206</x:v>
      </x:c>
      <x:c r="B149" s="34" t="str">
        <x:v>1</x:v>
      </x:c>
      <x:c r="C149" s="34" t="str">
        <x:v>Büyüme</x:v>
      </x:c>
      <x:c r="D149" s="34" t="str">
        <x:v>İlham</x:v>
      </x:c>
      <x:c r="E149" s="34" t="str">
        <x:v>Kaybedilen Cennet</x:v>
      </x:c>
      <x:c r="F149" s="34" t="str">
        <x:v>Paulo Coelho</x:v>
      </x:c>
      <x:c r="G149" s="34" t="str">
        <x:v>1988</x:v>
      </x:c>
      <x:c r="H149" s="37" t="str">
        <x:v>Kişisel efsane ve kader</x:v>
      </x:c>
      <x:c r="I149" s="37" t="str">
        <x:v>Coelho, her insanın hayatında gerçekleştirmesi gereken bir 'kişisel efsane' olduğunu ve evrenin bu efsaneyi gerçekleştirmeye çalışanlara yardım ettiğini anlatıyor.</x:v>
      </x:c>
      <x:c r="J149" s="37" t="str">
        <x:v>Coelho'nun kitabında önemli bir karşılaşma var.
Santiago bir simyacıyla yolculuk ediyor. Simyacı ona soruyor: "Neden vazgeçmek istiyorsun?"
Santiago cevaplıyor: "Çünkü çok zor."
Simyacı şöyle diyor:
##"Eğer gerçekten bir şey istersen, evren onu gerçekleştirmeni sağlamak için komploya katılır."##
Bu romantik bir fikir gibi görünüyor. Ama Coelho'nun kastettiği daha somut.
Bir şeyi gerçekten istediğinde — yani tüm varlığınla, bağlılıkla — farklı görmeye başlıyorsun. Fırsatları fark ediyorsun. Doğru insanları çekiyorsun. Doğru kararlar veriyorsun.
Buna "evrenin komploya katılması" diyebilirsiniz. Ya da "dikkat ve bağlılık, fırsatları görünür kılıyor" diyebilirsiniz.
Her iki açıklama da aynı pratiğe işaret ediyor: Gerçekten istediğinizi netleştirin. Bağlılıkla devam edin. Fırsatlara açık olun.
$$Kalp ne istediğini biliyor — ona kulak vermek ise bir cesaret işidir.$$
&amp;&amp;"Kişisel efsanen" nedir — hayatında gerçekleştirmek istediğin o derin şey? Ona ne kadar yakınsın?&amp;&amp;</x:v>
      </x:c>
      <x:c r="K149" s="37" t="str"/>
      <x:c r="L149" s="37" t="str"/>
      <x:c r="M149" s="37" t="str"/>
      <x:c r="N149" s="37" t="str"/>
      <x:c r="O149" s="37" t="str"/>
    </x:row>
    <x:row r="150" ht="20" customHeight="1">
      <x:c r="A150" s="33" t="n">
        <x:v>1207</x:v>
      </x:c>
      <x:c r="B150" s="34" t="str">
        <x:v>1</x:v>
      </x:c>
      <x:c r="C150" s="34" t="str">
        <x:v>Felsefe</x:v>
      </x:c>
      <x:c r="D150" s="34" t="str">
        <x:v>Felsefe</x:v>
      </x:c>
      <x:c r="E150" s="34" t="str">
        <x:v>İnsan Nasıl Düşünür</x:v>
      </x:c>
      <x:c r="F150" s="34" t="str">
        <x:v>James Allen</x:v>
      </x:c>
      <x:c r="G150" s="34" t="str">
        <x:v>1903</x:v>
      </x:c>
      <x:c r="H150" s="37" t="str">
        <x:v>Bahçıvan ve zihin</x:v>
      </x:c>
      <x:c r="I150" s="37" t="str">
        <x:v>Allen, bir bahçıvanın çiçek mi diken ot mu ekeceğini seçmesi gibi zihnimize hangi düşünceleri ektiğimizin hayatımızın hasadını belirlediğini anlatıyor.</x:v>
      </x:c>
      <x:c r="J150" s="37" t="str">
        <x:v>James Allen çok basit ama derin bir metafor kullanıyor.
Bir bahçıvan var. Bahçesine ne ekerse, onu biçer. Çiçek ekerse çiçek, diken ekerse diken.
Bahçıvan toprağı kontrol edemiyor. Hava şartlarını kontrol edemiyor. Ama ne ekeceğini kontrol edebiliyor.
##Allen bu metaforu zihne uyguluyor: "Zihin bir bahçedir. İhmal edilirse vahşi otlar büyür. Bilinçli olarak ekilirse, istediğin meyveleri verir."##
Allen 1903'te bu kitabı yazdı. Psikoloji bilimi henüz emekleme aşamasındaydı. Ama Allen pratik bir gerçeği sezdi: Düşünceler sonuçları şekillendiriyor.
"Ben başarısız olacağım" düşüncesi başarısızlığı kaçınılmaz kılmaz. Ama bu düşünce, fırsatları kaçıracak kararlar almanıza, riski almaktan kaçınmanıza yol açabilir. Ve bu kararlar başarısızlığa götürebilir.
Düşünce kader değil. Ama yön belirliyor.
$$Zihninize ne ektiğiniz, hayatınızın hasadını belirler.$$
&amp;&amp;Zihninde en sık tekrarlanan düşünce kalıpları neler? Bu düşünceler seni büyütüyor mu, yoksa küçültüyor mu?&amp;&amp;</x:v>
      </x:c>
      <x:c r="K150" s="37" t="str"/>
      <x:c r="L150" s="37" t="str"/>
      <x:c r="M150" s="37" t="str"/>
      <x:c r="N150" s="37" t="str"/>
      <x:c r="O150" s="37" t="str"/>
    </x:row>
    <x:row r="151" ht="20" customHeight="1">
      <x:c r="A151" s="33" t="n">
        <x:v>1208</x:v>
      </x:c>
      <x:c r="B151" s="34" t="str">
        <x:v>1</x:v>
      </x:c>
      <x:c r="C151" s="34" t="str">
        <x:v>Felsefe</x:v>
      </x:c>
      <x:c r="D151" s="34" t="str">
        <x:v>Felsefe</x:v>
      </x:c>
      <x:c r="E151" s="34" t="str">
        <x:v>İnsan Nasıl Düşünür</x:v>
      </x:c>
      <x:c r="F151" s="34" t="str">
        <x:v>James Allen</x:v>
      </x:c>
      <x:c r="G151" s="34" t="str">
        <x:v>1903</x:v>
      </x:c>
      <x:c r="H151" s="37" t="str">
        <x:v>Karakter ve koşullar</x:v>
      </x:c>
      <x:c r="I151" s="37" t="str">
        <x:v>Allen, dış koşulların insanı şekillendirmediğini, aksine insanın iç dünyasının dış koşulları yarattığını iddia ediyor.</x:v>
      </x:c>
      <x:c r="J151" s="37" t="str">
        <x:v>James Allen radikal bir iddia ortaya atıyor.
Çoğumuz şöyle düşünürüz: Koşullar beni şekillendiriyor. İş kötü olduğu için mutsuzum. İlişkim kötü olduğu için üzgünüm.
Allen tersini söylüyor.
##"İnsanlar koşullarını seçmediklerini düşünür. Ama gerçekte koşullar, içsel durumun yansımasıdır."##
Bu kulağa sert gelebilir. Ve tamamen katılmak mümkün değil — koşullar gerçekten belirleyici olabiliyor.
Ama Allen'ın asıl noktası şu: Aynı koşullarda farklı insanlar farklı sonuçlar elde ediyor. Fark nerede?
İç dünyada. Tutumda. Düşünce kalıplarında.
İki kişi aynı işi kaybediyor. Biri "artık hiç iş bulamam" düşüncesiyle içe kapanıyor. Diğeri "yeni bir kapı açıldı" diye yeni fırsatlar araştırıyor. Sonuçları farklı.
Koşullar değişmedi. İç dünya değişti. Ve o iç dünya farklı koşullar yarattı.
$$İç dünyanı değiştirmeden dış dünyanı değiştirmek çok zordur.$$
&amp;&amp;Hayatında değiştirmek istediğin bir koşul var mı? O koşulun arkasındaki iç tutumun nedir?&amp;&amp;</x:v>
      </x:c>
      <x:c r="K151" s="37" t="str"/>
      <x:c r="L151" s="37" t="str"/>
      <x:c r="M151" s="37" t="str"/>
      <x:c r="N151" s="37" t="str"/>
      <x:c r="O151" s="37" t="str"/>
    </x:row>
    <x:row r="152" ht="20" customHeight="1">
      <x:c r="A152" s="33" t="n">
        <x:v>1209</x:v>
      </x:c>
      <x:c r="B152" s="34" t="str">
        <x:v>1</x:v>
      </x:c>
      <x:c r="C152" s="34" t="str">
        <x:v>Büyüme</x:v>
      </x:c>
      <x:c r="D152" s="34" t="str">
        <x:v>Motivasyon</x:v>
      </x:c>
      <x:c r="E152" s="34" t="str">
        <x:v>Can't Hurt Me</x:v>
      </x:c>
      <x:c r="F152" s="34" t="str">
        <x:v>David Goggins</x:v>
      </x:c>
      <x:c r="G152" s="34" t="str">
        <x:v>2018</x:v>
      </x:c>
      <x:c r="H152" s="37" t="str">
        <x:v>Hayatta kalma zihni</x:v>
      </x:c>
      <x:c r="I152" s="37" t="str">
        <x:v>Goggins, çocukluğunun en karanlık döneminde bile hayatta kalmayı seçtiğini ve bu 'hayatta kalma zihni'nin onun en büyük gücü olduğunu anlatıyor.</x:v>
      </x:c>
      <x:c r="J152" s="37" t="str">
        <x:v>David Goggins'in çocukluğu zordu.
Şiddet dolu bir ev. Irkçılık. Yoksulluk. Okulda zorbalık.
Pek çok çocuk bu koşullarda hayattan vazgeçer. Goggins vazgeçmedi.
Ama nasıl?
##"Her sabah kalktığımda kendime şunu söyledim: Bugün hayatta kalacağım. Sadece bugün."##
Bu basit bir karar gibi görünüyor. Ama Goggins için bu karar, her şeyin temelidir.
Zamanla bu "hayatta kalma zihni" değişti. "Hayatta kalacağım" önce "başaracağım"a, sonra "mükemmel olacağım"a dönüştü.
Navy SEAL oldu. Ultra maraton koşucusu oldu. Dünya rekoru kırdı.
Goggins'in mesajı şu: Kimse size güç vermez. Kendi içinizde bulursunuz. Ama bulmak için zorluğun içine girmeyi kabul etmek gerekiyor.
"Rahat" ile "güçlü" aynı anda var olamaz. Her rahat an, potansiyelin bir parçasını uyuttur.
$$Güç, rahat koşullarda değil — zorluğun tam ortasında inşa edilir.$$
&amp;&amp;Hayatında seni en çok güçlendiren zorluk hangisiydi? O zorluk sana ne öğretti?&amp;&amp;</x:v>
      </x:c>
      <x:c r="K152" s="37" t="str"/>
      <x:c r="L152" s="37" t="str"/>
      <x:c r="M152" s="37" t="str"/>
      <x:c r="N152" s="37" t="str"/>
      <x:c r="O152" s="37" t="str"/>
    </x:row>
    <x:row r="153" ht="20" customHeight="1">
      <x:c r="A153" s="33" t="n">
        <x:v>1210</x:v>
      </x:c>
      <x:c r="B153" s="34" t="str">
        <x:v>1</x:v>
      </x:c>
      <x:c r="C153" s="34" t="str">
        <x:v>Büyüme</x:v>
      </x:c>
      <x:c r="D153" s="34" t="str">
        <x:v>Motivasyon</x:v>
      </x:c>
      <x:c r="E153" s="34" t="str">
        <x:v>Can't Hurt Me</x:v>
      </x:c>
      <x:c r="F153" s="34" t="str">
        <x:v>David Goggins</x:v>
      </x:c>
      <x:c r="G153" s="34" t="str">
        <x:v>2018</x:v>
      </x:c>
      <x:c r="H153" s="37" t="str">
        <x:v>Aklın rahatlama dürtüsü</x:v>
      </x:c>
      <x:c r="I153" s="37" t="str">
        <x:v>Goggins, beynin yüzde kırk kapasitede bile durmaya zorladığını ve bu 'duvarı' aşmanın nasıl mümkün olduğunu anlatıyor.</x:v>
      </x:c>
      <x:c r="J153" s="37" t="str">
        <x:v>David Goggins koşuyor. Çok koşuyor.
Ultra maratonlar. 100 mil. Bazen daha fazla.
Ve her koşuda aynı noktaya geliyor: "Artık devam edemiyorum."
Ama Goggins devam ediyor. Nasıl?
Araştırdı. Ve şunu keşfetti: Beyin, kaslar gerçekten tükenmeden çok önce "dur" sinyali veriyor.
##"Beyin kapasiteni yüzde kırk kullandığında, 'dur' diyor. Ama gerçekte yüzde altmış daha var."##
Bu evrimsel bir koruma mekanizması. Beyin sizi ölüme itmemek için erken uyarıyor.
Goggins bu duvarı "zihinsel duvar" olarak adlandırıyor. Ve onu aşmanın yolunu tarif ediyor: Duvara çarptığınızda, durmayın. Sadece bir adım daha atın. Sonra bir tane daha.
Duvar zamanla tanıdık hale geliyor. Ve tanıdık olunca küçülüyor.
Bu sporda geçerli. Ama Goggins'in iddiası daha geniş: Her alanda — iş, ilişki, yaratıcılık — benzer bir duvar var. Ve çoğu insan o duvara çarpar ve geri döner.
$$Beynin "dur" dediği, kapasitenin sonu değil — yarısıdır.$$
&amp;&amp;"Artık devam edemiyorum" hissini son ne zaman yaşadın? O noktada ne yaptın — durdun mu, yoksa bir adım daha mı attın?&amp;&amp;</x:v>
      </x:c>
      <x:c r="K153" s="37" t="str"/>
      <x:c r="L153" s="37" t="str"/>
      <x:c r="M153" s="37" t="str"/>
      <x:c r="N153" s="37" t="str"/>
      <x:c r="O153" s="37" t="str"/>
    </x:row>
    <x:row r="154" ht="20" customHeight="1">
      <x:c r="A154" s="33" t="n">
        <x:v>1211</x:v>
      </x:c>
      <x:c r="B154" s="34" t="str">
        <x:v>1</x:v>
      </x:c>
      <x:c r="C154" s="34" t="str">
        <x:v>Finans</x:v>
      </x:c>
      <x:c r="D154" s="34" t="str">
        <x:v>Finans</x:v>
      </x:c>
      <x:c r="E154" s="34" t="str">
        <x:v>Zengin Baba Fakir Baba</x:v>
      </x:c>
      <x:c r="F154" s="34" t="str">
        <x:v>Robert Kiyosaki</x:v>
      </x:c>
      <x:c r="G154" s="34" t="str">
        <x:v>1997</x:v>
      </x:c>
      <x:c r="H154" s="37" t="str">
        <x:v>İki babanın iki farklı dersi</x:v>
      </x:c>
      <x:c r="I154" s="37" t="str">
        <x:v>Kiyosaki'nin gerçek babası 'para için çalış' derken zengin komşu babası 'parayı senin için çalıştır' dedi; bu iki cümle iki farklı hayatı yarattı.</x:v>
      </x:c>
      <x:c r="J154" s="37" t="str">
        <x:v>Robert Kiyosaki iki babalı büyüdü.
Gerçek babası eğitimli, çalışkan, devlet memuruydu. Hep "iyi not al, iyi iş bul, güvenli çalış" dedi.
Komşusunun babası ise okulu bırakmıştı. Ama servet inşa etmişti.
İkisi de Kiyosaki'ye para hakkında konuştu. Ama tamamen farklı şeyler söylediler.
##Gerçek babası: "Para için çalış." Zengin baba: "Parayı senin için çalıştır."##
Bu iki cümle arasındaki fark muazzam.
Para için çalışmak: Maaş alırsınız, harcarsınız, daha fazla çalışırsınız. Döngü devam eder.
Paranın sizin için çalışması: Yatırım yaparsınız, varlık satın alırsınız. Bu varlıklar gelir üretir. Siz uyurken para çalışır.
Kiyosaki bu farkı "varlık" ve "yükümlülük" ayrımıyla açıklıyor. Varlık cebinize para koyar. Yükümlülük cebinizden para çıkarır.
Çoğu insan ev, araba gibi şeyleri "varlık" sanır. Ama bunlar aslında para çıkaran yükümlülükler.
$$Finansal özgürlük para kazanmakla değil — para kazandıran şeyler yaratmakla gelir.$$
&amp;&amp;Şu an sahip olduğun şeyler listeni çıkar. Kaçı cebine para koyuyor, kaçı çıkarıyor?&amp;&amp;</x:v>
      </x:c>
      <x:c r="K154" s="37" t="str"/>
      <x:c r="L154" s="37" t="str"/>
      <x:c r="M154" s="37" t="str"/>
      <x:c r="N154" s="37" t="str"/>
      <x:c r="O154" s="37" t="str"/>
    </x:row>
    <x:row r="155" ht="20" customHeight="1">
      <x:c r="A155" s="33" t="n">
        <x:v>1212</x:v>
      </x:c>
      <x:c r="B155" s="34" t="str">
        <x:v>1</x:v>
      </x:c>
      <x:c r="C155" s="34" t="str">
        <x:v>Finans</x:v>
      </x:c>
      <x:c r="D155" s="34" t="str">
        <x:v>Finans</x:v>
      </x:c>
      <x:c r="E155" s="34" t="str">
        <x:v>Zengin Baba Fakir Baba</x:v>
      </x:c>
      <x:c r="F155" s="34" t="str">
        <x:v>Robert Kiyosaki</x:v>
      </x:c>
      <x:c r="G155" s="34" t="str">
        <x:v>1997</x:v>
      </x:c>
      <x:c r="H155" s="37" t="str">
        <x:v>McDonald's'ın gerçek işi</x:v>
      </x:c>
      <x:c r="I155" s="37" t="str">
        <x:v>Kiyosaki, McDonald's kurucusu Ray Kroc'un 'Ben hamburger değil gayrimenkul satıyorum' sözüyle gerçek servetin nerede yaratıldığını gösteriyor.</x:v>
      </x:c>
      <x:c r="J155" s="37" t="str">
        <x:v>Ray Kroc bir iş okulunda konuşma yapıyordu.
Öğrenciler bekliyordu: Hamburger pazarlama stratejileri, franchise büyüme modelleri.
Kroc soruyu sordu: "Benim işim nedir?"
"Hamburger" dediler.
##Kroc başını salladı: "Hayır. Ben gayrimenkul işindeyim."##
McDonald's her restoran açıldığında arazisini satın alıyor ya da kiralıyordu. Franchise sahipleri hamburger satıyor. Ama McDonald's şirket olarak gayrimenkul üzerinden para kazanıyor.
Hamburger, insanları binaya çeken araç. Bina, gerçek değerin yaratıldığı yer.
Kiyosaki bu örneği şöyle yorumluyor: Çoğu insan işinin yüzeyini görüyor. Gerçek iş modeli ise daha derinlerde.
Ve kişisel finansta da aynı şey geçerli: Çoğu insan maaşını "geliri" sanıyor. Ama maaş, başkasının varlığı için çalışmak. Gerçek gelir ise kendi varlıklarınızdan geliyor.
$$Her işin yüzeyi ve derinliği var — gerçek değer genellikle derinliktedir.$$
&amp;&amp;Şu an yaptığın işin ya da sahip olduğun şeylerin altındaki gerçek değer nerede? Bunu gerçekten analiz ettin mi?&amp;&amp;</x:v>
      </x:c>
      <x:c r="K155" s="37" t="str"/>
      <x:c r="L155" s="37" t="str"/>
      <x:c r="M155" s="37" t="str"/>
      <x:c r="N155" s="37" t="str"/>
      <x:c r="O155" s="37" t="str"/>
    </x:row>
    <x:row r="156" ht="20" customHeight="1">
      <x:c r="A156" s="33" t="n">
        <x:v>1213</x:v>
      </x:c>
      <x:c r="B156" s="34" t="str">
        <x:v>1</x:v>
      </x:c>
      <x:c r="C156" s="34" t="str">
        <x:v>Verimlilik</x:v>
      </x:c>
      <x:c r="D156" s="34" t="str">
        <x:v>Verimlilik</x:v>
      </x:c>
      <x:c r="E156" s="34" t="str">
        <x:v>The 4-Hour Workweek</x:v>
      </x:c>
      <x:c r="F156" s="34" t="str">
        <x:v>Tim Ferriss</x:v>
      </x:c>
      <x:c r="G156" s="34" t="str">
        <x:v>2007</x:v>
      </x:c>
      <x:c r="H156" s="37" t="str">
        <x:v>80/20 ve işi silmek</x:v>
      </x:c>
      <x:c r="I156" s="37" t="str">
        <x:v>Ferriss, işinin yüzde seksenini oluşturan müşterilerin yalnızca yüzde yirmisinden gelir elde ettiğini keşfedince diğer yüzde sekseni kesti.</x:v>
      </x:c>
      <x:c r="J156" s="37" t="str">
        <x:v>Tim Ferriss şirketi için çok çalışıyordu. Günde on dört saat. Haftada yedi gün. Ve tükenmişti.
Bir gün Pareto İlkesini hatırladı ve kendi işine uyguladı.
Müşterilerinin yüzde yirmisi gelirinin yüzde seksenini oluşturuyordu.
Peki geri kalan yüzde seksen müşteri?
##Sorunlu olanlar onlardı. En çok şikayet eden, en az ödeyen, en çok zaman harcatan.##
Ferriss radikal bir karar verdi: O müşterileri kesti.
Herkes endişelendi. Şirket çökecek sanıldı. Olmadı.
Aksine: Daha az müşteri, daha az sorun, daha fazla odak, daha fazla kâr.
Ve Ferriss'in zamanı özgürleşti. Bu özgür zaman "4 Saatlik İş Haftası"nın temeliydi.
Ferriss'in mesajı: Daha çok çalışmak değil — doğru şeyleri çalışmak. Ve çoğu "çalışma" aslında aktivitedir, üretkenlik değil.
$$Verimlilik daha çok yapmak değil — yanlışları yapmaktan kaçınmaktır.$$
&amp;&amp;İşinde ya da hayatında en çok enerji alan ama en az değer yaratan yüzde yirmi ne? Bunu kesseydin ne olurdu?&amp;&amp;</x:v>
      </x:c>
      <x:c r="K156" s="37" t="str"/>
      <x:c r="L156" s="37" t="str"/>
      <x:c r="M156" s="37" t="str"/>
      <x:c r="N156" s="37" t="str"/>
      <x:c r="O156" s="37" t="str"/>
    </x:row>
    <x:row r="157" ht="20" customHeight="1">
      <x:c r="A157" s="33" t="n">
        <x:v>1214</x:v>
      </x:c>
      <x:c r="B157" s="34" t="str">
        <x:v>1</x:v>
      </x:c>
      <x:c r="C157" s="34" t="str">
        <x:v>Verimlilik</x:v>
      </x:c>
      <x:c r="D157" s="34" t="str">
        <x:v>Verimlilik</x:v>
      </x:c>
      <x:c r="E157" s="34" t="str">
        <x:v>The 4-Hour Workweek</x:v>
      </x:c>
      <x:c r="F157" s="34" t="str">
        <x:v>Tim Ferriss</x:v>
      </x:c>
      <x:c r="G157" s="34" t="str">
        <x:v>2007</x:v>
      </x:c>
      <x:c r="H157" s="37" t="str">
        <x:v>Korkular listesi ve olumsuz canlandırma</x:v>
      </x:c>
      <x:c r="I157" s="37" t="str">
        <x:v>Ferriss, kararları felç eden korkunun üstesinden gelmek için Stoacıların 'olumsuz canlandırma' tekniğini modern hayata uyarladı.</x:v>
      </x:c>
      <x:c r="J157" s="37" t="str">
        <x:v>Tim Ferriss önemli bir karar vermesi gerektiğinde felç oluyordu.
İşini bırakmak mı? Dünyayı gezmek mi? Risk almak mı?
"Ya kötü giderse?" sorusu her şeyi durduruyordu.
Sonra Stoacıları okudu ve bir teknikle karşılaştı: Olumsuz canlandırma.
Soruyu ters çevir: En kötü ne olabilir?
##Ferriss bunu sistematik hale getirdi. Korktuğu kararı yazar. Gerçekleşebilecek en kötü senaryoyu yazar. Bu senaryonun olasılığını değerlendirir. Ve bu olursa onu onarmanın ne kadar mümkün olduğunu yazar.##
Çoğu zaman şunu keşfetti: En kötü senaryo düşündüğünden çok daha küçük. Ve onarılabilir.
"İşi bırakırsam ne olur? İflas edebilirim. Ama bu geçici. Yeniden başlayabilirim."
Bu düşünce egzersizi korkunun çoğunu buharlaştırdı. Ve Ferriss kararlarını verdi.
$$En büyük pişmanlıklar alınan risklerden değil — alınmayan risklerden gelir.$$
&amp;&amp;Şu an korkudan almadığın bir karar var mı? En kötü senaryoyu gerçekten yaşarsan, bunu onarabilir misin?&amp;&amp;</x:v>
      </x:c>
      <x:c r="K157" s="37" t="str"/>
      <x:c r="L157" s="37" t="str"/>
      <x:c r="M157" s="37" t="str"/>
      <x:c r="N157" s="37" t="str"/>
      <x:c r="O157" s="37" t="str"/>
    </x:row>
    <x:row r="158" ht="20" customHeight="1">
      <x:c r="A158" s="33" t="n">
        <x:v>1215</x:v>
      </x:c>
      <x:c r="B158" s="34" t="str">
        <x:v>1</x:v>
      </x:c>
      <x:c r="C158" s="34" t="str">
        <x:v>Verimlilik</x:v>
      </x:c>
      <x:c r="D158" s="34" t="str">
        <x:v>Verimlilik</x:v>
      </x:c>
      <x:c r="E158" s="34" t="str">
        <x:v>Minimalizm</x:v>
      </x:c>
      <x:c r="F158" s="34" t="str">
        <x:v>Greg McKeown</x:v>
      </x:c>
      <x:c r="G158" s="34" t="str">
        <x:v>2014</x:v>
      </x:c>
      <x:c r="H158" s="37" t="str">
        <x:v>Daha az, daha odaklı</x:v>
      </x:c>
      <x:c r="I158" s="37" t="str">
        <x:v>McKeown, herkes için her şey olmaya çalışmanın gerçekte hiç kimse için hiçbir şey olmak anlamına geldiğini ve özün gücünü anlatıyor.</x:v>
      </x:c>
      <x:c r="J158" s="37" t="str">
        <x:v>Greg McKeown şunu soruyor: "Hayatında en önemli şey nedir?"
Çoğu insanın cevabı: Aile. Sağlık. Anlamlı iş. Birkaç derin ilişki.
Sonra aynı kişinin takvimini inceliyor.
##Çoğu zaman o "en önemli şeyler" takvimde neredeyse hiç yer kaplamıyor.##
Bunun yerine takvim dolup taşıyor: toplantılar, sosyal yükümlülükler, orta önem taşıyan görevler.
McKeown buna "yoğun meşguliyet yanılgısı" diyor. Meşgul olmak başarı gibi hissettiriyor. Ama çoğu zaman değil.
Essentialism — özcilik — şunu soruyor: Bu, gerçekten önemli mi? Eğer "hayır" ya da "belki" ise, cevap "hayır."
McKeown'ın formülü: Daha az şeye odaklan, ama o şeyleri çok daha iyi yap. Bu, "fazla az" yapıyorum demek değil. "Doğru şeyi yapıyorum" demek.
Ve "hayır" demek her zaman bir "evet" için alan açıyor.
$$Her "evet" bir "hayır"ı içerir; sorun, hangi "evet"leri seçtiğinizdir.$$
&amp;&amp;Bu ay "evet" dediğin ama "hayır" demen gereken neydi? O "hayır" ne için alan açardı?&amp;&amp;</x:v>
      </x:c>
      <x:c r="K158" s="37" t="str"/>
      <x:c r="L158" s="37" t="str"/>
      <x:c r="M158" s="37" t="str"/>
      <x:c r="N158" s="37" t="str"/>
      <x:c r="O158" s="37" t="str"/>
    </x:row>
    <x:row r="159" ht="20" customHeight="1">
      <x:c r="A159" s="33" t="n">
        <x:v>1216</x:v>
      </x:c>
      <x:c r="B159" s="34" t="str">
        <x:v>1</x:v>
      </x:c>
      <x:c r="C159" s="34" t="str">
        <x:v>Verimlilik</x:v>
      </x:c>
      <x:c r="D159" s="34" t="str">
        <x:v>Verimlilik</x:v>
      </x:c>
      <x:c r="E159" s="34" t="str">
        <x:v>Minimalizm</x:v>
      </x:c>
      <x:c r="F159" s="34" t="str">
        <x:v>Greg McKeown</x:v>
      </x:c>
      <x:c r="G159" s="34" t="str">
        <x:v>2014</x:v>
      </x:c>
      <x:c r="H159" s="37" t="str">
        <x:v>Tek gemi filosu</x:v>
      </x:c>
      <x:c r="I159" s="37" t="str">
        <x:v>McKeown, tarihte tek bir gemi filosunun savaşları nasıl kazandığını anlatarak odaklanmanın tüm güçleri tek noktada topladığında nasıl yenilmez olduğunu gösteriyor.</x:v>
      </x:c>
      <x:c r="J159" s="37" t="str">
        <x:v>McKeown tarihe bakıyor ve stratejik bir örüntü görüyor.
Birden fazla cepheye yayılan ordular genellikle kaybeder. Ama güçlerini tek bir noktada yoğunlaştıranlar çoğu zaman kazanır.
Tek bir gemi filosu: Büyük bir gücü tek bir noktada toplamak. Dağılmak yerine yoğunlaşmak.
##McKeown bunu modern iş dünyasına uyarluyor: Hangi şirketler en başarılı? Genellikle tek bir şeyi olağanüstü yapanlar.##
Apple bir dönem onlarca ürün çıkarıyordu. Jobs geri döndüğünde hepsini kesti. Dört ürüne odaklandı. Ve Apple tarihin en değerli şirketi oldu.
Bireysel düzeyde de aynı: Onlarca hedef olan insan genellikle hiçbirini tamamlayamaz. Ama tek bir hedef üzerinde yoğunlaşan, çoğu zaman o hedefi aşar.
Sorun şu: Seçim yapmak acıtır. Bir şeyi seçmek, diğerlerinden vazgeçmektir. Ve vazgeçmek kayıp gibi hissettiriyor.
Ama McKeown şunu söylüyor: Seçmemek, her şeyden vazgeçmektir.
$$Birçok şeye yüzde yirmi vermek ile tek şeye yüzde yüz vermek arasındaki fark ezicidir.$$
&amp;&amp;Şu an enerjini dağıtan kaç farklı "önceliğin" var? Bunları bir teke indirsen, o tek şey ne olurdu?&amp;&amp;</x:v>
      </x:c>
      <x:c r="K159" s="37" t="str"/>
      <x:c r="L159" s="37" t="str"/>
      <x:c r="M159" s="37" t="str"/>
      <x:c r="N159" s="37" t="str"/>
      <x:c r="O159" s="37" t="str"/>
    </x:row>
    <x:row r="160" ht="20" customHeight="1">
      <x:c r="A160" s="33" t="n">
        <x:v>1217</x:v>
      </x:c>
      <x:c r="B160" s="34" t="str">
        <x:v>1</x:v>
      </x:c>
      <x:c r="C160" s="34" t="str">
        <x:v>Bilim</x:v>
      </x:c>
      <x:c r="D160" s="34" t="str">
        <x:v>Teknoloji</x:v>
      </x:c>
      <x:c r="E160" s="34" t="str">
        <x:v>Hiçbir Şeye Bakmamak</x:v>
      </x:c>
      <x:c r="F160" s="34" t="str">
        <x:v>Cal Newport</x:v>
      </x:c>
      <x:c r="G160" s="34" t="str">
        <x:v>2019</x:v>
      </x:c>
      <x:c r="H160" s="37" t="str">
        <x:v>Bir aylık e-posta yasağı</x:v>
      </x:c>
      <x:c r="I160" s="37" t="str">
        <x:v>Newport, bir aylığına e-postayı tamamen kesti; hem verimliliği arttı hem de kimse fark etmedi; bu deney dijital araçlara bağımlılığın yanıltıcılığını ortaya koydu.</x:v>
      </x:c>
      <x:c r="J160" s="37" t="str">
        <x:v>Cal Newport radikal bir deney yaptı.
Bir ay boyunca e-posta göndermeyecekti. Almayacaktı. Tamamen kesecekti.
Çevresi uyardı: "Kariyer mahvolur." "İlişkiler bozulur." "İşler aksayacak."
Newport devam etti.
##Bir ay sonra ne oldu? Neredeyse hiçbir şey.##
Önemli şeyler yine de oldu. İnsanlar başka yollar buldu. Pek çok "acil" e-posta aslında acil değildi. Ve o acil gibi görünen şeylerin büyük çoğunluğu kendiliğinden çözüldü.
Newport bunu şöyle yorumluyor: E-posta bağımlılığı gerçek bir iletişim ihtiyacından değil, bir alışkanlıktan geliyor. "Her bildirimi hemen yanıtlamak zorundayım" hissi, alışkanlık tarafından üretilmiş yapay bir aciliyettir.
Ve o yapay aciliyet, derin çalışmayı sürekli kesintiye uğratıyor.
Newport'un önerisi tüm e-postayı kesmek değil. Ama o deneyden çıkan ders: Dijital araçların beklentilerini siz belirleyin — onlar sizin için belirlemesin.
$$Teknoloji size hizmet etmeli — siz teknolojiye değil.$$
&amp;&amp;Şu an hangi dijital alışkanlık en çok zamanını ve odağını tüketiyor? Bunu bir hafta deneysel olarak kessen ne olurdu?&amp;&amp;</x:v>
      </x:c>
      <x:c r="K160" s="37" t="str"/>
      <x:c r="L160" s="37" t="str"/>
      <x:c r="M160" s="37" t="str"/>
      <x:c r="N160" s="37" t="str"/>
      <x:c r="O160" s="37" t="str"/>
    </x:row>
    <x:row r="161" ht="20" customHeight="1">
      <x:c r="A161" s="33" t="n">
        <x:v>1218</x:v>
      </x:c>
      <x:c r="B161" s="34" t="str">
        <x:v>1</x:v>
      </x:c>
      <x:c r="C161" s="34" t="str">
        <x:v>Bilim</x:v>
      </x:c>
      <x:c r="D161" s="34" t="str">
        <x:v>Teknoloji</x:v>
      </x:c>
      <x:c r="E161" s="34" t="str">
        <x:v>Hiçbir Şeye Bakmamak</x:v>
      </x:c>
      <x:c r="F161" s="34" t="str">
        <x:v>Cal Newport</x:v>
      </x:c>
      <x:c r="G161" s="34" t="str">
        <x:v>2019</x:v>
      </x:c>
      <x:c r="H161" s="37" t="str">
        <x:v>Dijital minimalizm felsefesi</x:v>
      </x:c>
      <x:c r="I161" s="37" t="str">
        <x:v>Newport, dijital araçlara yaklaşımı değiştirmeyi öneriyor: 'Bu bana fayda sağlıyor mu?' değil 'Bu hayatımdaki en önemli şeylere katkı sağlıyor mu?'</x:v>
      </x:c>
      <x:c r="J161" s="37" t="str">
        <x:v>Newport çoğu insanın dijital araçları değerlendirme biçimini eleştiriyor.
Soru genellikle şu: "Bu uygulamanın faydası var mı?"
Ve cevap genellikle evet. Twitter'ın faydası var. Instagram'ın faydası var. Haberlerin faydası var.
Ama Newport farklı bir soru soruyor:
##"Bu araç, hayatımdaki gerçekten önemli şeylere net, belirgin katkı sağlıyor mu?"##
Bu çok daha sert bir kıstas.
Twitter'da vakit geçirmek bazen ilginç fikirlerle karşılaştırıyor. Ama bu, derin düşünce ve okuma için ayrılan zamanın maliyetiyle kıyaslandığında gerçekten değer mi?
Newport'un dijital minimalizm felsefesi şu: Az ama bilinçli seçilmiş araçlarla daha iyi bir hayat mümkün. Fazladan sahip olduğunuz her dijital araç, dikkatinizin bir parçasını talep ediyor.
Ve dikkat sınırlı. Her talep, başka bir şeyden alıyor.
$$Hangi araçlara "evet" dediğiniz, hayatın hangi kısımlarına "hayır" dediğinizi belirler.$$
&amp;&amp;Kullandığın dijital araçları tek tek değerlendirsen: Hangisi gerçekten önemli olan şeylere katkı sağlıyor, hangisi sadece vakit dolduruyor?&amp;&amp;</x:v>
      </x:c>
      <x:c r="K161" s="37" t="str"/>
      <x:c r="L161" s="37" t="str"/>
      <x:c r="M161" s="37" t="str"/>
      <x:c r="N161" s="37" t="str"/>
      <x:c r="O161" s="37" t="str"/>
    </x:row>
    <x:row r="162" ht="20" customHeight="1">
      <x:c r="A162" s="33" t="n">
        <x:v>1219</x:v>
      </x:c>
      <x:c r="B162" s="34" t="str">
        <x:v>1</x:v>
      </x:c>
      <x:c r="C162" s="34" t="str">
        <x:v>Psikoloji</x:v>
      </x:c>
      <x:c r="D162" s="34" t="str">
        <x:v>Mutluluk</x:v>
      </x:c>
      <x:c r="E162" s="34" t="str">
        <x:v>The Good Life</x:v>
      </x:c>
      <x:c r="F162" s="34" t="str">
        <x:v>Robert Waldinger</x:v>
      </x:c>
      <x:c r="G162" s="34" t="str">
        <x:v>2023</x:v>
      </x:c>
      <x:c r="H162" s="37" t="str">
        <x:v>Harvard'ın 85 yıllık mutluluk araştırması</x:v>
      </x:c>
      <x:c r="I162" s="37" t="str">
        <x:v>Dünyanın en uzun süren mutluluk araştırması, serveti ya da zekayı değil derin insan ilişkilerini mutluluğun tek gerçek belirleyicisi olarak ortaya koydu.</x:v>
      </x:c>
      <x:c r="J162" s="37" t="str">
        <x:v>1938'de Harvard Üniversitesi bir araştırma başlattı.
268 Harvard öğrencisi takip edildi. Sonra yıllar geçti. Nesiller geçti. Araştırma sürdü.
85 yıl boyunca araştırmacılar şunu sordu: Bu insanları mutlu ve sağlıklı yapan neydi?
Beklenen cevaplar: Servet. Kariyer başarısı. Zeka.
##Gerçek cevap: İlişkilerin kalitesi.##
Robert Waldinger, araştırmanın dördüncü direktörü, bulgularını şöyle özetliyor: "Mutlu yaşayan insanları araştırdık. Ve yeniden yeniden aynı şeyi gördük: İyi ilişkiler bizi mutlu ve sağlıklı tutuyor."
İlişkilerin miktarı değil, kalitesi. Yalnız yaşayan ama derin bir arkadaşlık bağı olan biri, büyük sosyal ağı olan ama yüzeysel ilişkiler yaşayan birinden çok daha mutlu.
Ve çarpıcı bulgu şu: 50'li yaşlardaki ilişki kalitesi, 80'li yaşlardaki fiziksel sağlığın en güçlü göstergesi.
Sağlık ve mutluluk için en iyi yatırım, ilişkilere yapılan yatırım.
$$Serveti, kariyer başarısını, ünü geride bırakan tek şey: gerçek insan bağlantısı.$$
&amp;&amp;Hayatındaki en derin ilişkilere son ne zaman gerçek zaman ve özen gösterdin?&amp;&amp;</x:v>
      </x:c>
      <x:c r="K162" s="37" t="str"/>
      <x:c r="L162" s="37" t="str"/>
      <x:c r="M162" s="37" t="str"/>
      <x:c r="N162" s="37" t="str"/>
      <x:c r="O162" s="37" t="str"/>
    </x:row>
    <x:row r="163" ht="20" customHeight="1">
      <x:c r="A163" s="33" t="n">
        <x:v>1220</x:v>
      </x:c>
      <x:c r="B163" s="34" t="str">
        <x:v>1</x:v>
      </x:c>
      <x:c r="C163" s="34" t="str">
        <x:v>Psikoloji</x:v>
      </x:c>
      <x:c r="D163" s="34" t="str">
        <x:v>Mutluluk</x:v>
      </x:c>
      <x:c r="E163" s="34" t="str">
        <x:v>Şükran Günlüğü</x:v>
      </x:c>
      <x:c r="F163" s="34" t="str">
        <x:v>Janice Kaplan</x:v>
      </x:c>
      <x:c r="G163" s="34" t="str">
        <x:v>2015</x:v>
      </x:c>
      <x:c r="H163" s="37" t="str">
        <x:v>Şükranın beyin kimyası</x:v>
      </x:c>
      <x:c r="I163" s="37" t="str">
        <x:v>Kaplan, her gece üç şey yazmanın dopamin ve serotonin seviyelerini artırdığını ve 21 günde beyni yeniden programladığını anlattı.</x:v>
      </x:c>
      <x:c r="J163" s="37" t="str">
        <x:v>Janice Kaplan bir yıl boyunca farklı bir deney yaptı: Her gün şükran duyduğu şeyleri yazacaktı.
Bunu yaparken araştırmacılarla da görüştü. Ve nörobilimin bulguları onu şaşırttı.
Şükran pratiği yapmak beynde gerçek değişiklikler yaratıyor.
##Prefrontal korteks aktive oluyor. Dopamin ve serotonin — "iyi hissetme" nörotransmitterleri — arttı. 21 gün içinde beyin yeni nöral yolaklar oluşturuyor.##
Bu meditasyonun nörobilimi gibi. Dikkatinizi nereye yönlendirirseniz, beyin oraya büyüyor.
Şükran nereye yönlendiriyor? Hayatınızdaki iyi şeylere. Sahip olduğunuza. İşe yarayan şeylere.
Ve beyin bu yönelimi öğrendikçe, otomatik olarak daha fazla iyi şey fark etmeye başlıyor. Güzellikler var olmuyordu; ama siz görmüyordunuz.
Kaplan şunu söylüyor: Mutluluk, hayatın iyileşmesiyle değil — iyiyi görme kapasitesiyle bağlantılı.
$$Neye dikkat ederseniz, o büyür — şükran iyi olana dikkatinizi yönlendirir.$$
&amp;&amp;Bu gece yatmadan önce bugün gerçekten şükran duyduğun üç şeyi yazmaya başlarsan, bir hafta sonra nasıl hissedersin?&amp;&amp;</x:v>
      </x:c>
      <x:c r="K163" s="37" t="str"/>
      <x:c r="L163" s="37" t="str"/>
      <x:c r="M163" s="37" t="str"/>
      <x:c r="N163" s="37" t="str"/>
      <x:c r="O163" s="37" t="str"/>
    </x:row>
    <x:row r="164" ht="20" customHeight="1">
      <x:c r="A164" s="33" t="n">
        <x:v>1221</x:v>
      </x:c>
      <x:c r="B164" s="34" t="str">
        <x:v>1</x:v>
      </x:c>
      <x:c r="C164" s="34" t="str">
        <x:v>Psikoloji</x:v>
      </x:c>
      <x:c r="D164" s="34" t="str">
        <x:v>Mutluluk</x:v>
      </x:c>
      <x:c r="E164" s="34" t="str">
        <x:v>Şükran Günlüğü</x:v>
      </x:c>
      <x:c r="F164" s="34" t="str">
        <x:v>Janice Kaplan</x:v>
      </x:c>
      <x:c r="G164" s="34" t="str">
        <x:v>2015</x:v>
      </x:c>
      <x:c r="H164" s="37" t="str">
        <x:v>Karşılaştırmanın tuzağı</x:v>
      </x:c>
      <x:c r="I164" s="37" t="str">
        <x:v>Kaplan, mutluluğun en büyük düşmanının başkalarıyla karşılaştırma olduğunu ve şükranın bu kısır döngüyü nasıl kırdığını anlatıyor.</x:v>
      </x:c>
      <x:c r="J164" s="37" t="str">
        <x:v>Janice Kaplan araştırmalarında şunu keşfetti: İnsanlar en mutsuz olduklarında, genellikle başkalarıyla karşılaştırıyorlar.
"Komşunun arabası daha güzel." "Arkadaşım daha başarılı." "Herkesin hayatı daha ilginç."
Bu karşılaştırmalar bir bitiş noktasına ulaşmıyor. Çünkü her zaman daha iyisi var.
##Kaplan bunu "mutluluk koşu bandı" olarak tanımlıyor: Ne elde ederseniz edin, biraz daha iyisi olunca standartlar yükseliyor ve aynı mutsuzluğa dönüyorsunuz.##
Şükran pratiği bu döngüyü kesiyor. Çünkü şükran "sahip olduğuma" yönlendiriyor. Karşılaştırma ise "sahip olmadığıma."
Kaplan'ın deneyi kişisel: Bir yıl boyunca her gün şükran yazınca hayatı değişmemişti. İş aynıydı, ev aynıydı, ilişkiler aynıydı. Ama aynı hayatı farklı görüyordu.
Ve bu farklı görme, farklı hissetmeyi yarattı.
$$Mutluluk koşullar değişince değil — bakış açısı değişince gelir.$$
&amp;&amp;Hayatında şu an var olan ama fark etmediğin ya da yeterince değer vermediğin ne var?&amp;&amp;</x:v>
      </x:c>
      <x:c r="K164" s="37" t="str"/>
      <x:c r="L164" s="37" t="str"/>
      <x:c r="M164" s="37" t="str"/>
      <x:c r="N164" s="37" t="str"/>
      <x:c r="O164" s="37" t="str"/>
    </x:row>
    <x:row r="165" ht="20" customHeight="1">
      <x:c r="A165" s="33" t="n">
        <x:v>1222</x:v>
      </x:c>
      <x:c r="B165" s="34" t="str">
        <x:v>1</x:v>
      </x:c>
      <x:c r="C165" s="34" t="str">
        <x:v>İletişim</x:v>
      </x:c>
      <x:c r="D165" s="34" t="str">
        <x:v>İletişim</x:v>
      </x:c>
      <x:c r="E165" s="34" t="str">
        <x:v>Karizmatik Olmak</x:v>
      </x:c>
      <x:c r="F165" s="34" t="str">
        <x:v>Olivia Fox Cabane</x:v>
      </x:c>
      <x:c r="G165" s="34" t="str">
        <x:v>2012</x:v>
      </x:c>
      <x:c r="H165" s="37" t="str">
        <x:v>Marilyn Monroe'nun soyunma odası</x:v>
      </x:c>
      <x:c r="I165" s="37" t="str">
        <x:v>Monroe, New York sokaklarında kimse tanımadan yürüdü; ardından 'izin verin' dedi ve anında filmden çıkmış gibi karizmatik Monroe'ya dönüştü.</x:v>
      </x:c>
      <x:c r="J165" s="37" t="str">
        <x:v>Marilyn Monroe bir gün New York sokaklarında bir gazeteci arkadaşıyla yürüyordu.
Kimse tanımıyordu. Sıradan giyinmişti. Başını öne eğmişti.
Gazeteci merak etti: "Gerçekten kimse fark etmiyor seni. Nasıl bunu yapıyorsun?"
Monroe güldü ve şöyle dedi: "İstersen göstereyim."
Sonra bir şey yaptı. Durdu. Omuzlarını gerdi. Başını kaldırdı. Bakışını değiştirdi.
##Saniyeler içinde kalabalık etrafında toplandı. Kimse ne değiştiğini söyleyemezdi. Ama herkes hissetti.##
Olivia Fox Cabane bu hikayeyi karizma araştırmasının özü olarak kullanıyor.
Karizma doğuştan gelmiyor. Bir hal, bir durum. Ve bu hal üç bileşenden oluşuyor: Güç, sıcaklık ve varlık.
Monroe o sokakta varlığını ve gücünü açtı. Beden dili değişti. Enerji değişti. Ve insanlar hissetti.
Cabane şunu söylüyor: Karizma performans değil. İçsel bir durumun dışa yansıması. O yüzden pratikte öğrenilebilir.
$$Karizma doğuştan değil — bir hal. Ve hal değiştirilebilir.$$
&amp;&amp;En karizmatik hissettiğin anları düşün. O anlarda ne farklıydı?&amp;&amp;</x:v>
      </x:c>
      <x:c r="K165" s="37" t="str"/>
      <x:c r="L165" s="37" t="str"/>
      <x:c r="M165" s="37" t="str"/>
      <x:c r="N165" s="37" t="str"/>
      <x:c r="O165" s="37" t="str"/>
    </x:row>
    <x:row r="166" ht="20" customHeight="1">
      <x:c r="A166" s="33" t="n">
        <x:v>1223</x:v>
      </x:c>
      <x:c r="B166" s="34" t="str">
        <x:v>1</x:v>
      </x:c>
      <x:c r="C166" s="34" t="str">
        <x:v>İletişim</x:v>
      </x:c>
      <x:c r="D166" s="34" t="str">
        <x:v>İletişim</x:v>
      </x:c>
      <x:c r="E166" s="34" t="str">
        <x:v>Karizmatik Olmak</x:v>
      </x:c>
      <x:c r="F166" s="34" t="str">
        <x:v>Olivia Fox Cabane</x:v>
      </x:c>
      <x:c r="G166" s="34" t="str">
        <x:v>2012</x:v>
      </x:c>
      <x:c r="H166" s="37" t="str">
        <x:v>Varlık — karizmanın temeli</x:v>
      </x:c>
      <x:c r="I166" s="37" t="str">
        <x:v>Cabane, karizma araştırmalarının en şaşırtıcı bulgusunun varlık — gerçekten orada olmak — olduğunu ve bunun nasıl geliştirileceğini anlatıyor.</x:v>
      </x:c>
      <x:c r="J166" s="37" t="str">
        <x:v>Olivia Fox Cabane binlerce insanın karizmasını araştırdı.
Ve en beklenmedik bulgu şu oldu: Karizmanın en güçlü bileşeni ne yakışıklılık, ne konuşma yeteneği, ne de zeka.
Varlık — presence.
##Biriyle konuşurken gerçekten orada olmak. Telefonu düşünmemek, bir sonraki toplantıyı planlamemak. Sadece o kişiyle.##
Cabane bir deney anlattı: İki grup insan aynı kişiyle kısa bir sohbet yaptı. Bir gruba "dikkatinizi tamamen karşınızdakine verin" denildi. Diğer grup normal davrandı.
Değerlendirme: İlk grup çok daha karizmatik olarak görülmüştü. Aynı insanlar, aynı konular.
Sadece dikkat değişmişti.
Çünkü insanlar varlığı hissediyor. Gerçekten dinlenildiğinizde, değer gördüğünüzü hissediyorsunuz. Ve sizi böyle hissettiren kişiyi karizmatik buluyorsunuz.
Karizma bir yayın değil. Bir alıcı olmak.
$$Karizmanın sırrı konuşmak değil — gerçekten dinlemektir.$$
&amp;&amp;Son konuşmanda karşındaki kişiye gerçekten yüzde yüz dikkatini verdin mi? O fark ne yaratır?&amp;&amp;</x:v>
      </x:c>
      <x:c r="K166" s="37" t="str"/>
      <x:c r="L166" s="37" t="str"/>
      <x:c r="M166" s="37" t="str"/>
      <x:c r="N166" s="37" t="str"/>
      <x:c r="O166" s="37" t="str"/>
    </x:row>
    <x:row r="167" ht="20" customHeight="1">
      <x:c r="A167" s="33" t="n">
        <x:v>1224</x:v>
      </x:c>
      <x:c r="B167" s="34" t="str">
        <x:v>1</x:v>
      </x:c>
      <x:c r="C167" s="34" t="str">
        <x:v>Felsefe</x:v>
      </x:c>
      <x:c r="D167" s="34" t="str">
        <x:v>Öğrenme</x:v>
      </x:c>
      <x:c r="E167" s="34" t="str">
        <x:v>İnsan Beyninin Gücü</x:v>
      </x:c>
      <x:c r="F167" s="34" t="str">
        <x:v>Jim Kwik</x:v>
      </x:c>
      <x:c r="G167" s="34" t="str">
        <x:v>2020</x:v>
      </x:c>
      <x:c r="H167" s="37" t="str">
        <x:v>Jim Kwik'in beyin hasarı</x:v>
      </x:c>
      <x:c r="I167" s="37" t="str">
        <x:v>Kwik, çocukluğunda geçirdiği kaza sonrası öğrenme güçlüğü yaşadı; beyin eğitim teknikleri geliştirerek hem kendisini hem binlerce kişiyi dönüştürdü.</x:v>
      </x:c>
      <x:c r="J167" s="37" t="str">
        <x:v>Jim Kwik beş yaşındayken sınıfta kafasını duvara çarptı.
Sonuçlar ağır oldu. Öğrenme güçlüğü. Okuma zorluğu. Yavaş işlem hızı.
Öğretmeni bir gün diğer çocuklara işaret ederek şöyle demişti: "O çocuğun beyni kırık."
Kwik o cümleyi onlarca yıl taşıdı.
##Ama üniversitede bir kitap okumaya çalışırken, o kadar zorlandı ki kendi yöntemini geliştirmek zorunda kaldı.##
Ve geliştirdi. Hız okuma teknikleri. Hafıza yöntemleri. Öğrenme stratejileri.
Sonunda "kırık beyni" olan kişi, beyin eğitimi alanında dünyanın en bilinen isimlerinden biri oldu. Elon Musk, Will Smith, Oprah Winfrey gibi isimlerle çalıştı.
Kwik'in mesajı şu: Beyin değiştirilebilir. Öğrenme öğrenilebilir.
Ve en önemli şey: "Öğrenemiyorum" inancı, gerçek bir biyolojik sınırlamadan değil, çoğunlukla yanlış bir inançtan geliyor.
$$"Beyin kırık" değildir. Doğru araçlarla her beyin daha güçlü hale gelebilir.$$
&amp;&amp;Kendin hakkında "bunu öğrenemem" ya da "benim için değil" dediğin bir alan var mı? Bu inanç nereden geliyor?&amp;&amp;</x:v>
      </x:c>
      <x:c r="K167" s="37" t="str"/>
      <x:c r="L167" s="37" t="str"/>
      <x:c r="M167" s="37" t="str"/>
      <x:c r="N167" s="37" t="str"/>
      <x:c r="O167" s="37" t="str"/>
    </x:row>
    <x:row r="168" ht="20" customHeight="1">
      <x:c r="A168" s="33" t="n">
        <x:v>1225</x:v>
      </x:c>
      <x:c r="B168" s="34" t="str">
        <x:v>1</x:v>
      </x:c>
      <x:c r="C168" s="34" t="str">
        <x:v>Felsefe</x:v>
      </x:c>
      <x:c r="D168" s="34" t="str">
        <x:v>Öğrenme</x:v>
      </x:c>
      <x:c r="E168" s="34" t="str">
        <x:v>İnsan Beyninin Gücü</x:v>
      </x:c>
      <x:c r="F168" s="34" t="str">
        <x:v>Jim Kwik</x:v>
      </x:c>
      <x:c r="G168" s="34" t="str">
        <x:v>2020</x:v>
      </x:c>
      <x:c r="H168" s="37" t="str">
        <x:v>Hız okuma ve anlama</x:v>
      </x:c>
      <x:c r="I168" s="37" t="str">
        <x:v>Kwik, çoğu insanın okumanın yavaş anlamak olduğunu sandığını, oysa doğru tekniklerle hem hızlı hem derin okumakın mümkün olduğunu gösteriyor.</x:v>
      </x:c>
      <x:c r="J168" s="37" t="str">
        <x:v>Jim Kwik şu soruyu soruyor: "Okurken dudaklarınız ya da diliniz hareket ediyor mu?"
Çoğu insan için cevap evet. Ya da en azından zihinde kelimeler tek tek "söyleniyor."
Bu, okuma hızını dramatik biçimde düşürüyor. Çünkü sesli konuşma hızıyla sınırlanıyorsunuz.
##Ama beyin, kelimeler "söylenmeden" de anlayabiliyor. Hatta çoğu zaman daha iyi anlıyor.##
Kwik'in hız okuma tekniği birkaç temel değişikliği içeriyor: Parmakla rehberlik etmek (göz takip ediyor), "alt sesli okuma"yı azaltmak ve daha geniş görsel alanlar kullanmak.
Bu değişikliklerle okuma hızı birkaç haftada iki ila üç kat artabiliyor. Ve anlama azalmıyor — çünkü beyin kelime kelime değil, anlam anlam işleyebiliyor.
Kwik'in daha geniş mesajı: Okul bize içerik öğretti. Ama okumayı, öğrenmeyi, hafızayı nasıl kullanacağımızı öğretmedi.
Bu beceriler öğrenilebilir. Ve öğrendikçe, her diğer beceri daha hızlı gelişiyor.
$$Öğrenmeyi öğrenmek, tüm diğer öğrenmeleri hızlandırır.$$
&amp;&amp;Son okuduğun kitaptan ne kadarını hatırlıyorsun? Okuma stratejini değiştirsen bu oran nasıl değişirdi?&amp;&amp;</x:v>
      </x:c>
      <x:c r="K168" s="37" t="str"/>
      <x:c r="L168" s="37" t="str"/>
      <x:c r="M168" s="37" t="str"/>
      <x:c r="N168" s="37" t="str"/>
      <x:c r="O168" s="37" t="str"/>
    </x:row>
    <x:row r="169" ht="20" customHeight="1">
      <x:c r="A169" s="33" t="n">
        <x:v>1226</x:v>
      </x:c>
      <x:c r="B169" s="34" t="str">
        <x:v>1</x:v>
      </x:c>
      <x:c r="C169" s="34" t="str">
        <x:v>Felsefe</x:v>
      </x:c>
      <x:c r="D169" s="34" t="str">
        <x:v>Felsefe</x:v>
      </x:c>
      <x:c r="E169" s="34" t="str">
        <x:v>Cesur Olmak</x:v>
      </x:c>
      <x:c r="F169" s="34" t="str">
        <x:v>Ichiro Kishimi</x:v>
      </x:c>
      <x:c r="G169" s="34" t="str">
        <x:v>2013</x:v>
      </x:c>
      <x:c r="H169" s="37" t="str">
        <x:v>Onay ihtiyacı ve özgürlük</x:v>
      </x:c>
      <x:c r="I169" s="37" t="str">
        <x:v>Adler psikolojisine dayanan kitap, insanların onay arayışının köküne inerek 'sevilmeme cesareti'nin gerçek özgürlüğün kapısı olduğunu gösteriyor.</x:v>
      </x:c>
      <x:c r="J169" s="37" t="str">
        <x:v>Ichiro Kishimi bir genç adamı anlattı. Yorgundu. Mutsuzdu. Ama değişmek istiyordu.
Bir felsefeciyle konuştu. Felsefeci şunu sordu: "Neden mutsuz olduğunu düşünüyorsun?"
Genç adam saydı: İş, para, ilişkiler.
Felsefeci başını salladı ve şunu söyledi:
##"Tüm sorunlarının kökü aynı: Başkalarının onayına ihtiyaç duyuyorsun."##
Bu kulağa sert geliyor. Ama Kishimi ve Koga, Adler psikolojisine dayanarak şunu açıklıyor: Başkalarının onayını kazanmaya çalışmak, başkalarının beklentilerine göre yaşamak demek. Bu ise kendi hayatınızı yaşamamak.
Ve tam tersine: Onaysız yaşamayı kabul etmek — "herkes beni sevmeyebilir, bu tamam" — paradoksal olarak çok daha özgür ilişkiler yaratıyor.
Çünkü o zaman vereceğiniz şeyleri gerçekten istediğiniz için veriyorsunuz, onay için değil.
$$Sevilmeme cesareti, gerçek sevginin ön koşuludur.$$
&amp;&amp;Şu an başkalarının onayı için yaptığın ama içten isteksiz olduğun bir şey var mı?&amp;&amp;</x:v>
      </x:c>
      <x:c r="K169" s="37" t="str"/>
      <x:c r="L169" s="37" t="str"/>
      <x:c r="M169" s="37" t="str"/>
      <x:c r="N169" s="37" t="str"/>
      <x:c r="O169" s="37" t="str"/>
    </x:row>
    <x:row r="170" ht="20" customHeight="1">
      <x:c r="A170" s="33" t="n">
        <x:v>1227</x:v>
      </x:c>
      <x:c r="B170" s="34" t="str">
        <x:v>1</x:v>
      </x:c>
      <x:c r="C170" s="34" t="str">
        <x:v>Felsefe</x:v>
      </x:c>
      <x:c r="D170" s="34" t="str">
        <x:v>Felsefe</x:v>
      </x:c>
      <x:c r="E170" s="34" t="str">
        <x:v>Cesur Olmak</x:v>
      </x:c>
      <x:c r="F170" s="34" t="str">
        <x:v>Ichiro Kishimi</x:v>
      </x:c>
      <x:c r="G170" s="34" t="str">
        <x:v>2013</x:v>
      </x:c>
      <x:c r="H170" s="37" t="str">
        <x:v>Geçmiş ve şimdiki an</x:v>
      </x:c>
      <x:c r="I170" s="37" t="str">
        <x:v>Kishimi, Adler'in 'geçmiş sizi belirlemez, şimdiki seçimleriniz belirler' görüşünü ve bunun psikolojiye getirdiği devrimci bakışı anlatıyor.</x:v>
      </x:c>
      <x:c r="J170" s="37" t="str">
        <x:v>Kishimi şu soruyu soruyor: "Geçmişiniz şimdiki hayatınızı belirliyor mu?"
Freud'un cevabı: Evet. Çocukluk deneyimleri kişiliği şekillendirir.
Adler'in cevabı ise radikal biçimde farklı.
##"Geçmiş, şimdiki durumunuzun nedeni değildir. Şimdiki durumunuzu açıklamak için geçmişe anlam yüklüyorsunuzdur."##
Bu büyük bir fark.
Freud'cu bakış: "Çocukluğumda yaşananlar yüzünden böyleyim."
Adlercü bakış: "Şu an böyle olmayı seçiyorum ve bunu geçmişle açıklıyorum."
Kishimi bu görüşün pratik gücünü şöyle anlatıyor: Geçmiş değiştirilemez. Ama geçmişe yüklediğiniz anlam değiştirilebilir. Ve bu anlam değişince, şimdiki seçimler değişebilir.
"Bu yüzden böyleyim" yerine "ne yapmak istiyorum?" sorusu.
Bu bir suçlama değil. Bir özgürleşme daveti.
$$Geçmişiniz sizi hapsetmez. Geçmişe verdiğiniz anlam hapsetmektedir.$$
&amp;&amp;Geçmişte yaşanan bir şey için "bu yüzden yapamıyorum" dediğin bir alan var mı? O olayı farklı anlamlandırabilir misin?&amp;&amp;</x:v>
      </x:c>
      <x:c r="K170" s="37" t="str"/>
      <x:c r="L170" s="37" t="str"/>
      <x:c r="M170" s="37" t="str"/>
      <x:c r="N170" s="37" t="str"/>
      <x:c r="O170" s="37" t="str"/>
    </x:row>
    <x:row r="171" ht="20" customHeight="1">
      <x:c r="A171" s="33" t="n">
        <x:v>1228</x:v>
      </x:c>
      <x:c r="B171" s="34" t="str">
        <x:v>1</x:v>
      </x:c>
      <x:c r="C171" s="34" t="str">
        <x:v>Büyüme</x:v>
      </x:c>
      <x:c r="D171" s="34" t="str">
        <x:v>Kişisel Gelişim</x:v>
      </x:c>
      <x:c r="E171" s="34" t="str">
        <x:v>Yüksek Performans</x:v>
      </x:c>
      <x:c r="F171" s="34" t="str">
        <x:v>Brendon Burchard</x:v>
      </x:c>
      <x:c r="G171" s="34" t="str">
        <x:v>2017</x:v>
      </x:c>
      <x:c r="H171" s="37" t="str">
        <x:v>Ambulanstaki uyanış</x:v>
      </x:c>
      <x:c r="I171" s="37" t="str">
        <x:v>Burchard bir trafik kazasından sonra ambulansta 'Gerçekten yaşadım mı, sevdim mi, önemli bir şey yaptım mı?' diye sorguladı ve bu sorular kitabını doğurdu.</x:v>
      </x:c>
      <x:c r="J171" s="37" t="str">
        <x:v>Brendon Burchard 19 yaşındayken ciddi bir trafik kazası geçirdi.
Ambulansta, hayatı tehlikede, üç soru zihinde belirdi:
"Gerçekten yaşadım mı?"
"Gerçekten sevdim mi?"
"Önemli bir şey yaptım mı?"
##Cevaplar ona yeterliydi. Hayatta kaldı. Ve o üç soruyu hayatının pusulasına dönüştürdü.##
Yıllar sonra Burchard "Yüksek Performans Alışkanlıkları" kitabını yazdı. Binlerce yüksek performans gösteren insanı araştırdı.
Ve şunu keşfetti: Onları ayıran doğuştan gelen yetenek değildi. Altı temel alışkanlıktı.
Netlik: Kim olmak istiyorum? Enerji: Bedenimi ve zihnini nasıl besliyorum? Zorunluluk: Bu neden önemli? Verimlilik: Öncelikli işi yapar mıyım? Etki: İnsanları nasıl etkiliyorum? Cesaret: Zorlu şeyleri yapar mıyım?
Bu altı alışkanlık kaslar gibi. Geliştirilebilir. Ve geliştirildikçe, performans değil anlam duygusu da büyüyor.
$$Yüksek performans sadece başarı değil — anlamlı bir hayat yaşamaktır.$$
&amp;&amp;Şu an ambulanstaki Burchard'ın soruları sana yöneltilse, cevapların ne olurdu?&amp;&amp;</x:v>
      </x:c>
      <x:c r="K171" s="37" t="str"/>
      <x:c r="L171" s="37" t="str"/>
      <x:c r="M171" s="37" t="str"/>
      <x:c r="N171" s="37" t="str"/>
      <x:c r="O171" s="37" t="str"/>
    </x:row>
    <x:row r="172" ht="20" customHeight="1">
      <x:c r="A172" s="33" t="n">
        <x:v>1229</x:v>
      </x:c>
      <x:c r="B172" s="34" t="str">
        <x:v>1</x:v>
      </x:c>
      <x:c r="C172" s="34" t="str">
        <x:v>Büyüme</x:v>
      </x:c>
      <x:c r="D172" s="34" t="str">
        <x:v>Kişisel Gelişim</x:v>
      </x:c>
      <x:c r="E172" s="34" t="str">
        <x:v>Yüksek Performans</x:v>
      </x:c>
      <x:c r="F172" s="34" t="str">
        <x:v>Brendon Burchard</x:v>
      </x:c>
      <x:c r="G172" s="34" t="str">
        <x:v>2017</x:v>
      </x:c>
      <x:c r="H172" s="37" t="str">
        <x:v>Enerji yönetimi ve niyet</x:v>
      </x:c>
      <x:c r="I172" s="37" t="str">
        <x:v>Burchard, yüksek performanslı insanların zamanı değil enerjiyi yönettiklerini ve her güne niyet koyarak başladıklarını araştırmalarla gösteriyor.</x:v>
      </x:c>
      <x:c r="J172" s="37" t="str">
        <x:v>Brendon Burchard yüksek performanslı insanlarda beklenmedik bir ortak nokta buldu.
Saat yönetimi araçları, verimlilik uygulamaları, zaman blokları — bunların hepsi önemliydi. Ama asıl fark eden başka bir şeydi.
Enerji yönetimi.
##Yüksek performanslılar zamanı değil, enerjiyi yönetiyordu.##
Çünkü aynı iki saat, dinlenmiş ve motive bir insan için çok farklı, yorgun ve dağınık bir insan için çok farklı sonuç üretiyor.
Burchard şunu öneriyor: Her güne niyet koyun. "Bugün nasıl biri olmak istiyorum? Bu toplantıda nasıl görünmek istiyorum?"
Bu küçük bir soruya benziyor. Ama etkisi büyük.
Çünkü niyet koymak, reaktif değil proaktif bir gün oluşturuyor. "Ne geldiyse yapacağım" yerine "şunu başaracağım."
Ve niyet enerji yönlendiriyor. Dağınık değil, odaklı enerji.
$$Zaman yönetiminden önce enerji yönetimi — ikisi birlikte yüksek performansı inşa eder.$$
&amp;&amp;Sabah uyandığında ilk düşünce ne? Günü reaktif mi yoksa niyetle mi başlatıyorsun?&amp;&amp;</x:v>
      </x:c>
      <x:c r="K172" s="37" t="str"/>
      <x:c r="L172" s="37" t="str"/>
      <x:c r="M172" s="37" t="str"/>
      <x:c r="N172" s="37" t="str"/>
      <x:c r="O172" s="37" t="str"/>
    </x:row>
    <x:row r="173" ht="20" customHeight="1">
      <x:c r="A173" s="33" t="n">
        <x:v>1230</x:v>
      </x:c>
      <x:c r="B173" s="34" t="str">
        <x:v>1</x:v>
      </x:c>
      <x:c r="C173" s="34" t="str">
        <x:v>Liderlik</x:v>
      </x:c>
      <x:c r="D173" s="34" t="str">
        <x:v>Strateji</x:v>
      </x:c>
      <x:c r="E173" s="34" t="str">
        <x:v>Savaş Sanatı</x:v>
      </x:c>
      <x:c r="F173" s="34" t="str">
        <x:v>Sun Tzu</x:v>
      </x:c>
      <x:c r="G173" s="34" t="str">
        <x:v>-500</x:v>
      </x:c>
      <x:c r="H173" s="37" t="str">
        <x:v>Su gibi olmak</x:v>
      </x:c>
      <x:c r="I173" s="37" t="str">
        <x:v>Sun Tzu, suyun şekil almak için kaba kuvvet kullanmamasından yola çıkarak kazanmanın direniş değil ortama uyum sağlamak olduğunu öğretiyor.</x:v>
      </x:c>
      <x:c r="J173" s="37" t="str">
        <x:v>Sun Tzu şu gözlemi yapıyor: Su kaya gibi sert değildir. Ama zamanla kayayı aşındırır.
Su sabit bir şekli yoktur. Bulunduğu kaba göre şekil alır. Akışını durdurmak zordur. Doğrudan direnmek yerine etrafından dolaşır.
##"Su gibi ol" diyor Sun Tzu. "Katı değil, akışkan. Doğrudan değil, doğal."##
Bu strateji binlerce yıl önce yazılmış ama hâlâ geçerli.
Bir rakiple doğrudan karşılaşmak yerine, güçsüz olduğu yere yönlendirmek. Direnmek yerine uyum sağlamak. Katılık yerine esneklik.
Modern iş dünyasında bu şöyle görünüyor: Büyük bir rakiple aynı arenada dövüşme. Onların güçsüz olduğu alanı bul. Oraya odaklan.
Ya da ilişkilerde: Karşı tarafın direncini karşılıklı direnişle kırmaya çalışma. Yumuşak yaklaşımla, anlayışla, uyumla yol aç.
Kuvvet her zaman en etkili araç değil. Çoğu zaman en etkili araç, esneklik ve zamanlama.
$$Direniş gücü azaltır. Uyum ise enerjiyi yönlendirir.$$
&amp;&amp;Şu an sert bir şekilde direniş gösterdiğin bir durum var mı? Su gibi yaklaşsaydın ne değişirdi?&amp;&amp;</x:v>
      </x:c>
      <x:c r="K173" s="37" t="str"/>
      <x:c r="L173" s="37" t="str"/>
      <x:c r="M173" s="37" t="str"/>
      <x:c r="N173" s="37" t="str"/>
      <x:c r="O173" s="37" t="str"/>
    </x:row>
    <x:row r="174" ht="20" customHeight="1">
      <x:c r="A174" s="33" t="n">
        <x:v>1231</x:v>
      </x:c>
      <x:c r="B174" s="34" t="str">
        <x:v>1</x:v>
      </x:c>
      <x:c r="C174" s="34" t="str">
        <x:v>Liderlik</x:v>
      </x:c>
      <x:c r="D174" s="34" t="str">
        <x:v>Strateji</x:v>
      </x:c>
      <x:c r="E174" s="34" t="str">
        <x:v>Savaş Sanatı</x:v>
      </x:c>
      <x:c r="F174" s="34" t="str">
        <x:v>Sun Tzu</x:v>
      </x:c>
      <x:c r="G174" s="34" t="str">
        <x:v>-500</x:v>
      </x:c>
      <x:c r="H174" s="37" t="str">
        <x:v>Kazanmak savaşmadan</x:v>
      </x:c>
      <x:c r="I174" s="37" t="str">
        <x:v>Sun Tzu'nun 'en büyük zafer savaşmadan kazanmaktır' prensibi, modern strateji, liderlik ve müzakerede nasıl uygulanıyor?</x:v>
      </x:c>
      <x:c r="J174" s="37" t="str">
        <x:v>Sun Tzu'nun en ünlü cümlesi şu: "En büyük zafer, savaşmadan kazanmaktır."
Bu pasiflik değil. Derin bir strateji.
Savaşmak maliyetlidir. Kazansanız bile kayıplarınız var. Rakip zayıflar ama siz de. Zaman harcanır. Enerji harcanır.
##Ama rakibinizi hiç savaşmadan kazanmak — ikna etmek, konumlandırmak, alternatifsiz kılmak — bu en verimli zaferdir.##
Modern iş dünyasında bu şu anlama geliyor: Rakiplerle aynı kategoride yarışmak yerine, yeni bir kategori yaratmak. Müşterilere "bizi seçin" demek yerine, onları alternatifsiz bırakmak.
Müzakerede: Karşı tarafı yenmeye çalışmak yerine, anlaşmanın her iki taraf için en iyi seçenek olduğunu göstermek.
Liderlikte: Otorite ile zorlamak yerine, insanları gerçekten ikna etmek.
Sun Tzu bu prensipleri 2500 yıl önce yazdı. Ama temeli değişmiyor: Zekice kuvvetten daha değerlidir.
$$Zaferin en az maliyetlisi, mücadele bile gerektirmeyendir.$$
&amp;&amp;Hayatında ya da işinde şu an savaştığın bir şey var mı? Savaşmadan kazanmanın yolu nedir?&amp;&amp;</x:v>
      </x:c>
      <x:c r="K174" s="37" t="str"/>
      <x:c r="L174" s="37" t="str"/>
      <x:c r="M174" s="37" t="str"/>
      <x:c r="N174" s="37" t="str"/>
      <x:c r="O174" s="37" t="str"/>
    </x:row>
    <x:row r="175" ht="20" customHeight="1">
      <x:c r="A175" s="33" t="n">
        <x:v>1232</x:v>
      </x:c>
      <x:c r="B175" s="34" t="str">
        <x:v>1</x:v>
      </x:c>
      <x:c r="C175" s="34" t="str">
        <x:v>Büyüme</x:v>
      </x:c>
      <x:c r="D175" s="34" t="str">
        <x:v>Değişim</x:v>
      </x:c>
      <x:c r="E175" s="34" t="str">
        <x:v>Değişimin Gücü</x:v>
      </x:c>
      <x:c r="F175" s="34" t="str">
        <x:v>Chip Heath</x:v>
      </x:c>
      <x:c r="G175" s="34" t="str">
        <x:v>2010</x:v>
      </x:c>
      <x:c r="H175" s="37" t="str">
        <x:v>Fil ve kazık</x:v>
      </x:c>
      <x:c r="I175" s="37" t="str">
        <x:v>Küçük bir kazığa zincirlenmiş büyük bir fil kaçmaya çalışmaz; insanlar da eski inançlarla sınırlanır ve bu inançların kökeni çoğu zaman unutulmuştur.</x:v>
      </x:c>
      <x:c r="J175" s="37" t="str">
        <x:v>Bir sirkte büyük bir fil, küçük bir kazığa ince bir zincirle bağlıydı.
Fil istese kazığı yerinden sökerdi. Ama denemiyordu.
Neden?
##Fil yavruken aynı zincirle bağlanmıştı. O zaman kaçmayı denemiş, başaramamıştı. Ve "kaçamam" inancı zihnine işlenmişti.##
Chip Heath bu metaforu insana uyguluyor. Çoğumuz, artık geçerliliğini yitirmiş inançlara zincirlenmiş hâldeyiz.
"Matematik becerim yok." "Konuşmakta iyiyim ama yazmakta değilim." "Ben girişimci tipi değilim."
Bu inançların çoğu çocuklukta ya da erken yetişkinlikte form aldı. O zamanki koşullarda belki doğruydu. Ama koşullar değişti.
Fil büyüdü. Kazık küçük kaldı. Ama fil hâlâ denemiyor.
Heath şunu soruyor: Kendi hayatındaki kazıklar neler? Ve gerçekten o zinciri kıramazsın mı, yoksa artık güçlü olduğunu bilmiyor musun?
$$Sizi hapseden inançlar çoğu zaman artık geçerliliğini yitirmiş eski hikayelerdir.$$
&amp;&amp;"Ben bunu yapamam" dediğin bir şeyi düşün. Bu inanç ne zaman ve nasıl oluştu? Bugün hâlâ doğru mu?&amp;&amp;</x:v>
      </x:c>
      <x:c r="K175" s="37" t="str"/>
      <x:c r="L175" s="37" t="str"/>
      <x:c r="M175" s="37" t="str"/>
      <x:c r="N175" s="37" t="str"/>
      <x:c r="O175" s="37" t="str"/>
    </x:row>
    <x:row r="176" ht="20" customHeight="1">
      <x:c r="A176" s="33" t="n">
        <x:v>1233</x:v>
      </x:c>
      <x:c r="B176" s="34" t="str">
        <x:v>1</x:v>
      </x:c>
      <x:c r="C176" s="34" t="str">
        <x:v>Büyüme</x:v>
      </x:c>
      <x:c r="D176" s="34" t="str">
        <x:v>Değişim</x:v>
      </x:c>
      <x:c r="E176" s="34" t="str">
        <x:v>Değişimin Gücü</x:v>
      </x:c>
      <x:c r="F176" s="34" t="str">
        <x:v>Chip Heath</x:v>
      </x:c>
      <x:c r="G176" s="34" t="str">
        <x:v>2010</x:v>
      </x:c>
      <x:c r="H176" s="37" t="str">
        <x:v>Akıl ve kalp — değişimin iki motoru</x:v>
      </x:c>
      <x:c r="I176" s="37" t="str">
        <x:v>Heath kardeşler, başarılı değişimlerin hem mantığa hem duygulara hitap ettiğini ve yalnızca birine odaklanmanın neden başarısız olduğunu anlatıyor.</x:v>
      </x:c>
      <x:c r="J176" s="37" t="str">
        <x:v>Chip ve Dan Heath şu soruyu soruyorlar: Değişim neden bu kadar zor?
Cevapları bir metafor: Fil ve binicisi.
Fil duygu. Binici akıl. İkisi aynı yönde gidince ilerleme var. Ama fil başka yöne gitmek isteyince, binici ne yaparsa yapsın fili tutamaz.
##"Değişim direktifleri akla hitap eder. Ama akıl yorulur. Duygu ise fili hareket ettirir."##
Diyet yapmak istiyorsunuz. Aklınız "şeker zararlı" diyor. Ama duygularınız "şeker ödül, şeker teselli" diyor. Kim kazanıyor?
Heath kardeşlerin çözümü şu: Hem biniciye hem file hitap edin.
Biniciye: Net bir yol haritası verin. "Sağlıklı yemek" belirsiz. "Her gün bir tabak sebze" net.
File: Kimliği değiştirin. "Diyet yapıyorum" yerine "sağlıklı biriyim."
Ve yolu şekillendirin: Ortamı değiştirin, sağlıklı seçimi kolaylaştırın.
$$Değişim yalnızca irade meselesi değil — hem duyguyu hem aklı hem ortamı düzenlemektir.$$
&amp;&amp;Başarmak isteyip başaramadığın bir değişim var mı? Orada binicin mi yoksa filin mi hakim?&amp;&amp;</x:v>
      </x:c>
      <x:c r="K176" s="37" t="str"/>
      <x:c r="L176" s="37" t="str"/>
      <x:c r="M176" s="37" t="str"/>
      <x:c r="N176" s="37" t="str"/>
      <x:c r="O176" s="37" t="str"/>
    </x:row>
    <x:row r="177" ht="20" customHeight="1">
      <x:c r="A177" s="33" t="n">
        <x:v>1234</x:v>
      </x:c>
      <x:c r="B177" s="34" t="str">
        <x:v>1</x:v>
      </x:c>
      <x:c r="C177" s="34" t="str">
        <x:v>İletişim</x:v>
      </x:c>
      <x:c r="D177" s="34" t="str">
        <x:v>İletişim</x:v>
      </x:c>
      <x:c r="E177" s="34" t="str">
        <x:v>Yapışkan Fikirler</x:v>
      </x:c>
      <x:c r="F177" s="34" t="str">
        <x:v>Chip Heath</x:v>
      </x:c>
      <x:c r="G177" s="34" t="str">
        <x:v>2007</x:v>
      </x:c>
      <x:c r="H177" s="37" t="str">
        <x:v>Jared ve Subway diyeti</x:v>
      </x:c>
      <x:c r="I177" s="37" t="str">
        <x:v>Jared günde iki Subway sandviçiyle 110 kilo verdi; bu hikaye soyut 'düşük kalorili' mesajından çok daha güçlü ve akılda kalıcıydı.</x:v>
      </x:c>
      <x:c r="J177" s="37" t="str">
        <x:v>Subway'in pazarlama sorunu vardı: "Sağlıklı fast food" mesajını nasıl aktaracaklar?
"Düşük kalori" soyut. "Besin değeri yüksek" soyut. İnsanlar hissetmiyor.
Sonra bir öğrenci gazetesinde bir hikaye çıktı: Jared adlı bir üniversite öğrencisi, her gün Subway'den iki sandviç yiyerek 110 kilo vermişti.
##Subway o hikayeyi reklama taşıdı. Satışlar patladı.##
Chip ve Dan Heath bunu şöyle açıklıyor: "Düşük kalori" rakam. "Jared 110 kilo verdi" hikaye.
Rakamlar hafızada kalmaz. Hikayeler kalır.
Neden? Çünkü hikaye somut. Gerçek bir insan, gerçek bir dönüşüm. Ve izleyici kendini o insanın yerine koyabiliyor.
Heath kardeşlerin "SUCCES" modeli yapışkan fikirlerin altı özelliğini listeli:
Basit, Beklenmedik, Somut, İnanılır, Duygusal, Hikayeli.
Jared'in hikayesi bunların çoğunu taşıyordu.
$$İnsanlar fikir hatırlamaz; fikrin içindeki insanı hatırlar.$$
&amp;&amp;İletmek istediğin önemli bir fikir var mı? O fikri bir insan hikayesiyle nasıl anlatırsın?&amp;&amp;</x:v>
      </x:c>
      <x:c r="K177" s="37" t="str"/>
      <x:c r="L177" s="37" t="str"/>
      <x:c r="M177" s="37" t="str"/>
      <x:c r="N177" s="37" t="str"/>
      <x:c r="O177" s="37" t="str"/>
    </x:row>
    <x:row r="178" ht="20" customHeight="1">
      <x:c r="A178" s="33" t="n">
        <x:v>1235</x:v>
      </x:c>
      <x:c r="B178" s="34" t="str">
        <x:v>1</x:v>
      </x:c>
      <x:c r="C178" s="34" t="str">
        <x:v>İletişim</x:v>
      </x:c>
      <x:c r="D178" s="34" t="str">
        <x:v>İletişim</x:v>
      </x:c>
      <x:c r="E178" s="34" t="str">
        <x:v>Yapışkan Fikirler</x:v>
      </x:c>
      <x:c r="F178" s="34" t="str">
        <x:v>Chip Heath</x:v>
      </x:c>
      <x:c r="G178" s="34" t="str">
        <x:v>2007</x:v>
      </x:c>
      <x:c r="H178" s="37" t="str">
        <x:v>Sürpriz ve merak boşluğu</x:v>
      </x:c>
      <x:c r="I178" s="37" t="str">
        <x:v>Heath kardeşler, dikkat çekmenin en güçlü yolunun beklentileri kırmak ve merak boşluğu yaratmak olduğunu araştırmalarla gösteriyor.</x:v>
      </x:c>
      <x:c r="J178" s="37" t="str">
        <x:v>Chip Heath bir soru soruyor: "Günde ortalama kaç reklam mesajıyla karşılaşıyorsunuz?"
Tahminler: 50, 100, belki 200.
Araştırmanın cevabı: 3.000 ila 20.000 arası.
##Ve bunların neredeyse hiçbirini hatırlamıyorsunuz.##
Neden bazı mesajlar yapışıyor, diğerleri akıp gidiyor?
Heath kardeşler'in cevabı: Sürpriz.
Beyin tahmine göre çalışıyor. Her an "sırada ne gelecek?" diye bekliyor. Tahmin tuttuğunda, beyin mesajı işlemeden geçiyor.
Ama beklentiyi kıran bir şey olunca — beklenmedik bir gerçek, şaşırtıcı bir istatistik, alışılmadık bir bağlantı — beyin duraksıyor. "Bu ilginç. Daha fazla bilmek istiyorum."
Bu "merak boşluğu." Bilmediğinizin farkında olduğunuzda, doldurmak istiyorsunuz.
En iyi hikaye anlatıcıları bu merak boşluğunu kasıtlı yaratıyor. Baştan cevabı vermiyorlar. Soruyu soruyorlar. Gerilim yaratıyorlar.
$$Beklentiyi kırmak dikkat çeker; merak ise o dikkati tutar.$$
&amp;&amp;İlettiğin mesajları ya da sunumları düşün. Başında bir sürpriz ya da merak yaratan bir soru var mı?&amp;&amp;</x:v>
      </x:c>
      <x:c r="K178" s="37" t="str"/>
      <x:c r="L178" s="37" t="str"/>
      <x:c r="M178" s="37" t="str"/>
      <x:c r="N178" s="37" t="str"/>
      <x:c r="O178" s="37" t="str"/>
    </x:row>
    <x:row r="179" ht="20" customHeight="1">
      <x:c r="A179" s="33" t="n">
        <x:v>1236</x:v>
      </x:c>
      <x:c r="B179" s="34" t="str">
        <x:v>1</x:v>
      </x:c>
      <x:c r="C179" s="34" t="str">
        <x:v>Finans</x:v>
      </x:c>
      <x:c r="D179" s="34" t="str">
        <x:v>Pazarlama</x:v>
      </x:c>
      <x:c r="E179" s="34" t="str">
        <x:v>Hikaye Anlatıcısı</x:v>
      </x:c>
      <x:c r="F179" s="34" t="str">
        <x:v>Donald Miller</x:v>
      </x:c>
      <x:c r="G179" s="34" t="str">
        <x:v>2017</x:v>
      </x:c>
      <x:c r="H179" s="37" t="str">
        <x:v>Kahraman ve rehber</x:v>
      </x:c>
      <x:c r="I179" s="37" t="str">
        <x:v>Miller, her müşterinin kendi hikayesinin kahramanı olduğunu ve şirketin kahraman değil rehber olmak zorunda olduğunu anlatır; Yoda Luke'un yerini almadı.</x:v>
      </x:c>
      <x:c r="J179" s="37" t="str">
        <x:v>Donald Miller şu soruyu soruyor: "Web sitenizde müşterinizden mi bahsediyorsunuz, yoksa kendinizden mi?"
Büyük çoğunluk dürüstçe cevap veriyor: Kendimizden.
"Biz 1990'dan beri çalışıyoruz." "Biz alanımızda öncüyüz." "Bizim değerlerimiz şunlardır."
Miller şöyle diyor:
##"Müşteri bu mesajı gördüğünde şunu düşünüyor: Ve bu benim ne işime yarar?"##
Star Wars'ı düşünün. Luke Skywalker kahraman. Yoda rehber.
Yoda hikayelerde "ben çok güçlüyüm, bak" demiyor. "Sen nasıl güçlenirsin?" diye soruyor.
Miller'ın mesajı: Şirketler Yoda olmalı. Müşteri Luke.
Müşterinizin problemi nedir? Siz nasıl yardım ediyorsunuz? Yardımınızla müşteri hayatı nasıl değişiyor?
Bu çerçeve her şeyi değiştiriyor: Pazarlama metni, web sitesi, satış konuşması, marka sesi.
$$İnsanlar sizin hikayenizi duymak istemez. Kendi hikayelerinde kahraman olmak ister.$$
&amp;&amp;Şu an müşterilerine ya da çevrenine hitap ederken kendinizden mi konuşuyorsunuz, onlardan mı?&amp;&amp;</x:v>
      </x:c>
      <x:c r="K179" s="37" t="str"/>
      <x:c r="L179" s="37" t="str"/>
      <x:c r="M179" s="37" t="str"/>
      <x:c r="N179" s="37" t="str"/>
      <x:c r="O179" s="37" t="str"/>
    </x:row>
    <x:row r="180" ht="20" customHeight="1">
      <x:c r="A180" s="33" t="n">
        <x:v>1237</x:v>
      </x:c>
      <x:c r="B180" s="34" t="str">
        <x:v>1</x:v>
      </x:c>
      <x:c r="C180" s="34" t="str">
        <x:v>Finans</x:v>
      </x:c>
      <x:c r="D180" s="34" t="str">
        <x:v>Pazarlama</x:v>
      </x:c>
      <x:c r="E180" s="34" t="str">
        <x:v>Hikaye Anlatıcısı</x:v>
      </x:c>
      <x:c r="F180" s="34" t="str">
        <x:v>Donald Miller</x:v>
      </x:c>
      <x:c r="G180" s="34" t="str">
        <x:v>2017</x:v>
      </x:c>
      <x:c r="H180" s="37" t="str">
        <x:v>BrandScript ve basit mesaj</x:v>
      </x:c>
      <x:c r="I180" s="37" t="str">
        <x:v>Miller, karmaşık mesajların müşteriyi kaybettiğini ve en güçlü markaların hikayeyi tek bir cümleye indirgeyen netliğe sahip olduğunu gösteriyor.</x:v>
      </x:c>
      <x:c r="J180" s="37" t="str">
        <x:v>Donald Miller'ın danışmanlık yaptığı şirketlerde tekrar eden bir sorun vardı.
Şirkete ne yaptığını sordukların, uzun açıklamalar geliyordu. İnsanlar anlıyordu ama hatırlamıyordu.
Miller bunu şöyle tanımlıyor: "Eğer bir cümlede anlatamıyorsanız, müşteriniz de anlatamaz."
##Ve müşteriniz anlatamıyorsa, sizi tavsiye edemez.##
Miller'ın "BrandScript" çerçevesi şu soruları soruyor:
Müşterinizin problemi ne?
Siz onlara nasıl yardım ediyorsunuz?
Başarı nasıl görünüyor?
Bu üç sorunun cevabı netleşince, tüm iletişim sadeleşiyor.
Bir müşteri şöyle demeli: "Ah, onlar X problemi olan insanlara Y yapıyor, ve sonunda Z oluyor." Bu kadar.
Miller şunu söylüyor: Karmaşıklık güvensizlikten geliyor. En güçlü markalar en basit mesajları taşıyor. Apple: "Düşün farklı." Nike: "Just do it."
İki kelime. Ama arkasında net bir hikaye.
$$Mesajın ne kadar basit olduğu, ne kadar anlaşılacağını belirler.$$
&amp;&amp;Şu an yaptığın işi ya da sunduğun değeri tek bir cümleyle anlatabilir misin? Dene.&amp;&amp;</x:v>
      </x:c>
      <x:c r="K180" s="37" t="str"/>
      <x:c r="L180" s="37" t="str"/>
      <x:c r="M180" s="37" t="str"/>
      <x:c r="N180" s="37" t="str"/>
      <x:c r="O180" s="37" t="str"/>
    </x:row>
    <x:row r="181" ht="20" customHeight="1">
      <x:c r="A181" s="33" t="n">
        <x:v>1238</x:v>
      </x:c>
      <x:c r="B181" s="34" t="str">
        <x:v>1</x:v>
      </x:c>
      <x:c r="C181" s="34" t="str">
        <x:v>Bilim</x:v>
      </x:c>
      <x:c r="D181" s="34" t="str">
        <x:v>Teknoloji</x:v>
      </x:c>
      <x:c r="E181" s="34" t="str">
        <x:v>Doğrusal Olmayan Gelecek</x:v>
      </x:c>
      <x:c r="F181" s="34" t="str">
        <x:v>Ray Kurzweil</x:v>
      </x:c>
      <x:c r="G181" s="34" t="str">
        <x:v>2005</x:v>
      </x:c>
      <x:c r="H181" s="37" t="str">
        <x:v>Katlanarak büyüme paradoksu</x:v>
      </x:c>
      <x:c r="I181" s="37" t="str">
        <x:v>Kurzweil, teknolojik büyümenin doğrusal değil üstel olduğunu ve insanların bu farkı kavrayamamasının neden büyük fırsatları kaçırdıklarını gösteriyor.</x:v>
      </x:c>
      <x:c r="J181" s="37" t="str">
        <x:v>Ray Kurzweil bir örnek veriyor.
Bir havuz düşünün. Her gün su bitlerle iki katına çıkıyor. 30. günde havuz dolu olacak.
28. günde havuz ne kadar dolu?
Dörtte bir. Sadece yüzde yirmi beş.
##29. gün yarı dolu. 30. gün tam dolu.##
Son iki günde ne kadar hızlı doldu!
Kurzweil bunu teknoloji için kullanıyor. İnsan zihni doğrusal düşünüyor. "Her yıl biraz gelişiyor, o zaman 10 yıl sonra biraz daha gelişmiş olur."
Ama teknoloji üstel büyüyor. Her adım bir öncekini ikiye katlar. Ve bu katlamalar yeterince büyüdüğünde, değişim sizi şaşırtacak hızda gelir.
1990'da "internet 20 yıl içinde her şeyi değiştirecek" deseydiniz, kimse inanmazdı.
2000'de "akıllı telefon 10 yıl içinde her yerde olacak" deseydiniz, kimse inanmazdı.
2010'da yapay zeka hakkında ne düşünüyordunuz?
$$Üstel değişimi doğrusal zihinle tahmin etmek, her seferinde yetersiz kalır.$$
&amp;&amp;10 yıl önce bugünkü teknolojiyi tahmin edebilir miydin? Şimdi 10 yıl sonrasını tahmin etmeye çalışırsan ne görüyorsun?&amp;&amp;</x:v>
      </x:c>
      <x:c r="K181" s="37" t="str"/>
      <x:c r="L181" s="37" t="str"/>
      <x:c r="M181" s="37" t="str"/>
      <x:c r="N181" s="37" t="str"/>
      <x:c r="O181" s="37" t="str"/>
    </x:row>
    <x:row r="182" ht="20" customHeight="1">
      <x:c r="A182" s="33" t="n">
        <x:v>1239</x:v>
      </x:c>
      <x:c r="B182" s="34" t="str">
        <x:v>1</x:v>
      </x:c>
      <x:c r="C182" s="34" t="str">
        <x:v>Bilim</x:v>
      </x:c>
      <x:c r="D182" s="34" t="str">
        <x:v>Teknoloji</x:v>
      </x:c>
      <x:c r="E182" s="34" t="str">
        <x:v>Doğrusal Olmayan Gelecek</x:v>
      </x:c>
      <x:c r="F182" s="34" t="str">
        <x:v>Ray Kurzweil</x:v>
      </x:c>
      <x:c r="G182" s="34" t="str">
        <x:v>2005</x:v>
      </x:c>
      <x:c r="H182" s="37" t="str">
        <x:v>İnsan-makine entegrasyonu</x:v>
      </x:c>
      <x:c r="I182" s="37" t="str">
        <x:v>Kurzweil, teknolojik tekil noktanın yaklaştığını ve insan ile yapay zekanın entegrasyonunun kaçınılmaz olduğunu öngörürken buna nasıl hazırlanmamız gerektiğini tartışıyor.</x:v>
      </x:c>
      <x:c r="J182" s="37" t="str">
        <x:v>Ray Kurzweil 1990'da cesur tahminler yaptı.
2000'e kadar: İnternet her yerde olacak. Oldu.
2009'a kadar: Bilgisayar satranç şampiyonu olacak. Oldu.
2023'e kadar: Yapay zeka insan düzeyinde dil anlayışına ulaşacak. Oldu.
##Kurzweil 2029 için de bir tahmin yapıyor: Yapay zeka Turing testini geçecek — yani bir insandan ayırt edilemez hale gelecek.##
Ve daha büyük bir tahmin: 2045'e kadar "tekillik" — insan ve yapay zeka entegrasyonunun insanı biyolojik sınırlardan özgürleştireceği nokta.
Bu ütopya mı, distopya mı? Kurzweil iyimser. Ama soruları da var.
En büyük soru şu: Bu değişimlere nasıl hazırlanırız?
Kurzweil şunu söylüyor: Değişimi anlamak, onu şekillendirme kapasitesi verir. Kaçmak ya da inkar etmek ise sizi o değişimin nesnesi yapar, öznesi değil.
$$Geleceği tahmin edemeyebilirsiniz. Ama hazır olmak için her zaman zaman var.$$
&amp;&amp;Yapay zekanın iş ve hayat üzerindeki etkilerine hazırlanmak için şu an ne yapıyorsunuz?&amp;&amp;</x:v>
      </x:c>
      <x:c r="K182" s="37" t="str"/>
      <x:c r="L182" s="37" t="str"/>
      <x:c r="M182" s="37" t="str"/>
      <x:c r="N182" s="37" t="str"/>
      <x:c r="O182" s="37" t="str"/>
    </x:row>
    <x:row r="183" ht="20" customHeight="1">
      <x:c r="A183" s="33" t="n">
        <x:v>1240</x:v>
      </x:c>
      <x:c r="B183" s="34" t="str">
        <x:v>1</x:v>
      </x:c>
      <x:c r="C183" s="34" t="str">
        <x:v>İletişim</x:v>
      </x:c>
      <x:c r="D183" s="34" t="str">
        <x:v>İletişim</x:v>
      </x:c>
      <x:c r="E183" s="34" t="str">
        <x:v>İkna Sanatı</x:v>
      </x:c>
      <x:c r="F183" s="34" t="str">
        <x:v>Dale Carnegie</x:v>
      </x:c>
      <x:c r="G183" s="34" t="str">
        <x:v>1936</x:v>
      </x:c>
      <x:c r="H183" s="37" t="str">
        <x:v>Köpek çalan komşuya farklı yaklaşım</x:v>
      </x:c>
      <x:c r="I183" s="37" t="str">
        <x:v>Carnegie, komşusunun köpeğini çalmakla suçlamak yerine onu anlayışla dinleyen adamın köpeği geri aldığını anlatarak insanları anlamanın ikna etmekten önce geldiğini gösteriyor.</x:v>
      </x:c>
      <x:c r="J183" s="37" t="str">
        <x:v>Carnegie'nin anlattığı hikayede bir adam komşusu hakkında şüpheleniyor.
Bahçesinden küçük köpeği kaybolmuş. Komşusu son günlerde garip davranıyor. Birkaç kez köpeğe baktığını görmüş.
İki yol var önünde.
Birincisi: Kapısına gidip suçlamak. "Köpeğimi aldın, geri ver."
İkincisi: Başka bir şey denemek.
Adam ikinci yolu seçti. Komşusunun kapısına gitti. Ama suçlamakla başlamadı.
"Sizi ziyaret etmek istedim" dedi. İçeri girdi. Oturdu. Komşunun bahçesiyle ilgili soru sordu. Bahçeden söz etti. Hayatından konuştu.
Sonunda komşu kalktı, arka kapıyı açtı ve köpeği getirdi.
##"Onu aramaya geldiğini anladım" dedi. "Vermek istedim ama nasıl diyeceğimi bilemedim."##
Carnegie bu hikayeyi şöyle yorumluyor: Çoğu çatışma doğrudan yüzleşmeyle değil, karşındakine alan açmakla çözülür.
İnsanlar kendilerini savunmaya geçmediklerinde, çoğu zaman doğruyu yapmak isterler. Ama suçlanınca önce savunma duvarı örülür — ve o duvarın arkasında hiçbir şey değişmez.
$$İkna etmeden önce anlaşılmak isteyen bir insan var karşında — onu gör.$$
&amp;&amp;Şu an bir çatışma yaşadığın ya da çözmek istediğin bir durum var mı? Suçlamak yerine dinlemek ne değiştirir?&amp;&amp;</x:v>
      </x:c>
      <x:c r="K183" s="37" t="str"/>
      <x:c r="L183" s="37" t="str"/>
      <x:c r="M183" s="37" t="str"/>
      <x:c r="N183" s="37" t="str"/>
      <x:c r="O183" s="37" t="str"/>
    </x:row>
    <x:row r="184" ht="20" customHeight="1">
      <x:c r="A184" s="33" t="n">
        <x:v>1241</x:v>
      </x:c>
      <x:c r="B184" s="34" t="str">
        <x:v>1</x:v>
      </x:c>
      <x:c r="C184" s="34" t="str">
        <x:v>İletişim</x:v>
      </x:c>
      <x:c r="D184" s="34" t="str">
        <x:v>İletişim</x:v>
      </x:c>
      <x:c r="E184" s="34" t="str">
        <x:v>İkna Sanatı</x:v>
      </x:c>
      <x:c r="F184" s="34" t="str">
        <x:v>Dale Carnegie</x:v>
      </x:c>
      <x:c r="G184" s="34" t="str">
        <x:v>1936</x:v>
      </x:c>
      <x:c r="H184" s="37" t="str">
        <x:v>Roosevelt'in isim ezberleyen dehası</x:v>
      </x:c>
      <x:c r="I184" s="37" t="str">
        <x:v>Carnegie, Roosevelt'in hizmetçilerden senatörlere kadar herkesi ismiyle hatırlamasının ne kadar güçlü bir etki yarattığını anlatıyor.</x:v>
      </x:c>
      <x:c r="J184" s="37" t="str">
        <x:v>Theodore Roosevelt Beyaz Saray'a geldiğinde çalışanları şaşırdı.
Başkanlar genellikle personelle çok az ilgilenirdi. Ama Roosevelt farklıydı.
Her çalışanın adını öğrendi. Aşçının adını, bahçıvanın adını, hizmetçilerin adlarını. Onları gördüğünde adlarıyla seslendi. Ailelerini sordu. Geçen hafta anlattıkları şeyi hatırladı.
##Beyaz Saray personeli Roosevelt'i "en iyi patron" olarak tanımladı. Onun için her şeyi yaparlardı.##
Carnegie bunu şöyle açıklıyor: İnsanın adı, o kişi için dünyadaki en tatlı ve en önemli sestir.
Ama Roosevelt bunu sadece çalışanlarıyla yapmıyordu. Senatörlerle, yabancı liderlerle, gazetecilerle de aynı şekilde davranıyordu.
Bir toplantıdan önce karşılacağı kişi hakkında bilgi toplardı. Neyle ilgilendiğini öğrenir, o konuda hazırlık yapardı.
Toplantıda karşısındaki şunu hissederdi: "Bu adam gerçekten benimle ilgileniyor."
Carnegie'nin tespiti: İnsanlar sizi ne söylediğiniz için değil, onları nasıl hissettirdiğiniz için hatırlar.
$$Bir insana verebileceğiniz en büyük hediye tam dikkatiniz ve adını hatırlamanızdır.$$
&amp;&amp;Son tanıştığın kişinin adını hatırlıyor musun? Hatırlamıyorsan, o anı yeniden yaşasaydın ne farklı yapardın?&amp;&amp;</x:v>
      </x:c>
      <x:c r="K184" s="37" t="str"/>
      <x:c r="L184" s="37" t="str"/>
      <x:c r="M184" s="37" t="str"/>
      <x:c r="N184" s="37" t="str"/>
      <x:c r="O184" s="37" t="str"/>
    </x:row>
    <x:row r="185" ht="20" customHeight="1">
      <x:c r="A185" s="33" t="n">
        <x:v>1242</x:v>
      </x:c>
      <x:c r="B185" s="34" t="str">
        <x:v>1</x:v>
      </x:c>
      <x:c r="C185" s="34" t="str">
        <x:v>İletişim</x:v>
      </x:c>
      <x:c r="D185" s="34" t="str">
        <x:v>İletişim</x:v>
      </x:c>
      <x:c r="E185" s="34" t="str">
        <x:v>İkna Sanatı</x:v>
      </x:c>
      <x:c r="F185" s="34" t="str">
        <x:v>Dale Carnegie</x:v>
      </x:c>
      <x:c r="G185" s="34" t="str">
        <x:v>1936</x:v>
      </x:c>
      <x:c r="H185" s="37" t="str">
        <x:v>Eleştiri yapmadan değiştirme sanatı</x:v>
      </x:c>
      <x:c r="I185" s="37" t="str">
        <x:v>Carnegie, eleştirinin neden asla işe yaramadığını ve insanları değiştirmenin tek gerçek yolunun onları önemsediğini hissettirmek olduğunu anlatıyor.</x:v>
      </x:c>
      <x:c r="J185" s="37" t="str">
        <x:v>Carnegie bir soru soruyor: Tarihte hiç kimse eleştirilerek mi değişti?
Pek çok kişinin cevabı: "Evet, ben eleştirildim ve değiştim."
Ama Carnegie şunu soruyor: "O an nasıl hissettin? Eleştiriyi kabul ettiğinde içinde ne oldu?"
Çoğunlukla: Savunma. Öfke. "Haklı değiller." Ya da dışarıda kabul, içeride direnç.
##Carnegie'nin tespiti: Eleştiri, onu yapanın kendini iyi hissetmesini sağlar. Ama eleştirilen kişiyi nadiren değiştirir.##
Araştırmalar bunu destekliyor. Eleştiri aldığında beyin tehdit tepkisi veriyor. Amigdala devreye giriyor. Mantıklı düşünme kapanıyor.
O anda değişim değil, hayatta kalma modu var.
Carnegie'nin alternatifi şu: Değiştirmek istediğin kişinin güçlü yanlarını gör. Onu neyle tanımlıyorsa onu pekiştir. İstediğin davranışı kimliğiyle ilişkilendir.
"Sen bu tür hatalar yapan biri değilsin" cümlesi, "yine aynı hatayı yaptın" cümlesinden çok daha güçlü bir değişim tetikleyicisi.
$$İnsanları eleştirerek değil, olabileceklerini göstererek değiştirebilirsin.$$
&amp;&amp;Değişmesini istediğin birine en son ne zaman eleştiri yaptın? Sonuç ne oldu? Bunun yerine ne diyebilirdin?&amp;&amp;</x:v>
      </x:c>
      <x:c r="K185" s="37" t="str"/>
      <x:c r="L185" s="37" t="str"/>
      <x:c r="M185" s="37" t="str"/>
      <x:c r="N185" s="37" t="str"/>
      <x:c r="O185" s="37" t="str"/>
    </x:row>
    <x:row r="186" ht="20" customHeight="1">
      <x:c r="A186" s="33" t="n">
        <x:v>1243</x:v>
      </x:c>
      <x:c r="B186" s="34" t="str">
        <x:v>1</x:v>
      </x:c>
      <x:c r="C186" s="34" t="str">
        <x:v>Verimlilik</x:v>
      </x:c>
      <x:c r="D186" s="34" t="str">
        <x:v>Verimlilik</x:v>
      </x:c>
      <x:c r="E186" s="34" t="str">
        <x:v>Pareto İlkesi</x:v>
      </x:c>
      <x:c r="F186" s="34" t="str">
        <x:v>Richard Koch</x:v>
      </x:c>
      <x:c r="G186" s="34" t="str">
        <x:v>1997</x:v>
      </x:c>
      <x:c r="H186" s="37" t="str">
        <x:v>Bahçedeki bezelyenin sırrı</x:v>
      </x:c>
      <x:c r="I186" s="37" t="str">
        <x:v>Pareto, bahçesindeki bezelye tohumlarının yüzde yirmisinin tüm ürünün yüzde seksenini ürettiğini fark etti ve bu gözlem ekonomiyi dönüştürdü.</x:v>
      </x:c>
      <x:c r="J186" s="37" t="str">
        <x:v>Vilfredo Pareto 1896'da İtalya'da bir bahçede bezelye ekiyordu.
Bir gün hasat yaparken tuhaf bir şeyi fark etti: Tohumların yalnızca yüzde yirmisi, tüm ürünün yüzde seksenini üretiyordu.
Merak etti. Aynı örüntüyü başka yerlerde de aradı.
İtalya'nın arazi sahipliğine baktı: Nüfusun yüzde yirmisi, ülkenin arazilerinin yüzde seksenine sahipti.
Gelir dağılımına baktı: Aynı örüntü.
##Pareto bu gözlemi yayımladı. Yüzyıllar sonra araştırmacılar onu neredeyse her alanda doğruladı.##
Richard Koch bu ilkeyi modern hayata uyguladı: Gelirinin yüzde seksenini hangi yüzde yirmi müşteri getiriyor? Mutluluğunun yüzde seksenini hangi yüzde yirmi aktivite sağlıyor? Zamanının yüzde seksenini hangi yüzde yirmi görev tüketiyor?
Koch bu soruları iş hayatında kullandı ve çalışma saatlerini dramatik biçimde azaltırken gelirini katlayarak artırdı.
Pareto İlkesi bir yasa değil, bir araç. Ama kullanıldığında şunu ortaya çıkarıyor: Çoğu çabamız gerçek sonuçların küçük bir kısmını üretiyor.
$$Daha çok çalışmak değil, doğru şeylere odaklanmak belirleyicidir.$$
&amp;&amp;Şu an hayatında ya da işinde en büyük sonuçları veren yüzde yirmi nedir? O alana daha fazla enerji yönlendirirsen ne olur?&amp;&amp;</x:v>
      </x:c>
      <x:c r="K186" s="37" t="str"/>
      <x:c r="L186" s="37" t="str"/>
      <x:c r="M186" s="37" t="str"/>
      <x:c r="N186" s="37" t="str"/>
      <x:c r="O186" s="37" t="str"/>
    </x:row>
    <x:row r="187" ht="20" customHeight="1">
      <x:c r="A187" s="33" t="n">
        <x:v>1244</x:v>
      </x:c>
      <x:c r="B187" s="34" t="str">
        <x:v>1</x:v>
      </x:c>
      <x:c r="C187" s="34" t="str">
        <x:v>Verimlilik</x:v>
      </x:c>
      <x:c r="D187" s="34" t="str">
        <x:v>Verimlilik</x:v>
      </x:c>
      <x:c r="E187" s="34" t="str">
        <x:v>Pareto İlkesi</x:v>
      </x:c>
      <x:c r="F187" s="34" t="str">
        <x:v>Richard Koch</x:v>
      </x:c>
      <x:c r="G187" s="34" t="str">
        <x:v>1997</x:v>
      </x:c>
      <x:c r="H187" s="37" t="str">
        <x:v>Koch'un çalışma saatlerini yarıya indirmesi</x:v>
      </x:c>
      <x:c r="I187" s="37" t="str">
        <x:v>Richard Koch, Pareto ilkesini kendi kariyerine uygulayarak çalışma saatlerini yarıya indirirken gelirini iki katına çıkardı.</x:v>
      </x:c>
      <x:c r="J187" s="37" t="str">
        <x:v>Richard Koch danışmanlık kariyerinin ortasında bir keşif yaptı.
Hesapladı: Müşterilerinin yüzde sekseninden gelen gelir, toplam gelirinin yüzde yirmisiydi. Ama bu müşteriler zamanının yüzde seksenini alıyordu.
Tersine çevirirse: Müşterilerinin yüzde yirmisi, gelirinin yüzde seksenini getiriyordu. Ve bu müşterilere zamanının yalnızca yüzde yirmisini harcıyordu.
##Koch radikal bir karar aldı: Düşük değerli müşterilerinin büyük çoğunluğunu bıraktı. Çalışma saatlerini haftada 80'den 50'ye indirdi.##
Geliri düştü mü?
Hayır. Arttı.
Çünkü şimdi enerjisinin tamamını en değerli ilişkilere harcıyordu. O ilişkiler büyüdü. Referanslar arttı. Kalite yükseldi.
Koch bunu sonraki yıllarda tekrar tekrar uyguladı. Her seferinde aynı sonuç: Daha az, daha iyi, daha fazla.
Çoğumuz yorgunluğun üretkenliğin kanıtı olduğunu sanıyoruz. Ama Koch şunu öğretti: Yorgunluk çoğu zaman yanlış şeylere harcanan enerjinin belirtisidir.
$$Daha az yaparak daha fazla üretmek, tembellik değil — stratejik netlik.$$
&amp;&amp;Bu hafta hangi görevleri elemek ya da devretmek, gerçekten önemli olanlara daha fazla zaman kazandırır?&amp;&amp;</x:v>
      </x:c>
      <x:c r="K187" s="37" t="str"/>
      <x:c r="L187" s="37" t="str"/>
      <x:c r="M187" s="37" t="str"/>
      <x:c r="N187" s="37" t="str"/>
      <x:c r="O187" s="37" t="str"/>
    </x:row>
    <x:row r="188" ht="20" customHeight="1">
      <x:c r="A188" s="33" t="n">
        <x:v>1245</x:v>
      </x:c>
      <x:c r="B188" s="34" t="str">
        <x:v>1</x:v>
      </x:c>
      <x:c r="C188" s="34" t="str">
        <x:v>Verimlilik</x:v>
      </x:c>
      <x:c r="D188" s="34" t="str">
        <x:v>Verimlilik</x:v>
      </x:c>
      <x:c r="E188" s="34" t="str">
        <x:v>Pareto İlkesi</x:v>
      </x:c>
      <x:c r="F188" s="34" t="str">
        <x:v>Richard Koch</x:v>
      </x:c>
      <x:c r="G188" s="34" t="str">
        <x:v>1997</x:v>
      </x:c>
      <x:c r="H188" s="37" t="str">
        <x:v>Mutluluğun yüzde yirmi kaynağı</x:v>
      </x:c>
      <x:c r="I188" s="37" t="str">
        <x:v>Koch, Pareto ilkesini yalnızca iş verimliliğine değil mutluluğa da uygulayarak hangi ilişkilerin ve aktivitelerin hayatın büyük çoğunluğunu anlamlı kıldığını gösteriyor.</x:v>
      </x:c>
      <x:c r="J188" s="37" t="str">
        <x:v>Richard Koch bir gün farklı bir soru sordu kendine: Mutluluğun Pareto ilkesi nasıl işliyor?
Hangi ilişkiler, zamanımın yüzde yirmisini alıp mutluluğumun yüzde seksenini veriyor?
Hangi aktiviteler, haftamın yüzde yirmisinde oluyor ama haftamın en iyi hissettiren kısmını oluşturuyor?
##Koch listeler yaptı. Sonuçlar onu şaşırttı: Mutluluğunun büyük çoğunluğu, tahmin ettiğinden çok daha az sayıda kişiden ve aktiviteden geliyordu.##
Ve daha da çarpıcı olanı: O kişilere ve aktivitelere harcadığı zaman, önemlerine göre çok azdı.
Koch bunu hayatın yeniden tasarımı için kullandı. "Hangi ilişkilere daha fazla yatırım yapmalıyım?" "Hangi aktiviteleri daha sık yapmalıyım?" "Neyi hayatımdan çıkarırsam, geride kalan daha iyi olur?"
Bu sorular kolay değil. Çünkü bazı şeylerden vazgeçmek gerekiyor. Ama Koch'un bulduğu şu: Daha az ama daha iyi, çoğu zaman daha çok ama dağınıktan üstün.
$$Mutluluğun büyük çoğunluğu az sayıda kaynaktan gelir — o kaynakları tanımak ve onlara öncelik vermek en önemli hayat seçimidir.$$
&amp;&amp;Son bir ayda seni en çok mutlu eden üç şey neydi? O üç şeye bu ay ne kadar zaman ayırdın?&amp;&amp;</x:v>
      </x:c>
      <x:c r="K188" s="37" t="str"/>
      <x:c r="L188" s="37" t="str"/>
      <x:c r="M188" s="37" t="str"/>
      <x:c r="N188" s="37" t="str"/>
      <x:c r="O188" s="37" t="str"/>
    </x:row>
    <x:row r="189" ht="20" customHeight="1">
      <x:c r="A189" s="33" t="n">
        <x:v>1246</x:v>
      </x:c>
      <x:c r="B189" s="34" t="str">
        <x:v>1</x:v>
      </x:c>
      <x:c r="C189" s="34" t="str">
        <x:v>Verimlilik</x:v>
      </x:c>
      <x:c r="D189" s="34" t="str">
        <x:v>Yaratıcılık</x:v>
      </x:c>
      <x:c r="E189" s="34" t="str">
        <x:v>Yaratıcı Olmak</x:v>
      </x:c>
      <x:c r="F189" s="34" t="str">
        <x:v>Elizabeth Gilbert</x:v>
      </x:c>
      <x:c r="G189" s="34" t="str">
        <x:v>2015</x:v>
      </x:c>
      <x:c r="H189" s="37" t="str">
        <x:v>İlham perisi kapıya geldiğinde</x:v>
      </x:c>
      <x:c r="I189" s="37" t="str">
        <x:v>Gilbert, yaratıcılığı 'ilham perisinin ziyareti' olarak değil her gün masanın başına geçmek olarak tanımlıyor — iyi fikirler sadece çalışanları ziyaret eder.</x:v>
      </x:c>
      <x:c r="J189" s="37" t="str">
        <x:v>Elizabeth Gilbert bir çiftçiyle konuştu.
Çiftçi şöyle dedi: "Tohumlarımı ekiyorum. Yağmur yağsın ya da yağmasın. Güneş çıksın ya da çıkmasın. Hasat iyi olsun ya da olmasın — her gün aynı işi yapıyorum."
Gilbert bu cümleyi duyduğunda bir şey tıkladı içinde.
Yazarlık da böyle çalışıyordu.
##"İlham beklemiyorum" dedi Gilbert. "Masama oturuyorum. Ve o masada oturduğumu gören ilham, bazen ziyarete geliyor."##
Gilbert, yaratıcılık hakkındaki en yaygın efsaneyi yıkıyor: İyi fikirlerin gelmeyi beklediği o "özel an."
Aylarca bekleyebilirsin. Gelmiyor.
Ama her gün o masaya oturduğunda — yazmak istesen de istemesen de, ilham gelmiş de gelmemiş de — bir şey değişiyor. Beyin "bu ciddi bir niyet" olarak kodluyor bu rutini. Ve zamanla, fikirler o rutine eklemleniyor.
Gilbert bunu Amerikalı şair Ruth Stone'dan öğrendiğini söylüyor. Stone, çalışırken şiirlerin uzaktan geldiğini ve yetişmezse geçip gittiğini, yetiştirirse yakaladığını anlatırdı.
Yaratıcılık tesadüf değil. Hazır olanı ziyaret ediyor.
$$İlhama kapıyı açık bırakmanın tek yolu, her gün o masaya oturmaktır.$$
&amp;&amp;Yaratıcı olmak istediğin bir şey var mı — yazmak, çizmek, müzik, herhangi bir şey? Bunu her gün sadece 15 dakika yapsan bir ay sonra nerede olursun?&amp;&amp;</x:v>
      </x:c>
      <x:c r="K189" s="37" t="str"/>
      <x:c r="L189" s="37" t="str"/>
      <x:c r="M189" s="37" t="str"/>
      <x:c r="N189" s="37" t="str"/>
      <x:c r="O189" s="37" t="str"/>
    </x:row>
    <x:row r="190" ht="20" customHeight="1">
      <x:c r="A190" s="33" t="n">
        <x:v>1247</x:v>
      </x:c>
      <x:c r="B190" s="34" t="str">
        <x:v>1</x:v>
      </x:c>
      <x:c r="C190" s="34" t="str">
        <x:v>Verimlilik</x:v>
      </x:c>
      <x:c r="D190" s="34" t="str">
        <x:v>Yaratıcılık</x:v>
      </x:c>
      <x:c r="E190" s="34" t="str">
        <x:v>Yaratıcı Olmak</x:v>
      </x:c>
      <x:c r="F190" s="34" t="str">
        <x:v>Elizabeth Gilbert</x:v>
      </x:c>
      <x:c r="G190" s="34" t="str">
        <x:v>2015</x:v>
      </x:c>
      <x:c r="H190" s="37" t="str">
        <x:v>Korkunun yolcu olması</x:v>
      </x:c>
      <x:c r="I190" s="37" t="str">
        <x:v>Gilbert, yaratıcı insanların korkusuz olmadığını — korkuyla birlikte yolculuk etmeyi öğrendiklerini anlatıyor.</x:v>
      </x:c>
      <x:c r="J190" s="37" t="str">
        <x:v>Elizabeth Gilbert her kitabını yayımlamadan önce aynı şeyi yaşıyor.
Korku.
"Bu iyi değil." "Kimse okumak istemeyecek." "Bir öncekinin yanında hiçbir şey." "Belki hiç yayımlamamalıyım."
Gilbert bu korkuyu yıllarca savaşarak geçirmeye çalıştı. İşe yaramadı.
Sonra farklı bir şey denedi. Korkuyla konuşmaya başladı.
##"Seninle bu yolculuğa çıkacağım" dedi korkuya. "Ama sen araba kullanmayacaksın. Arkada oturacaksın."##
Gilbert bunu şöyle açıklıyor: Yaratıcı insanlar korkusuz değildir. Aksine, genellikle çok korkuyorlar. Ama korkuyla ilişkileri farklı.
Korku'nun görevi tehlike sinyali vermek. Bu işi iyi yapıyor. Ama korku yaratıcı kararlar veremiyor. Sanat hakkında bilgisi yok. Hangi riskin alınmaya değer olduğunu bilmiyor.
O yüzden korku dinlenilir — ama dinleten olmaz.
Bu ayrım küçük görünüyor. Ama pratikte her şeyi değiştiriyor. Korku gitti mi beklemiyorsun. Korkuyla birlikte başlıyorsun.
$$Cesaret korkunun yokluğu değil — korkuyla birlikte yürüyebilmektir.$$
&amp;&amp;Yapmak isteyip korktuğun için ertelediğin bir şey var mı? O korku araba kullanmaya devam ederse ne oluyor?&amp;&amp;</x:v>
      </x:c>
      <x:c r="K190" s="37" t="str"/>
      <x:c r="L190" s="37" t="str"/>
      <x:c r="M190" s="37" t="str"/>
      <x:c r="N190" s="37" t="str"/>
      <x:c r="O190" s="37" t="str"/>
    </x:row>
    <x:row r="191" ht="20" customHeight="1">
      <x:c r="A191" s="33" t="n">
        <x:v>1248</x:v>
      </x:c>
      <x:c r="B191" s="34" t="str">
        <x:v>1</x:v>
      </x:c>
      <x:c r="C191" s="34" t="str">
        <x:v>Verimlilik</x:v>
      </x:c>
      <x:c r="D191" s="34" t="str">
        <x:v>Yaratıcılık</x:v>
      </x:c>
      <x:c r="E191" s="34" t="str">
        <x:v>Yaratıcı Olmak</x:v>
      </x:c>
      <x:c r="F191" s="34" t="str">
        <x:v>Elizabeth Gilbert</x:v>
      </x:c>
      <x:c r="G191" s="34" t="str">
        <x:v>2015</x:v>
      </x:c>
      <x:c r="H191" s="37" t="str">
        <x:v>Merak yaratıcılığın pusulası</x:v>
      </x:c>
      <x:c r="I191" s="37" t="str">
        <x:v>Gilbert, tutku yerine merakı takip etmenin daha erişilebilir ve sürdürülebilir bir yaratıcı hayat kurmanın yolu olduğunu anlatıyor.</x:v>
      </x:c>
      <x:c r="J191" s="37" t="str">
        <x:v>Elizabeth Gilbert uzun yıllar insanlara şunu söyledi: "Tutkunuzu takip edin."
Sonra pişman oldu.
Çünkü "tutku" büyük bir kelime. Ağır. Baskı yaratan. Ve çoğu insan için belirsiz.
"Benim tutkum ne?" sorusu bazen felç edici.
Gilbert farklı bir şey önermeye başladı: Merakı takip et.
##"Merak daha küçük, daha erişilebilir" diyor. "Sizi itmez — çeker."##
Merak şöyle çalışıyor: Bir konuya hafifçe ilgi duyuyorsunuz. Belki çok güçlü değil. Ama içinizde küçük bir "acaba?" var.
Gilbert bu "acaba?"yı takip etmeyi öneriyor. Nereye götürdüğünü görmek için. Büyük bir tutkuya dönüşebilir. Ya da başka bir "acaba?"ya kapı açabilir.
Ama her halükarda, harekete geçirdi sizi.
Gilbert'in kendi hayatında en büyük yaratıcı projeler "bu ilginç" hissiyle başladı. Büyük bir tutku çığlığıyla değil.
Ve merak çoğu zaman tükenmez. Tutku yanar söner. Merak ise sessizce devam eder.
$$Tutkunuzu bilmiyorsanız — merakınıza kulak verin, o da götürür.$$
&amp;&amp;Şu an sizi hafifçe meşgul eden, "acaba?" dedirten ama hâlâ araştırmadığınız bir konu var mı?&amp;&amp;</x:v>
      </x:c>
      <x:c r="K191" s="37" t="str"/>
      <x:c r="L191" s="37" t="str"/>
      <x:c r="M191" s="37" t="str"/>
      <x:c r="N191" s="37" t="str"/>
      <x:c r="O191" s="37" t="str"/>
    </x:row>
    <x:row r="192" ht="20" customHeight="1">
      <x:c r="A192" s="33" t="n">
        <x:v>1249</x:v>
      </x:c>
      <x:c r="B192" s="34" t="str">
        <x:v>1</x:v>
      </x:c>
      <x:c r="C192" s="34" t="str">
        <x:v>Finans</x:v>
      </x:c>
      <x:c r="D192" s="34" t="str">
        <x:v>Finans</x:v>
      </x:c>
      <x:c r="E192" s="34" t="str">
        <x:v>Money: Master the Game</x:v>
      </x:c>
      <x:c r="F192" s="34" t="str">
        <x:v>Tony Robbins</x:v>
      </x:c>
      <x:c r="G192" s="34" t="str">
        <x:v>2014</x:v>
      </x:c>
      <x:c r="H192" s="37" t="str">
        <x:v>Theodore Johnson'ın taze meyve tasarrufu</x:v>
      </x:c>
      <x:c r="I192" s="37" t="str">
        <x:v>UPS çalışanı Johnson hiç büyük maaş almadı ancak her maaşının yüzde yirmisini yatırım yaparak emekliliğinde 70 milyon dolar biriktirdi.</x:v>
      </x:c>
      <x:c r="J192" s="37" t="str">
        <x:v>Theodore Johnson UPS'te çalışıyordu.
Lojistik. Ortalama maaş. Büyük bir miras yok. Ailesinden gelen servet yok.
Ama Johnson bir karar verdi ve ömrü boyunca buna sadık kaldı: Her maaşının yüzde yirmisini yatırıma ayırdı.
Hiç istisnasız. İyi ay, kötü ay. İndirim döneminde, zam döneminde. Her ay, otomatik olarak, düşünmeden.
##Johnson emekli olduğunda finansal danışmanı hesaplamayı yaptı: 70.430.000 dolar.##
Tony Robbins bu hikayeyi şöyle yorumluyor: Johnson'ın sırrı ne yüksek gelir, ne de dahice bir yatırım stratejisiydi. Sadece tutarlılık.
Bileşik faiz — Einstein'ın "dünyanın sekizinci harikası" dediği şey — zamanla mucizeler yaratıyor.
Robbins şu soruyu soruyor: Eğer Johnson bunu yapabiliyorsa, neden herkes yapamıyor?
Cevap psikolojik. Çoğumuz "kalan parayı biriktireceğiz" diyoruz. Johnson ise tersine yaptı: Biriktirmeyi ayırdıktan sonra kalanla yaşadı.
Bu küçük bir fikir değişikliği. Ama sonuçları hayat boyunca birikerek devasa oluyor.
$$Biriktirmeyi "artarsa" değil, "ilk önce" düşüncesiyle yapan — kazanır.$$
&amp;&amp;Her ay kazandığının yüzde kaçını kendin için ayırıyorsun? Bugün bunu otomatik hale getirmek için ne yapabilirsin?&amp;&amp;</x:v>
      </x:c>
      <x:c r="K192" s="37" t="str"/>
      <x:c r="L192" s="37" t="str"/>
      <x:c r="M192" s="37" t="str"/>
      <x:c r="N192" s="37" t="str"/>
      <x:c r="O192" s="37" t="str"/>
    </x:row>
    <x:row r="193" ht="20" customHeight="1">
      <x:c r="A193" s="33" t="n">
        <x:v>1250</x:v>
      </x:c>
      <x:c r="B193" s="34" t="str">
        <x:v>1</x:v>
      </x:c>
      <x:c r="C193" s="34" t="str">
        <x:v>Finans</x:v>
      </x:c>
      <x:c r="D193" s="34" t="str">
        <x:v>Finans</x:v>
      </x:c>
      <x:c r="E193" s="34" t="str">
        <x:v>Money: Master the Game</x:v>
      </x:c>
      <x:c r="F193" s="34" t="str">
        <x:v>Tony Robbins</x:v>
      </x:c>
      <x:c r="G193" s="34" t="str">
        <x:v>2014</x:v>
      </x:c>
      <x:c r="H193" s="37" t="str">
        <x:v>Serbest piyasanın en güçlü kuvveti</x:v>
      </x:c>
      <x:c r="I193" s="37" t="str">
        <x:v>Robbins, bileşik faizin nasıl çalıştığını somut bir örnekle göstererek erken başlamanın neden geç başlamaktan çok daha değerli olduğunu kanıtlıyor.</x:v>
      </x:c>
      <x:c r="J193" s="37" t="str">
        <x:v>Tony Robbins iki kardeşin hikayesini anlatıyor.
Birincisi 19 yaşında yatırım yapmaya başladı. Her yıl 2.000 dolar. 8 yıl boyunca. Sonra tamamen durdurdu. Bir daha hiç para eklemedi.
İkincisi 27 yaşında başladı. Her yıl 2.000 dolar. 39 yıl boyunca. Hiç durmadı.
##65 yaşında birincinin hesabında 1.019.148 dolar vardı. İkincisinin hesabında 1.000.000 dolar.##
Birinci yalnızca 16.000 dolar yatırdı. İkinci 78.000 dolar.
Fark başlama yaşındaydı.
Robbins bu hikayeyi şöyle açıklıyor: Bileşik faiz sadece paranızı büyütmüyor. Zamanla birlikte paranız kendi kendine para kazanıyor. Ve o para kendi parasını kazanıyor.
Erken başlamak tek en güçlü finansal karardır.
Ama insanların büyük çoğunluğu "henüz yeterli param yok" ya da "daha iyi zaman bekleyeyim" diyor.
Robbins'in cevabı net: En iyi zaman dün. İkinci en iyi zaman bugün.
$$Zaman, paranın en güçlü müttefikidir — onu boşa harcamak en büyük finansal hatadır.$$
&amp;&amp;Yatırım yapmaya ne zaman başladın ya da ne zaman başlamak istiyorsun? Bir yıl daha geciktirmenin maliyeti ne olabilir?&amp;&amp;</x:v>
      </x:c>
      <x:c r="K193" s="37" t="str"/>
      <x:c r="L193" s="37" t="str"/>
      <x:c r="M193" s="37" t="str"/>
      <x:c r="N193" s="37" t="str"/>
      <x:c r="O193" s="37" t="str"/>
    </x:row>
    <x:row r="194" ht="20" customHeight="1">
      <x:c r="A194" s="33" t="n">
        <x:v>1251</x:v>
      </x:c>
      <x:c r="B194" s="34" t="str">
        <x:v>1</x:v>
      </x:c>
      <x:c r="C194" s="34" t="str">
        <x:v>Finans</x:v>
      </x:c>
      <x:c r="D194" s="34" t="str">
        <x:v>Finans</x:v>
      </x:c>
      <x:c r="E194" s="34" t="str">
        <x:v>Money: Master the Game</x:v>
      </x:c>
      <x:c r="F194" s="34" t="str">
        <x:v>Tony Robbins</x:v>
      </x:c>
      <x:c r="G194" s="34" t="str">
        <x:v>2014</x:v>
      </x:c>
      <x:c r="H194" s="37" t="str">
        <x:v>Zenginliğin gerçek tanımı</x:v>
      </x:c>
      <x:c r="I194" s="37" t="str">
        <x:v>Robbins, zenginliğin bir rakam olmadığını ve gerçek finansal özgürlüğün ihtiyaçlarınızı karşılamak için çalışmak zorunda kalmamak olduğunu anlatıyor.</x:v>
      </x:c>
      <x:c r="J194" s="37" t="str">
        <x:v>Tony Robbins dünyanın en zengin insanlarından bazılarıyla görüştü.
Ve şunu fark etti: Pek çoğu zengin hissetmiyordu.
Milyarları vardı. Ama daha fazlası olması gerekiyordu. "Hedef"leri hep bir adım ötedeydi.
##Robbins'in tanımı farklı: Zenginlik, pasif gelirinizin giderlerinizi karşıladığı andır. O andan itibaren çalışmak zorunluluk değil, seçim olur.##
Bu tanım önemli çünkü "zenginlik" soyut bir rakamdan somut bir eşiğe dönüşüyor.
Aylık 5.000 dolar gideriniz varsa ve 5.000 dolar pasif geliriniz varsa — finansal özgürlüğe ulaştınız. Bir milyar dolar gerekmez.
Robbins bu çerçeveyi şöyle kullanıyor: Hedef rakam değil, eşik. Ve o eşiği küçüttükçe — yani daha az harcayarak yaşamayı öğrendikçe — özgürlük yaklaşıyor.
Çoğumuz geliri artırmaya odaklanıyoruz. Ama Robbins iki taraflı bir denklem sunuyor: Geliri artır ya da gideri azalt. Ya da ikisini birden.
$$Finansal özgürlük gelirin artmasıyla değil, giderlerin gelirinizi aşmamasıyla gelir.$$
&amp;&amp;Pasif geliriniz şu an aylık giderlerinizin yüzde kaçını karşılıyor? Bu oranı on yılda yüzde yüze çıkarmak için ne gerekiyor?&amp;&amp;</x:v>
      </x:c>
      <x:c r="K194" s="37" t="str"/>
      <x:c r="L194" s="37" t="str"/>
      <x:c r="M194" s="37" t="str"/>
      <x:c r="N194" s="37" t="str"/>
      <x:c r="O194" s="37" t="str"/>
    </x:row>
    <x:row r="195" ht="20" customHeight="1">
      <x:c r="A195" s="33" t="n">
        <x:v>1252</x:v>
      </x:c>
      <x:c r="B195" s="34" t="str">
        <x:v>1</x:v>
      </x:c>
      <x:c r="C195" s="34" t="str">
        <x:v>Felsefe</x:v>
      </x:c>
      <x:c r="D195" s="34" t="str">
        <x:v>Öğrenme</x:v>
      </x:c>
      <x:c r="E195" s="34" t="str">
        <x:v>Zihin Haritası</x:v>
      </x:c>
      <x:c r="F195" s="34" t="str">
        <x:v>Tony Buzan</x:v>
      </x:c>
      <x:c r="G195" s="34" t="str">
        <x:v>1993</x:v>
      </x:c>
      <x:c r="H195" s="37" t="str">
        <x:v>Einstein'ın görsel düşünme sırrı</x:v>
      </x:c>
      <x:c r="I195" s="37" t="str">
        <x:v>Einstein, karmaşık fizik problemlerini çözerken zihinsel görsel haritalar oluşturduğunu anlattı; düşünmenin sözel değil görsel olduğunu kanıtladı.</x:v>
      </x:c>
      <x:c r="J195" s="37" t="str">
        <x:v>Einstein bir röportajda soruldu: "Nasıl düşünüyorsunuz?"
Cevabı beklenmeyendi.
"Kelimeler değil, görüntüler. Bir problemi düşünürken önce zihnimde canlandırıyorum. Işık dalgasının üzerinde nasıl göründüğünü, uzayın nasıl eğrildiğini, hızın zaman üzerindeki etkisini."
"Sonra bunu matematiksel dile çeviriyorum. Ama asıl düşünme görsel."
##Tony Buzan bu itirafı zihin haritasının teorik temeli olarak kullandı: Beyin doğası gereği görsel ve dallanmalı düşünüyor, doğrusal değil.##
Buzan şunu gözlemledi: Geleneksel not alma — alt alta maddeler, lineer liste — beynin gerçek çalışma biçimine ters.
Beyin çağrışımsal çalışıyor. Bir kavram, birden fazla ilişkili kavramı tetikliyor. O kavramlar başka kavramları tetikliyor.
Zihin haritası bu çağrışımsal yapıyı görsel olarak temsil ediyor: Merkezi bir kavram, dallanarak büyüyen ilişkiler, renk ve görsel işaretlerle desteklenmiş.
Araştırmalar zihin haritasıyla alınan notların hatırlanma oranının geleneksel nota kıyasla çok daha yüksek olduğunu gösteriyor.
$$Beyin liste değil ağ düşünür — öğrenme de o ağa uyum sağladığında gerçek olur.$$
&amp;&amp;Son önemli toplantı ya da ders notlarını nasıl aldın? O notları zihin haritasına dönüştürseydin ne değişirdi?&amp;&amp;</x:v>
      </x:c>
      <x:c r="K195" s="37" t="str"/>
      <x:c r="L195" s="37" t="str"/>
      <x:c r="M195" s="37" t="str"/>
      <x:c r="N195" s="37" t="str"/>
      <x:c r="O195" s="37" t="str"/>
    </x:row>
    <x:row r="196" ht="20" customHeight="1">
      <x:c r="A196" s="33" t="n">
        <x:v>1253</x:v>
      </x:c>
      <x:c r="B196" s="34" t="str">
        <x:v>1</x:v>
      </x:c>
      <x:c r="C196" s="34" t="str">
        <x:v>Felsefe</x:v>
      </x:c>
      <x:c r="D196" s="34" t="str">
        <x:v>Öğrenme</x:v>
      </x:c>
      <x:c r="E196" s="34" t="str">
        <x:v>Zihin Haritası</x:v>
      </x:c>
      <x:c r="F196" s="34" t="str">
        <x:v>Tony Buzan</x:v>
      </x:c>
      <x:c r="G196" s="34" t="str">
        <x:v>1993</x:v>
      </x:c>
      <x:c r="H196" s="37" t="str">
        <x:v>Hafıza şampiyonlarının tekniği</x:v>
      </x:c>
      <x:c r="I196" s="37" t="str">
        <x:v>Buzan, hafıza yarışmalarını kazananların doğuştan üstün hafızaya sahip olmadığını, görsel çağrışım tekniklerini kullandıklarını keşfetti.</x:v>
      </x:c>
      <x:c r="J196" s="37" t="str">
        <x:v>Tony Buzan uluslararası hafıza şampiyonlukları organizasyonunu kurduğunda şampiyonları inceledi.
Beklentisi: Olağanüstü hafızaya sahip insanlar.
Bulduğu gerçek: Sıradan hafızaya sahip, ama olağanüstü teknikler kullanan insanlar.
##Şampiyonların hemen hepsi aynı şeyi yapıyordu: Hatırlamak istediklerini görsel hikayeler ve saçma çağrışımlarla kodluyorlardı.##
Örnek: 52 kartlık bir desteyi sırayla ezberlemek için her karta bir karakter ya da nesne atıyorlar. Sonra bu nesneleri tanıdık bir rotada — ev, sokak, alışveriş merkezi — zihinsel olarak yerleştiriyorlar.
Hatırlamak istediklerinde zihinsel rotayı yürüyorlar ve her yerde o nesneyi "görüyorlar."
Bu teknik 2.500 yıllık. Eski Yunan retorikçileri konuşmalarını ezberlemek için "hafıza sarayı" adıyla kullanıyordu.
Buzan'ın keşfi: Hafıza bir yetenek değil, bir beceri. Ve her beceri öğrenilebilir.
İnsan beyni rastgele bilgiyi zorla ezberlemek için değil, görsel, duygusal ve bağlantılı bilgiyi kolayca depolamak için tasarlanmış.
$$Hafıza, bilgiyi zorla doldurmak değil — zihin için anlamlı hikayeler yaratmaktır.$$
&amp;&amp;Hatırlamakta zorlandığın bir şeyi düşün. Onu görsel ve saçma bir hikayeye dönüştürürsen ne kadar farklı hatırlarsın?&amp;&amp;</x:v>
      </x:c>
      <x:c r="K196" s="37" t="str"/>
      <x:c r="L196" s="37" t="str"/>
      <x:c r="M196" s="37" t="str"/>
      <x:c r="N196" s="37" t="str"/>
      <x:c r="O196" s="37" t="str"/>
    </x:row>
    <x:row r="197" ht="20" customHeight="1">
      <x:c r="A197" s="33" t="n">
        <x:v>1254</x:v>
      </x:c>
      <x:c r="B197" s="34" t="str">
        <x:v>1</x:v>
      </x:c>
      <x:c r="C197" s="34" t="str">
        <x:v>Felsefe</x:v>
      </x:c>
      <x:c r="D197" s="34" t="str">
        <x:v>Öğrenme</x:v>
      </x:c>
      <x:c r="E197" s="34" t="str">
        <x:v>Zihin Haritası</x:v>
      </x:c>
      <x:c r="F197" s="34" t="str">
        <x:v>Tony Buzan</x:v>
      </x:c>
      <x:c r="G197" s="34" t="str">
        <x:v>1993</x:v>
      </x:c>
      <x:c r="H197" s="37" t="str">
        <x:v>Her iki beyin yarımküresini birlikte kullanmak</x:v>
      </x:c>
      <x:c r="I197" s="37" t="str">
        <x:v>Buzan, sol beyin analitik düşünürken sağ beynin görsel ve bütünsel düşündüğünü ve ikisini birleştirmenin öğrenmeyi ve yaratıcılığı nasıl katladığını anlatıyor.</x:v>
      </x:c>
      <x:c r="J197" s="37" t="str">
        <x:v>Tony Buzan yıllarca bir soruyu araştırdı: Neden bazı insanlar aynı materyali çok daha hızlı öğrenip çok daha uzun hatırlıyor?
Cevabı beyinde buldu.
Sol yarımküre: Dil, mantık, sıralama, analiz.
Sağ yarımküre: Görsel düşünme, bütünsellik, ritim, renk, hayal gücü.
Geleneksel eğitim büyük ölçüde sol yarımküreyi çalıştırıyor. Kelimeler, listeler, formüller.
##Ama Buzan'ın keşfi şu: Her iki yarımküreyi birlikte kullananlar hem daha hızlı öğreniyor hem de çok daha uzun hatırlıyor.##
Zihin haritası tam da bu yüzden işe yarıyor. Merkezi kavram kelimeyle ifade ediliyor — sol beyin. Ama renkler, görüntüler, dallanma yapısı — sağ beyin.
İkisi birlikte çalışınca, bilgi tek bir "kapıdan" değil iki kapıdan birden beyne giriyor.
Bu sadece not alma için değil. Problem çözmede, karar vermede, yaratıcı süreçlerde de geçerli.
Buzan şöyle diyor: "Her büyük düşünür — da Vinci, Darwin, Einstein — zihinsel görselleştirme kullanıyordu. Bu tesadüf değil."
$$Yalnızca sol beynle düşünmek, tek elle ısırmak gibidir — işe yarar ama yarısı kadar.$$
&amp;&amp;Bir sorunu ya da projeyi görsel olarak — çizmek, haritasını çıkarmak — temsil etmeyi son ne zaman denedin?&amp;&amp;</x:v>
      </x:c>
      <x:c r="K197" s="37" t="str"/>
      <x:c r="L197" s="37" t="str"/>
      <x:c r="M197" s="37" t="str"/>
      <x:c r="N197" s="37" t="str"/>
      <x:c r="O197" s="37" t="str"/>
    </x:row>
    <x:row r="198" ht="20" customHeight="1">
      <x:c r="A198" s="33" t="n">
        <x:v>1255</x:v>
      </x:c>
      <x:c r="B198" s="34" t="str">
        <x:v>1</x:v>
      </x:c>
      <x:c r="C198" s="34" t="str">
        <x:v>Büyüme</x:v>
      </x:c>
      <x:c r="D198" s="34" t="str">
        <x:v>Motivasyon</x:v>
      </x:c>
      <x:c r="E198" s="34" t="str">
        <x:v>Korkusuzluk</x:v>
      </x:c>
      <x:c r="F198" s="34" t="str">
        <x:v>Susan Jeffers</x:v>
      </x:c>
      <x:c r="G198" s="34" t="str">
        <x:v>1987</x:v>
      </x:c>
      <x:c r="H198" s="37" t="str">
        <x:v>Paraşütle atlayan kadın</x:v>
      </x:c>
      <x:c r="I198" s="37" t="str">
        <x:v>Susan Jeffers, paraşütle atlamaktan korkmasına rağmen atlayan bir kadının deneyimiyle korkunun atlatılmasının ama asla geçmeyeceğinin ve kabul etmenin tek yol olduğunu gösteriyor.</x:v>
      </x:c>
      <x:c r="J198" s="37" t="str">
        <x:v>Susan Jeffers bir seminerinde şunu sordu: "Paraşütle atladınız mı?"
Bir kadın elini kaldırdı. "Atladım. Ama korktum."
Jeffers sordu: "Peki atlamadan önce mi daha çok korktunuz, yoksa atlarken mi?"
"Atlamadan önce. Çok daha fazla."
"Bir dahaki atlayışta ne oldu?"
"Yine korktum."
##"Şimdi anladım" dedi Jeffers. "Korku geçmiyor. Ama katlanılabilir hale geliyor."##
Bu Jeffers'ın tüm çalışmasının özü.
"Korkuyu yenin" demiyor. "Korkuya rağmen yapın" diyor.
Jeffers şunu gözlemledi: Korku yapılmayan her şeyle büyüyor. Yapıldığı şeylerle küçülüyor. Ama hiç sıfıra inmiyor.
Bu aslında iyi haber. Çünkü "korku tamamen geçene kadar bekleyeceğim" bir tuzak. Korku geçmiyor. Ama bekleyen insan hayatını askıya alıyor.
"Her yeni başarının ardından yeni bir korku geliyor" diyor Jeffers. "Bu büyümenin belirtisi."
$$Korkunun geçmesini bekliyorsan bekleyebilirsin — ama hayat da bekler.$$
&amp;&amp;Şu an korkudan dolayı yapmadığın, ama yaptıktan sonra pişman olmayacağını bildiğin bir şey nedir?&amp;&amp;</x:v>
      </x:c>
      <x:c r="K198" s="37" t="str"/>
      <x:c r="L198" s="37" t="str"/>
      <x:c r="M198" s="37" t="str"/>
      <x:c r="N198" s="37" t="str"/>
      <x:c r="O198" s="37" t="str"/>
    </x:row>
    <x:row r="199" ht="20" customHeight="1">
      <x:c r="A199" s="33" t="n">
        <x:v>1256</x:v>
      </x:c>
      <x:c r="B199" s="34" t="str">
        <x:v>1</x:v>
      </x:c>
      <x:c r="C199" s="34" t="str">
        <x:v>Büyüme</x:v>
      </x:c>
      <x:c r="D199" s="34" t="str">
        <x:v>Motivasyon</x:v>
      </x:c>
      <x:c r="E199" s="34" t="str">
        <x:v>Korkusuzluk</x:v>
      </x:c>
      <x:c r="F199" s="34" t="str">
        <x:v>Susan Jeffers</x:v>
      </x:c>
      <x:c r="G199" s="34" t="str">
        <x:v>1987</x:v>
      </x:c>
      <x:c r="H199" s="37" t="str">
        <x:v>Acının kaçınılmazlığı ve acıdan kaçma bedeli</x:v>
      </x:c>
      <x:c r="I199" s="37" t="str">
        <x:v>Jeffers, her büyük kararın içinde bir miktar acı olduğunu ve acıdan kaçmaya çalışmanın büyümeyi nasıl engellediğini anlatıyor.</x:v>
      </x:c>
      <x:c r="J199" s="37" t="str">
        <x:v>Susan Jeffers şöyle bir gözlem paylaşıyor.
Kadın işteki zor durumdan kurtulmak için işi bıraktı. Korkularından kaçtı. Ama yeni işte benzer korkular çıktı.
Adam zor ilişkiyi bitirdi. Yeni ilişkisinde benzer örüntüler belirdi.
##Jeffers şunu söylüyor: Sorun dışarıda değil içeride. Ve içeriyi bırakıp gidemezsiniz.##
Bu sert bir gerçek. Ama aynı zamanda özgürleştirici.
Çünkü "dışarıyı değiştirirsem korkum geçer" inancı insanı sürekli kaçışa mahkum ediyor. Her yeni başlangıç kısa süre sonra aynı korkuları yeniden üretiyor.
Jeffers'ın alternatifi: Korkuyla yüzleşmek. Bulunduğun yerde, bulunduğun ilişkide, bulunduğun işte.
Bu kaçmamak anlamına gelmiyor. Bazen gerçekten değişmek gerekiyor. Ama değişimin korkudan değil, netlikten gelmesi gerekiyor.
"Bu ilişki değerlerimle uyuşmuyor" ile "bu ilişki beni korkutuyor" farklı başlangıç noktaları. İlki güçten, ikincisi kaçıştan.
$$Korkudan kaçmak onu küçültmez — peşinizden gelir.$$
&amp;&amp;Şu an kaçmak istediğin bir şey var mı? Kaçmak mı istiyorsun yoksa gerçekten değiştirmek mi?&amp;&amp;</x:v>
      </x:c>
      <x:c r="K199" s="37" t="str"/>
      <x:c r="L199" s="37" t="str"/>
      <x:c r="M199" s="37" t="str"/>
      <x:c r="N199" s="37" t="str"/>
      <x:c r="O199" s="37" t="str"/>
    </x:row>
    <x:row r="200" ht="20" customHeight="1">
      <x:c r="A200" s="33" t="n">
        <x:v>1257</x:v>
      </x:c>
      <x:c r="B200" s="34" t="str">
        <x:v>1</x:v>
      </x:c>
      <x:c r="C200" s="34" t="str">
        <x:v>Büyüme</x:v>
      </x:c>
      <x:c r="D200" s="34" t="str">
        <x:v>Motivasyon</x:v>
      </x:c>
      <x:c r="E200" s="34" t="str">
        <x:v>Korkusuzluk</x:v>
      </x:c>
      <x:c r="F200" s="34" t="str">
        <x:v>Susan Jeffers</x:v>
      </x:c>
      <x:c r="G200" s="34" t="str">
        <x:v>1987</x:v>
      </x:c>
      <x:c r="H200" s="37" t="str">
        <x:v>Sorumluluk ve güç arasındaki bağ</x:v>
      </x:c>
      <x:c r="I200" s="37" t="str">
        <x:v>Jeffers, hayatın her alanında tam sorumluluk almanın kişiyi kurban konumundan çıkarıp güçlü konuma taşıdığını somut örneklerle gösteriyor.</x:v>
      </x:c>
      <x:c r="J200" s="37" t="str">
        <x:v>Susan Jeffers bir egzersiz öneriyor: Şikayet ettiğiniz her şeyin altına yazın: "Bunu ben seçtim."
"İşimden şikayet ediyorum." → "Bu işte kalmayı ben seçiyorum."
"İlişkim iyi gitmiyor." → "Bu ilişkide olmayı ben seçiyorum."
"Yeterli param yok." → "Bu hayat tarzını sürdürmeyi ben seçiyorum."
##İlk başta direnç geliyor. "Hayır, ben seçmedim, koşullar beni buraya sürükledi."##
Jeffers şunu söylüyor: Koşullar gerçek. Ama onlara nasıl tepki verdiğiniz, ne kadar süre kabul ettiğiniz, ne zaman değiştirmek için adım attığınız — bunlar seçim.
"Mağdur" pozisyonu anlaşılabilir. Ama güçsüzleştirici.
"Seçen" pozisyonu ise tam tersi. Her şey değişmeyebilir. Ama aynı koşullara farklı bir tutumla yaklaşabilirsiniz. Ve tutum değiştikçe, koşullar da değişmeye başlıyor.
Jeffers bunu "tam sorumluluk almak" olarak tanımlıyor. Ve şunu ekliyor: Sorumluluk almak suçu üstlenmek değil — gücü geri almak.
$$Hayatınızda kurban değil seçen olduğunuzda, her şey farklı görünmeye başlar.$$
&amp;&amp;Şu an şikayet ettiğin bir şeyi "bunu seçiyorum" cümlesiyle yeniden çerçevele. Bu çerçeve sana nasıl hissettiriyor?&amp;&amp;</x:v>
      </x:c>
      <x:c r="K200" s="37" t="str"/>
      <x:c r="L200" s="37" t="str"/>
      <x:c r="M200" s="37" t="str"/>
      <x:c r="N200" s="37" t="str"/>
      <x:c r="O200" s="37" t="str"/>
    </x:row>
    <x:row r="201" ht="20" customHeight="1">
      <x:c r="A201" s="33" t="n">
        <x:v>1258</x:v>
      </x:c>
      <x:c r="B201" s="34" t="str">
        <x:v>1</x:v>
      </x:c>
      <x:c r="C201" s="34" t="str">
        <x:v>Felsefe</x:v>
      </x:c>
      <x:c r="D201" s="34" t="str">
        <x:v>Felsefe</x:v>
      </x:c>
      <x:c r="E201" s="34" t="str">
        <x:v>Stillness Is the Key</x:v>
      </x:c>
      <x:c r="F201" s="34" t="str">
        <x:v>Ryan Holiday</x:v>
      </x:c>
      <x:c r="G201" s="34" t="str">
        <x:v>2019</x:v>
      </x:c>
      <x:c r="H201" s="37" t="str">
        <x:v>Büyük İskender'in hareketsizlik dersi</x:v>
      </x:c>
      <x:c r="I201" s="37" t="str">
        <x:v>İskender, muazzam seferler öncesinde günlerce hareketsiz bekleyerek ordusuna sabrın ve netliğin gücün en büyük silahı olduğunu öğretti.</x:v>
      </x:c>
      <x:c r="J201" s="37" t="str">
        <x:v>Büyük İskender en büyük zaferlerinden birinin öncesinde ordusuna bekletmek emri verdi.
Düşman görünürde. Askerler heyecanlı. Komutanlar taktik öneriyor. Herkes harekete geçmek istiyor.
İskender bekledi.
Günler geçti. Ordu sabırsızlanıyordu. Komutanlar endişeliydi.
##İskender bir gün kalktı ve şöyle dedi: "Şimdi."##
Savaşı kazandılar.
Ryan Holiday bunu şöyle yorumluyor: İskender'in beklediği dönem boşa geçmemişti. Düşmanı inceliyordu. Zayıf noktaları görüyordu. Ordusunun moralini ölçüyordu. Hava koşullarını bekliyordu.
Dışarıdan hareketsizlik gibi görünen şey, içeriden derin bir hazırlıktı.
Holiday bu fikri "Stillness Is the Key" — Durgunluk Anahtardır — kitabının merkezine koyuyor.
Modern dünya sürekli hareketi ödüllendiriyor. Her şeye hızlı tepki, her zaman meşgul, sürekli üretim.
Ama büyük kararlar genellikle durmayı gerektiriyor. Dinlemeyi. Sessizlikte var olmayı.
$$Hareketsizlik tembellik değil — en güçlü stratejinin hazırlandığı yer.$$
&amp;&amp;Son büyük kararın öncesinde ne kadar durdun? Durmak için yeterince alan açtın mı?&amp;&amp;</x:v>
      </x:c>
      <x:c r="K201" s="37" t="str"/>
      <x:c r="L201" s="37" t="str"/>
      <x:c r="M201" s="37" t="str"/>
      <x:c r="N201" s="37" t="str"/>
      <x:c r="O201" s="37" t="str"/>
    </x:row>
    <x:row r="202" ht="20" customHeight="1">
      <x:c r="A202" s="33" t="n">
        <x:v>1259</x:v>
      </x:c>
      <x:c r="B202" s="34" t="str">
        <x:v>1</x:v>
      </x:c>
      <x:c r="C202" s="34" t="str">
        <x:v>Felsefe</x:v>
      </x:c>
      <x:c r="D202" s="34" t="str">
        <x:v>Felsefe</x:v>
      </x:c>
      <x:c r="E202" s="34" t="str">
        <x:v>Stillness Is the Key</x:v>
      </x:c>
      <x:c r="F202" s="34" t="str">
        <x:v>Ryan Holiday</x:v>
      </x:c>
      <x:c r="G202" s="34" t="str">
        <x:v>2019</x:v>
      </x:c>
      <x:c r="H202" s="37" t="str">
        <x:v>Çınar ağacı ve fırtına</x:v>
      </x:c>
      <x:c r="I202" s="37" t="str">
        <x:v>Holiday, Stoacı filozofların fırtınada kökü derin çınar ağacı metaforuyla iç huzurun dış koşullardan bağımsız nasıl korunabileceğini öğrettiğini anlatıyor.</x:v>
      </x:c>
      <x:c r="J202" s="37" t="str">
        <x:v>Ryan Holiday Stoacıların bir metaforuna dikkat çekiyor.
Fırtına geliyor. Rüzgar esiyor. Ağaçlar sallantıda.
Bazı ağaçlar devriliyor.
Çınar ağacı sallantıda ama yerinde duruyor.
Sırrı ne?
##Kökleri. Çınar ağacının gövdesi ne kadar sert esintilere maruz kalsın, kökleri onu tutuyor.##
Holiday bu metaforu iç dünyaya uyguluyor.
Dışarıdaki fırtınalar: Haberler, eleştiriler, başarısızlıklar, belirsizlikler, başkalarının davranışları.
Çoğumuz bu fırtınalarla birlikte sallanıyoruz. Haber kötüyse moralimiz düşüyor. Biri eleştirirse saatlerimizi savunmaya harcıyoruz. Plan bozulunca panikleyiyoruz.
Ama Holiday şunu soruyor: Kök olmak nasıl mümkün?
Stoacılar bir cevap veriyor: Kontrolünüzde olan şeylere odaklanın. Dışarısı çoğu zaman değiştirilemez. Ama ona verdiğiniz tepki her zaman sizin.
Bu ilk bakışta pasif geliyor. Ama değil. Kök sahibi insan daha iyi kararlar alıyor, daha net görüyor, daha güçlü eyliyor.
$$Fırtınada ayakta kalmak güçlü olmakla değil, köklü olmakla mümkün.$$
&amp;&amp;Hayatındaki hangi "fırtına" seni en çok sarsıyor? O konuda kontrolünde olan ne, olmayan ne?&amp;&amp;</x:v>
      </x:c>
      <x:c r="K202" s="37" t="str"/>
      <x:c r="L202" s="37" t="str"/>
      <x:c r="M202" s="37" t="str"/>
      <x:c r="N202" s="37" t="str"/>
      <x:c r="O202" s="37" t="str"/>
    </x:row>
    <x:row r="203" ht="20" customHeight="1">
      <x:c r="A203" s="33" t="n">
        <x:v>1260</x:v>
      </x:c>
      <x:c r="B203" s="34" t="str">
        <x:v>1</x:v>
      </x:c>
      <x:c r="C203" s="34" t="str">
        <x:v>Felsefe</x:v>
      </x:c>
      <x:c r="D203" s="34" t="str">
        <x:v>Felsefe</x:v>
      </x:c>
      <x:c r="E203" s="34" t="str">
        <x:v>Stillness Is the Key</x:v>
      </x:c>
      <x:c r="F203" s="34" t="str">
        <x:v>Ryan Holiday</x:v>
      </x:c>
      <x:c r="G203" s="34" t="str">
        <x:v>2019</x:v>
      </x:c>
      <x:c r="H203" s="37" t="str">
        <x:v>Napoleon'ın e-posta kuralı</x:v>
      </x:c>
      <x:c r="I203" s="37" t="str">
        <x:v>Holiday, Napoleon'ın mektupları üç hafta bekletmesinin stratejik sabırlı duruşun nasıl gereksiz kargaşayı ortadan kaldırdığını gösterdiğini anlatıyor.</x:v>
      </x:c>
      <x:c r="J203" s="37" t="str">
        <x:v>Napoleon'ın alışılmadık bir kuralı vardı.
Gelen mektupları hemen açmıyordu.
Üç hafta bekliyordu.
##Asistanı şaşırmıştı. Napoleon şöyle açıkladı: "Üç hafta beklediğimde, sorunların büyük çoğunluğu kendiliğinden çözülüyor. Müdahale etmem gerekmiyor."##
Ryan Holiday bu hikayeyi modern dünyaya taşıyor.
Her gün onlarca acil mesaj, bildirim, "hemen yanıt ver" talebi geliyor. Ve her birine anında tepki vermek "sorumluluk" gibi hissettiriyor.
Ama Napoleon şunu görüyordu: Acil görünen şeylerin büyük çoğunluğu gerçekte acil değil. Zaman geçince ya çözülüyor ya da önemsizleşiyor.
Anında tepki verme alışkanlığı aslında reaktif bir yaşam inşa ediyor. Başkalarının acilleri, sizin öncelikleriniz haline geliyor.
Holiday bir egzersiz öneriyor: Yanıtlamadan önce 24 saat bekle. Öfkeyle yazılmış bir mesajı göndermeden önce bir gece bekle. Büyük bir kararı vermeden önce bir hafta bekle.
Sabır bir pasiflik değil. Gürültüyü gerçek sinyalden ayıran bir filtre.
$$Her şeye hemen tepki vermek aktif görünüyor — ama çoğu zaman reaktif bir kölelik.$$
&amp;&amp;Bugün "acil" hissettiren ama gerçekte bekleyebilecek kaç şey var? Onları bekletirsen ne değişir?&amp;&amp;</x:v>
      </x:c>
      <x:c r="K203" s="37" t="str"/>
      <x:c r="L203" s="37" t="str"/>
      <x:c r="M203" s="37" t="str"/>
      <x:c r="N203" s="37" t="str"/>
      <x:c r="O203" s="37" t="str"/>
    </x:row>
    <x:row r="204" ht="20" customHeight="1">
      <x:c r="A204" s="33" t="n">
        <x:v>1261</x:v>
      </x:c>
      <x:c r="B204" s="34" t="str">
        <x:v>1</x:v>
      </x:c>
      <x:c r="C204" s="34" t="str">
        <x:v>Felsefe</x:v>
      </x:c>
      <x:c r="D204" s="34" t="str">
        <x:v>Felsefe</x:v>
      </x:c>
      <x:c r="E204" s="34" t="str">
        <x:v>Ego Is the Enemy</x:v>
      </x:c>
      <x:c r="F204" s="34" t="str">
        <x:v>Ryan Holiday</x:v>
      </x:c>
      <x:c r="G204" s="34" t="str">
        <x:v>2016</x:v>
      </x:c>
      <x:c r="H204" s="37" t="str">
        <x:v>Howard Hughes'ın çöküşü</x:v>
      </x:c>
      <x:c r="I204" s="37" t="str">
        <x:v>Dünyanın en zenginlerinden olan Hughes ego yüzünden kendini izole etti ve son yıllarını yalnız, paranoyak ve sefil geçirdi.</x:v>
      </x:c>
      <x:c r="J204" s="37" t="str">
        <x:v>Howard Hughes — pilottu, film yapımcısıydı, iş insanıydı, mucitti.
1930'larda ve 40'larda dünyanın en heyecan verici insanlarından biriydi. Her şeyi vardı. Zenginlik, güç, ün, hayranlık.
Ama egosu büyüdükçe, dünyası küçüldü.
Kimseye güvenmez oldu. Her şirket kararını tek başına aldı — uzmanları dinlemeden. Her eleştiriyi kişisel saldırı olarak gördü. Yavaş yavaş kendini izole etti.
##Son yıllarında luxe bir otel odasına kapandı. Perdeleri çekikti. Yıllar boyunca kimseyle yüz yüze görüşmedi. Tırnakları uzamış, saçları kirli, dehidrate haldeydi.##
Ryan Holiday bu hikayeyi şöyle yorumluyor: Hughes'ı mahveden başarısızlık değildi. Başarıydı.
Her başarı egosunu besledi. Her başarı onu daha az dinlemeye, daha fazla kontrol etmeye, daha az öğrenmeye itti.
Ve ego büyüdükçe, gerçeklikle bağ koptu.
Holiday şunu soruyor: Başarının en tehlikeli anı ne zaman? Çok dışarıdan değil, çok içeriden bakmaya başladığın an.
$$Ego büyüklük hissi verir — ama gerçeklikle bağı koparır.$$
&amp;&amp;Başarının seni daha az dinler, daha az öğrenir yapmaya başladığı bir an oldu mu? O an nasıl fark ettirdi kendini?&amp;&amp;</x:v>
      </x:c>
      <x:c r="K204" s="37" t="str"/>
      <x:c r="L204" s="37" t="str"/>
      <x:c r="M204" s="37" t="str"/>
      <x:c r="N204" s="37" t="str"/>
      <x:c r="O204" s="37" t="str"/>
    </x:row>
    <x:row r="205" ht="20" customHeight="1">
      <x:c r="A205" s="33" t="n">
        <x:v>1262</x:v>
      </x:c>
      <x:c r="B205" s="34" t="str">
        <x:v>1</x:v>
      </x:c>
      <x:c r="C205" s="34" t="str">
        <x:v>Felsefe</x:v>
      </x:c>
      <x:c r="D205" s="34" t="str">
        <x:v>Felsefe</x:v>
      </x:c>
      <x:c r="E205" s="34" t="str">
        <x:v>Ego Is the Enemy</x:v>
      </x:c>
      <x:c r="F205" s="34" t="str">
        <x:v>Ryan Holiday</x:v>
      </x:c>
      <x:c r="G205" s="34" t="str">
        <x:v>2016</x:v>
      </x:c>
      <x:c r="H205" s="37" t="str">
        <x:v>Genç askerin kibri</x:v>
      </x:c>
      <x:c r="I205" s="37" t="str">
        <x:v>Holiday, tarihte kibirli genç yeteneklerin nasıl erken kariyer felaketiyle karşılaştığını ve egonun öğrenmeyi nasıl engellediğini anlatıyor.</x:v>
      </x:c>
      <x:c r="J205" s="37" t="str">
        <x:v>Ryan Holiday tarihten tekrar eden bir örüntü görüyor.
Genç, yetenekli, hırslı biri parlak bir başlangıç yapıyor. İlk başarılar geliyor. Çevresi hayranlığını dile getiriyor.
Ve o kişi, ustalardan öğrenmek yerine zaten bildiğini düşünmeye başlıyor.
##Holiday bunu şöyle özetliyor: "Ego öğrenme kapasitesini kapatır. Çünkü öğrenmek için 'bilmiyorum' demeyi gerektirir."##
Tarihteki en yetenekli generaller, sanatçılar, bilim insanları arasında erken sönen pek çok isim var. Yetenekleri yeterliydi. Ama ego onları öğrenmekten alıkoydu.
En uzun süre parlayan isimler ise tam tersiydi: Her başarının ardından "şimdi ne öğrenebilirim?" diye soranlardı.
Holiday bunu kendi hayatına da uygulayarak yazdı. Her kitap projesi öncesinde uzmanları, eleştirmenleri, zıt görüşleri kasıtlı olarak arıyor.
"Ego sustuğunda" diyor Holiday, "etrafındaki bilgelik aniden görünür hale geliyor."
$$En büyük başarıların ardından gelen tehlike kibirdir — bunu göremeyen büyük kayıplar yaşar.$$
&amp;&amp;Son büyük başarının ardından ne öğrendin? Yoksa öğrenmeyi bıraktın mı?&amp;&amp;</x:v>
      </x:c>
      <x:c r="K205" s="37" t="str"/>
      <x:c r="L205" s="37" t="str"/>
      <x:c r="M205" s="37" t="str"/>
      <x:c r="N205" s="37" t="str"/>
      <x:c r="O205" s="37" t="str"/>
    </x:row>
    <x:row r="206" ht="20" customHeight="1">
      <x:c r="A206" s="33" t="n">
        <x:v>1263</x:v>
      </x:c>
      <x:c r="B206" s="34" t="str">
        <x:v>1</x:v>
      </x:c>
      <x:c r="C206" s="34" t="str">
        <x:v>Felsefe</x:v>
      </x:c>
      <x:c r="D206" s="34" t="str">
        <x:v>Felsefe</x:v>
      </x:c>
      <x:c r="E206" s="34" t="str">
        <x:v>Ego Is the Enemy</x:v>
      </x:c>
      <x:c r="F206" s="34" t="str">
        <x:v>Ryan Holiday</x:v>
      </x:c>
      <x:c r="G206" s="34" t="str">
        <x:v>2016</x:v>
      </x:c>
      <x:c r="H206" s="37" t="str">
        <x:v>Şu an yapıyor olmak, olmak değildir</x:v>
      </x:c>
      <x:c r="I206" s="37" t="str">
        <x:v>Holiday, gerçek başarının 'ne yapıyorum' sorusuyla değil 'ne olmak istiyorum' sorusuyla inşa edildiğini ve egonun bu ayrımı nasıl bulanıklaştırdığını anlatıyor.</x:v>
      </x:c>
      <x:c r="J206" s="37" t="str">
        <x:v>Ryan Holiday iki soru öneriyor.
Birincisi: "Ne yapıyorum?"
İkincisi: "Ne olmak istiyorum?"
Kulağa benzer geliyor. Ama Holiday şöyle açıklıyor: Ego hep birincisini büyütüyor.
Ego şunu söylüyor: "Bakın ne yapıyorum. Ne kadar büyük şeyler başardım. Beni görün."
"Ne olmak istiyorum?" sorusu ise farklı bir yere götürüyor. Değerlere. Karaktere. Uzun vadeli bir kimliğe.
##Holiday'in tespiti: Çoğu kariyer krizi, insanlar "ne yaptıklarını" kimliklerinin merkezi yaptıkları için oluyor.##
İş gidince, proje bozulunca, eleştiri gelince — sadece bir şey kaybedilmiyor. Kimlik kaybediliyor.
Ama "olmak" kimliği daha sağlam. Çünkü dışarıdaki koşullara bağlı değil.
"Adil bir insan olmak istiyorum" — bu kimlik işten, unvandan, başarıdan bağımsız. Her durumda test edilebilir, her durumda korunabilir.
Yapılan şeyler değişir. Ama olunan şey sabit bir pusula olabilir.
$$Unvanın, rolün ya da başarıların gitse, geriye kim kalır?$$
&amp;&amp;Kendinizi nasıl tanımlıyorsunuz — ne yaptığınızla mı, yoksa ne olmaya çalıştığınızla mı?&amp;&amp;</x:v>
      </x:c>
      <x:c r="K206" s="37" t="str"/>
      <x:c r="L206" s="37" t="str"/>
      <x:c r="M206" s="37" t="str"/>
      <x:c r="N206" s="37" t="str"/>
      <x:c r="O206" s="37" t="str"/>
    </x:row>
    <x:row r="207" ht="20" customHeight="1">
      <x:c r="A207" s="33" t="n">
        <x:v>1264</x:v>
      </x:c>
      <x:c r="B207" s="34" t="str">
        <x:v>1</x:v>
      </x:c>
      <x:c r="C207" s="34" t="str">
        <x:v>Felsefe</x:v>
      </x:c>
      <x:c r="D207" s="34" t="str">
        <x:v>Felsefe</x:v>
      </x:c>
      <x:c r="E207" s="34" t="str">
        <x:v>Engel Yolu Açar</x:v>
      </x:c>
      <x:c r="F207" s="34" t="str">
        <x:v>Ryan Holiday</x:v>
      </x:c>
      <x:c r="G207" s="34" t="str">
        <x:v>2014</x:v>
      </x:c>
      <x:c r="H207" s="37" t="str">
        <x:v>Edison'ın fabrika yangını</x:v>
      </x:c>
      <x:c r="I207" s="37" t="str">
        <x:v>Edison'ın fabrikası yandığında 67 yaşındaki mucit 'tüm hatalarımız da yandı, yarın sıfırdan başlıyoruz' dedi.</x:v>
      </x:c>
      <x:c r="J207" s="37" t="str">
        <x:v>Aralık 1914. Thomas Edison'ın fabrikası alev aldı.
On yıllarca biriken araştırma notları, prototipler, ekipmanlar — hepsi yanıyordu. Sigorta yetersizdi. Hasar 23 milyon dolardı.
Edison 67 yaşındaydı.
Oğlu yangını izlerken babasını aradı. Edison sakin bir sesle şöyle dedi:
##"Git annenizi çağır ve arkadaşlarını da çağır. Bu yangını bir daha göremezler."##
Ertesi sabah enkazın başında durdu ve şöyle dedi: "Tanrıya şükür ki tüm hatalarımız da yandı. Artık sıfırdan başlayabiliriz."
Ryan Holiday bu hikayeyi "Engel Yolu Açar"ın özü olarak sunuyor.
Stoacılar şunu öğretiyordu: Engelleriniz size karşı değil, size yönelik olabilir. Her engel bir bilgi içeriyor. Her kayıp bir fırsat barındırıyor.
Bu naif bir iyimserlik değil. Edison gerçek bir kayıp yaşadı. Ama o kayba bakış açısı — "sıfırdan başlarız" — hem kendisini hem de ekibini harekete geçirdi.
Ve o sıfırdan başlayış, bazı en önemli buluşlarını doğurdu.
$$Engel, yolu kapatan şey değil — yolu gösteren şey olabilir.$$
&amp;&amp;Son büyük "engelini" düşün. O engel sana ne öğretti? Ya da henüz öğrenmesine izin vermedin mi?&amp;&amp;</x:v>
      </x:c>
      <x:c r="K207" s="37" t="str"/>
      <x:c r="L207" s="37" t="str"/>
      <x:c r="M207" s="37" t="str"/>
      <x:c r="N207" s="37" t="str"/>
      <x:c r="O207" s="37" t="str"/>
    </x:row>
    <x:row r="208" ht="20" customHeight="1">
      <x:c r="A208" s="33" t="n">
        <x:v>1265</x:v>
      </x:c>
      <x:c r="B208" s="34" t="str">
        <x:v>1</x:v>
      </x:c>
      <x:c r="C208" s="34" t="str">
        <x:v>Felsefe</x:v>
      </x:c>
      <x:c r="D208" s="34" t="str">
        <x:v>Felsefe</x:v>
      </x:c>
      <x:c r="E208" s="34" t="str">
        <x:v>Engel Yolu Açar</x:v>
      </x:c>
      <x:c r="F208" s="34" t="str">
        <x:v>Ryan Holiday</x:v>
      </x:c>
      <x:c r="G208" s="34" t="str">
        <x:v>2014</x:v>
      </x:c>
      <x:c r="H208" s="37" t="str">
        <x:v>Marcus Aurelius'un taht zorunluluğu</x:v>
      </x:c>
      <x:c r="I208" s="37" t="str">
        <x:v>Holiday, en büyük Stoacı filozofun imparatorluğu istemediği halde kabullenerek nasıl tarihin en iyi liderlerinden biri olduğunu anlatıyor.</x:v>
      </x:c>
      <x:c r="J208" s="37" t="str">
        <x:v>Marcus Aurelius felsefeci olmak istiyordu.
Ama kader onu imparator yaptı.
Savaşlar, isyanlar, salgın hastalıklar, sınır sorunları — döneminin en zorlu imparatorluğunu yönetmek zorunda kaldı.
Hiç seçmediği bir hayat. Sürekli engellerle dolu bir yol.
##Ama tam da bu zorunluluk içinde Marcus Aurelius tarihin en bilge liderlerinden biri olmaya zorlandı.##
Ryan Holiday şunu soruyor: Marcus Aurelius istediği hayatı yaşasaydı — sessiz bir filozof — bu bilgeliğe ulaşır mıydı?
Muhtemelen hayır.
Engeller onu pişirdi. Savaşlar sabır öğretti. İsyanlar stratejik düşünme geliştirdi. Salgınlar insan doğasını daha derin anlamasını sağladı.
Ve tüm bu deneyimler "Düşünceler"e dönüştü — bugün hâlâ okunan, hâlâ ilham veren notlar.
Holiday şunu ekliyor: Marcus Aurelius engellerden kaçmadı. Onları dönüştürdü. "Bu benim için değil" demedi. "Bu benden ne istiyor?" dedi.
$$İstediğin hayat olmayabilir — ama bulunduğun yerde en iyiyi yapmak her zaman mümkündür.$$
&amp;&amp;Şu an içinde bulunduğun ve seçmediğin bir durumdan "bu benden ne istiyor?" diye sorsaydın, cevap ne olurdu?&amp;&amp;</x:v>
      </x:c>
      <x:c r="K208" s="37" t="str"/>
      <x:c r="L208" s="37" t="str"/>
      <x:c r="M208" s="37" t="str"/>
      <x:c r="N208" s="37" t="str"/>
      <x:c r="O208" s="37" t="str"/>
    </x:row>
    <x:row r="209" ht="20" customHeight="1">
      <x:c r="A209" s="33" t="n">
        <x:v>1266</x:v>
      </x:c>
      <x:c r="B209" s="34" t="str">
        <x:v>1</x:v>
      </x:c>
      <x:c r="C209" s="34" t="str">
        <x:v>Felsefe</x:v>
      </x:c>
      <x:c r="D209" s="34" t="str">
        <x:v>Felsefe</x:v>
      </x:c>
      <x:c r="E209" s="34" t="str">
        <x:v>Engel Yolu Açar</x:v>
      </x:c>
      <x:c r="F209" s="34" t="str">
        <x:v>Ryan Holiday</x:v>
      </x:c>
      <x:c r="G209" s="34" t="str">
        <x:v>2014</x:v>
      </x:c>
      <x:c r="H209" s="37" t="str">
        <x:v>Amor fati — kaderi sevmek</x:v>
      </x:c>
      <x:c r="I209" s="37" t="str">
        <x:v>Holiday, Nietzsche'nin 'amor fati' kavramını Stoacı pratikle birleştirerek zorlukları yalnızca kabullenmek değil sevmek gerektiğini anlatıyor.</x:v>
      </x:c>
      <x:c r="J209" s="37" t="str">
        <x:v>Friedrich Nietzsche bir kavram geliştirdi: Amor fati.
Latince. "Kaderi sevmek."
Ryan Holiday bunu en güçlü Stoacı uygulamalardan biri olarak sunuyor.
Çoğumuz zor şeyleri kabulleniriz. "Tamam, bu böyle, değişmez." Bu bir ilerleme.
Ama Nietzsche ve Stoacılar bir adım daha ileri gidiyordu.
##"Olmasını dileyemeyeceğin şeyler yok. Olduğu için şükret" diyordu Stoacı Marcus Aurelius.##
Bu delilik gibi görünüyor. Acıyı sevmek? Kaybı sevmek?
Holiday bunu şöyle açıklıyor: Amor fati, acının iyi olduğunu söylemiyor. Acının, olduğu için bir parçanız olduğunu ve ona direnmek yerine ondan bir şeyler inşa edebileceğinizi söylüyor.
Direnç enerji tüketiyor. Ve tüketilen enerji, değiştirilemeyen şeyle savaşmak için harcanıyor.
Kabul ise enerji serbest bırakıyor. Ve o enerji, gerçekten değiştirilebilecek şeylere yöneltilebilir.
Amor fati pasiflik değil. Tam tersi — kabulden sonra gelen güçlü eylem.
$$Değiştiremediğin şeyle savaşmak enerji tüketir. Onu kabul edip dönüştürmek enerji üretir.$$
&amp;&amp;Şu an direniyor olduğun, değiştiremediğin bir şey var mı? Onu kabullenseydín, o enerjiyle ne yapardın?&amp;&amp;</x:v>
      </x:c>
      <x:c r="K209" s="37" t="str"/>
      <x:c r="L209" s="37" t="str"/>
      <x:c r="M209" s="37" t="str"/>
      <x:c r="N209" s="37" t="str"/>
      <x:c r="O209" s="37" t="str"/>
    </x:row>
    <x:row r="210" ht="20" customHeight="1">
      <x:c r="A210" s="33" t="n">
        <x:v>1267</x:v>
      </x:c>
      <x:c r="B210" s="34" t="str">
        <x:v>1</x:v>
      </x:c>
      <x:c r="C210" s="34" t="str">
        <x:v>Sağlık</x:v>
      </x:c>
      <x:c r="D210" s="34" t="str">
        <x:v>Sağlık</x:v>
      </x:c>
      <x:c r="E210" s="34" t="str">
        <x:v>Neden Uyuyoruz</x:v>
      </x:c>
      <x:c r="F210" s="34" t="str">
        <x:v>Matthew Walker</x:v>
      </x:c>
      <x:c r="G210" s="34" t="str">
        <x:v>2017</x:v>
      </x:c>
      <x:c r="H210" s="37" t="str">
        <x:v>Roger Federer'in 12 saat uyku sırrı</x:v>
      </x:c>
      <x:c r="I210" s="37" t="str">
        <x:v>Federer ve LeBron James gibi elit sporcuların gece 12 saat uyuması uykunun performansın en güçlü ve en ucuz dopingi olduğunu kanıtlar.</x:v>
      </x:c>
      <x:c r="J210" s="37" t="str">
        <x:v>Bir gazeteci Roger Federer'e sordu: "Günde kaç saat uyuyorsunuz?"
"On iki saat."
Gazeteci şaşırdı. "On iki saat mi? Her gece mi?"
"Her gece. Sekizden az uyuduğumda performansımda fark ediyorum."
LeBron James de aynı şeyi söylüyor. Usain Bolt da. Maria Sharapova da.
##Matthew Walker bu örüntüyü araştırdı: Dünya klasmanındaki sporcuların büyük çoğunluğu sekizin üzerinde uyku alıyor. Bazıları on ikiyi hedefliyor.##
Walker bunu şöyle açıklıyor: Uyku sırasında beyin motor hafızayı pekiştiriyor. Kaslar onarılıyor. Büyüme hormonu salınıyor. Bilişsel işleme hızlanıyor.
Yani antreman sırasında öğrenilen her şey, uyku sırasında sindirilip yerleştiriliyor.
Uykusuz kalan sporcu aynı antremanı yapıyor ama çok daha az öğreniyor. Çünkü sindirim gerçekleşmiyor.
Walker ironik bir gözlem yapıyor: Doping testleri var. Ama uyku kısıtlaması yasal. Ve çoğu sporcu uyku borcuyla yarışıyor — tamamen yasal, tamamen zararlı.
$$Uyku, performansın en güçlü ve en ucuz dopingidir — ve en çok ihmal edilenidir.$$
&amp;&amp;Ortalama kaç saat uyuyorsun? Bu sayıyı bir saat artırsan, performansın ve enerjin nasıl değişirdi?&amp;&amp;</x:v>
      </x:c>
      <x:c r="K210" s="37" t="str"/>
      <x:c r="L210" s="37" t="str"/>
      <x:c r="M210" s="37" t="str"/>
      <x:c r="N210" s="37" t="str"/>
      <x:c r="O210" s="37" t="str"/>
    </x:row>
    <x:row r="211" ht="20" customHeight="1">
      <x:c r="A211" s="33" t="n">
        <x:v>1268</x:v>
      </x:c>
      <x:c r="B211" s="34" t="str">
        <x:v>1</x:v>
      </x:c>
      <x:c r="C211" s="34" t="str">
        <x:v>Sağlık</x:v>
      </x:c>
      <x:c r="D211" s="34" t="str">
        <x:v>Sağlık</x:v>
      </x:c>
      <x:c r="E211" s="34" t="str">
        <x:v>Neden Uyuyoruz</x:v>
      </x:c>
      <x:c r="F211" s="34" t="str">
        <x:v>Matthew Walker</x:v>
      </x:c>
      <x:c r="G211" s="34" t="str">
        <x:v>2017</x:v>
      </x:c>
      <x:c r="H211" s="37" t="str">
        <x:v>Uyku yoksunluğu ve tıbbi hatalar</x:v>
      </x:c>
      <x:c r="I211" s="37" t="str">
        <x:v>24 saat uyumamış bir cerrahın hata yapma oranının sarhoş bir cerrahtan farksız olduğu araştırması uyku krizinin boyutunu gözler önüne seriyor.</x:v>
      </x:c>
      <x:c r="J211" s="37" t="str">
        <x:v>Matthew Walker bir araştırmanın bulgusunu paylaşıyor.
24 saat uyumamış bir cerrahın bilişsel performansı, 0.08 alkol düzeyindeki bir cerrahla — yasal sınırın tam üstündeki sarhoşla — karşılaştırılabilir düzeyde.
##Yani nöbetten çıkan yorgun cerrah, klinik olarak sarhoş birinin performansıyla ameliyat yapıyor.##
Walker şunu soruyor: Sarhoş bir cerrahı ameliyathaneye sokar mıydınız?
Ama uykusuz cerrahı sokmak normal.
Bu sadece cerrahlar için geçerli değil. Kamyon sürücüleri, pilotlar, yazılım mühendisleri, öğretmenler. Her meslekte uyku yoksunluğunun yarattığı hata maliyeti devasa.
Walker araştırmayı daha da ileriye taşıyor: Kronik uyku yoksunluğu (her gece altı veya daha az saat) Alzheimer riskini artırıyor, bağışıklık sistemini zayıflatıyor, kanser riskini yükseltiyor, kalp hastalıkları için zemin hazırlıyor.
Ve en tuhaf bulgu şu: Uykusuz insanlar kendi performans düşüşlerini değerlendirmekte çok kötüler. "Ben iyi hissediyorum" diyorlar — ama testler tam tersini gösteriyor.
$$Uyku yoksunluğu hem performansı düşürür hem de bu düşüşü fark etme kapasitesini yok eder.$$
&amp;&amp;Haftada kaç gece gerçekten yeterince uyuyorsun? Uykuyu kısaltarak ne kazandığını sanıyorsun?&amp;&amp;</x:v>
      </x:c>
      <x:c r="K211" s="37" t="str"/>
      <x:c r="L211" s="37" t="str"/>
      <x:c r="M211" s="37" t="str"/>
      <x:c r="N211" s="37" t="str"/>
      <x:c r="O211" s="37" t="str"/>
    </x:row>
    <x:row r="212" ht="20" customHeight="1">
      <x:c r="A212" s="33" t="n">
        <x:v>1269</x:v>
      </x:c>
      <x:c r="B212" s="34" t="str">
        <x:v>1</x:v>
      </x:c>
      <x:c r="C212" s="34" t="str">
        <x:v>Sağlık</x:v>
      </x:c>
      <x:c r="D212" s="34" t="str">
        <x:v>Sağlık</x:v>
      </x:c>
      <x:c r="E212" s="34" t="str">
        <x:v>Neden Uyuyoruz</x:v>
      </x:c>
      <x:c r="F212" s="34" t="str">
        <x:v>Matthew Walker</x:v>
      </x:c>
      <x:c r="G212" s="34" t="str">
        <x:v>2017</x:v>
      </x:c>
      <x:c r="H212" s="37" t="str">
        <x:v>REM uykusu ve duygusal iyileşme</x:v>
      </x:c>
      <x:c r="I212" s="37" t="str">
        <x:v>Walker, REM uykusunun travmatik anıların duygusal ağırlığını hafiflettiğini ve sabah daha sakin uyanmanın nörolojik bir sürecin sonucu olduğunu anlatıyor.</x:v>
      </x:c>
      <x:c r="J212" s="37" t="str">
        <x:v>Matthew Walker şu gözlemi paylaşıyor.
Dün gece çok rahatsız eden bir şey oldu. Sinir bozucu. Belki utandırıcı. Belki üzücü.
Bugün sabah kalkınca aynı olay hâlâ hatırlıyorsunuz. Ama tam olarak aynı hissettirmiyor. Biraz daha hafif.
Neden?
##Walker bunu araştırdı ve REM uykusunu buldu.##
REM uykusu sırasında beyin, gün içinde yaşananları yeniden işliyor. Ama bu işlem sırasında stres hormonu norepinefrin serbest bırakılmıyor — beyin, bu stresten arındırılmış bir ortamda anıları sindirebiliyor.
Sonuç: Sabah aynı anıyı hatırlıyorsunuz. Ama duygusal ağırlığı azalmış.
Yeterli REM uykusu almayanlarda bu süreç eksik kalıyor. Travmatik anılar tam işlenemiyor. Duygusal ağırlık sabaha taşınıyor. Bu da PTSD, kronik anksiyete ve depresyon için zemin hazırlıyor.
Walker şunu söylüyor: "Uyku terapötik." Fiziksel değil, psikolojik anlamda.
Her gece siz uyurken beyin bir tür duygusal terapi yapıyor. Ve siz ne kadar iyi uyursanız, o terapi o kadar derin.
$$Her sabah daha sakin uyanmak bir mucize değil — beynin gece yaptığı çalışmanın meyvesi.$$
&amp;&amp;Duygusal olarak zor bir dönemden geçerken uyku düzenin nasıl? Uyku ve duygusal iyilik halinin bağlantısını kendi hayatında fark ettin mi?&amp;&amp;</x:v>
      </x:c>
      <x:c r="K212" s="37" t="str"/>
      <x:c r="L212" s="37" t="str"/>
      <x:c r="M212" s="37" t="str"/>
      <x:c r="N212" s="37" t="str"/>
      <x:c r="O212" s="37" t="str"/>
    </x:row>
    <x:row r="213" ht="20" customHeight="1">
      <x:c r="A213" s="33" t="n">
        <x:v>1270</x:v>
      </x:c>
      <x:c r="B213" s="34" t="str">
        <x:v>1</x:v>
      </x:c>
      <x:c r="C213" s="34" t="str">
        <x:v>Sağlık</x:v>
      </x:c>
      <x:c r="D213" s="34" t="str">
        <x:v>Sağlık</x:v>
      </x:c>
      <x:c r="E213" s="34" t="str">
        <x:v>Bedenin Sesi</x:v>
      </x:c>
      <x:c r="F213" s="34" t="str">
        <x:v>Bessel van der Kolk</x:v>
      </x:c>
      <x:c r="G213" s="34" t="str">
        <x:v>2014</x:v>
      </x:c>
      <x:c r="H213" s="37" t="str">
        <x:v>Vietnam gazilerinin dondurulmuş bedenleri</x:v>
      </x:c>
      <x:c r="I213" s="37" t="str">
        <x:v>Savaş travması yaşayan gaziler yıllarca sonra patlama sesi duyduklarında bedenlerinin sanki gerçek tehlikedeymiş gibi tepki verdiğini anlattı.</x:v>
      </x:c>
      <x:c r="J213" s="37" t="str">
        <x:v>Bessel van der Kolk bir Vietnam gazisiyle konuşuyordu.
Adam savaşın üzerinden yirmi yıl geçmişti. Ailesi vardı, işi vardı, hayatına devam etmişti.
Ama bazı şeyler hiç bitmemişti.
Gece gürültüsü duyunca yere kapanıyordu. Kalabalık alanlarda panikleyebiliyordu. Belirli sesler — araba egzozu, bir kapının çarpması — onu anlık olarak savaş alanına gönderiyordu.
Van der Kolk sordu: "O anlarda ne hissediyorsunuz?"
##"Bedenin gerçekten orada olduğunu hissediyorum" dedi adam. "Zihin 2003 yılında, ama beden hâlâ 1968'de."##
Van der Kolk bu gözlemi on yıllarca araştırdı ve şunu buldu: Travma anılar olarak değil, bedensel duyumlar olarak depolanıyor.
Korku, donma, titreme, nefes tutma — bunlar o anın fizyolojik tepkileri. Ve tetikleyici bir uyaran geldiğinde, beden tüm bu tepkileri yeniden üretiyor. Sanki o an şimdiymiş gibi.
Konuşma terapisi bazen yetmiyor. Çünkü beden, zihnin söylediklerini dinlemiyor. Kendi dilinde — hareket, nefes, dokunma — anlıyor.
$$Travma geçmişte değil, bedenin şimdisinde yaşıyor.$$
&amp;&amp;Bedeninin stres ya da korku sinyali verdiği ama zihninin "bu tehlikeli değil" dediği bir an yaşadın mı? O anda bedenine ne oldu?&amp;&amp;</x:v>
      </x:c>
      <x:c r="K213" s="37" t="str"/>
      <x:c r="L213" s="37" t="str"/>
      <x:c r="M213" s="37" t="str"/>
      <x:c r="N213" s="37" t="str"/>
      <x:c r="O213" s="37" t="str"/>
    </x:row>
    <x:row r="214" ht="20" customHeight="1">
      <x:c r="A214" s="33" t="n">
        <x:v>1271</x:v>
      </x:c>
      <x:c r="B214" s="34" t="str">
        <x:v>1</x:v>
      </x:c>
      <x:c r="C214" s="34" t="str">
        <x:v>Sağlık</x:v>
      </x:c>
      <x:c r="D214" s="34" t="str">
        <x:v>Sağlık</x:v>
      </x:c>
      <x:c r="E214" s="34" t="str">
        <x:v>Bedenin Sesi</x:v>
      </x:c>
      <x:c r="F214" s="34" t="str">
        <x:v>Bessel van der Kolk</x:v>
      </x:c>
      <x:c r="G214" s="34" t="str">
        <x:v>2014</x:v>
      </x:c>
      <x:c r="H214" s="37" t="str">
        <x:v>Güvenli beden — iyileşmenin temeli</x:v>
      </x:c>
      <x:c r="I214" s="37" t="str">
        <x:v>Van der Kolk, travmadan iyileşmenin beyin değil beden üzerinden çalıştığını ve güvenli fiziksel deneyimlerin sinir sistemini nasıl yeniden programladığını anlatıyor.</x:v>
      </x:c>
      <x:c r="J214" s="37" t="str">
        <x:v>Bessel van der Kolk yıllarca travma hastalarına konuşma terapisi yaptı.
Bazıları iyileşti. Bazıları iyileşmedi. Ve Van der Kolk şunu fark etti: İyileşemeyenler için ortak bir şey vardı.
Beden güvende hissetmiyordu.
Konuşmak anlayış getirebilir. Ama anlayış, sinir sistemini yeniden programlamıyor.
##Van der Kolk bu yüzden yoga, dans, tiyatro ve somatik terapi gibi beden temelli yaklaşımları araştırmaya başladı. Sonuçlar çarpıcıydı.##
Bir deney: Kronik PTSD hastalarına yirmi haftalık yoga programı uygulandı. Sonunda katılımcıların büyük çoğunluğu, ilaçların ya da konuşma terapisinin sağlayamadığı bir rahatlama bildirdi.
Nedenini Van der Kolk şöyle açıklıyor: Yoga, kişiye kendi bedenini — tehlikesizce — hissetmeyi öğretiyor. Nefes kontrolü, duyumu fark etme, güvenli hareket. Bunlar sinir sistemine "tehlike yok" mesajı veriyor.
Ve sinir sistemi bu mesajı yeterince aldığında, yeniden programlanmaya başlıyor.
İyileşme bir anlık karar değil. Tekrarlanan güvenli deneyimlerin birikmesiyle oluyor.
$$Zihin kavrar, ama beden iyileşir — ve beden kendi dilinde, kendi hızında iyileşir.$$
&amp;&amp;Bedeninde kronik bir gerilim, ağrı ya da rahatsızlık fark ediyor musun? O his seninle ne kadar süredir birlikte?&amp;&amp;</x:v>
      </x:c>
      <x:c r="K214" s="37" t="str"/>
      <x:c r="L214" s="37" t="str"/>
      <x:c r="M214" s="37" t="str"/>
      <x:c r="N214" s="37" t="str"/>
      <x:c r="O214" s="37" t="str"/>
    </x:row>
    <x:row r="215" ht="20" customHeight="1">
      <x:c r="A215" s="33" t="n">
        <x:v>1272</x:v>
      </x:c>
      <x:c r="B215" s="34" t="str">
        <x:v>1</x:v>
      </x:c>
      <x:c r="C215" s="34" t="str">
        <x:v>Sağlık</x:v>
      </x:c>
      <x:c r="D215" s="34" t="str">
        <x:v>Sağlık</x:v>
      </x:c>
      <x:c r="E215" s="34" t="str">
        <x:v>Bedenin Sesi</x:v>
      </x:c>
      <x:c r="F215" s="34" t="str">
        <x:v>Bessel van der Kolk</x:v>
      </x:c>
      <x:c r="G215" s="34" t="str">
        <x:v>2014</x:v>
      </x:c>
      <x:c r="H215" s="37" t="str">
        <x:v>Çocukluk ihmalinin iz bıraktığı beyin</x:v>
      </x:c>
      <x:c r="I215" s="37" t="str">
        <x:v>Van der Kolk, erken çocuklukta yaşanan ihmal ve istismarın beyin yapısını fizyolojik olarak değiştirdiğini ve bu değişimin yetişkinlikte davranışları nasıl etkilediğini gösteriyor.</x:v>
      </x:c>
      <x:c r="J215" s="37" t="str">
        <x:v>Van der Kolk bir araştırmada şaşırtıcı bir şey buldu.
İstismara maruz kalan çocukların beyin taramaları, fiziksel kafa travması geçirmiş çocuklarınkiyle neredeyse aynıydı.
Duygusal acı, beyni fiziksel olarak değiştiriyordu.
##Özellikle prefrontal korteks — planlama, empati, karar verme merkezi — küçülüyordu. Amigdala — tehdit sensörü — ise aşırı aktif hale geliyordu.##
Bu bir metafor değil. Gerçek, ölçülebilir, beyin görüntüleme ile ortaya konan bir değişiklik.
Van der Kolk bu bulguyu şöyle yorumluyor: İhmal ya da istismara maruz kalan çocuk "bozuk" değil. Beyin, olağanüstü zor koşullara adapte oluyor. Ve bu adaptasyon, hayatta kalmak için işe yarıyor. Ama yetişkinlikte sorun yaratıyor.
Anlık tepkiler, öfke patlamaları, ilişkilerde güven güçlüğü, kronik anksiyete — bunlar çoğu zaman ahlaki zaafiyetin değil, beynin erken programlanmasının yansıması.
Ve iyi haber: Beyin plastisite sahibi. Doğru deneyimlerle yeniden yazılabiliyor.
$$Geçmişin bedende bıraktığı iz silinmez — ama üzerine yeni bir şey yazılabilir.$$
&amp;&amp;Çocukluktan taşıdığını düşündüğün ve hâlâ seni etkileyen bir örüntü var mı? O örüntü nereden geliyor olabilir?&amp;&amp;</x:v>
      </x:c>
      <x:c r="K215" s="37" t="str"/>
      <x:c r="L215" s="37" t="str"/>
      <x:c r="M215" s="37" t="str"/>
      <x:c r="N215" s="37" t="str"/>
      <x:c r="O215" s="37" t="str"/>
    </x:row>
    <x:row r="216" ht="20" customHeight="1">
      <x:c r="A216" s="33" t="n">
        <x:v>1273</x:v>
      </x:c>
      <x:c r="B216" s="34" t="str">
        <x:v>1</x:v>
      </x:c>
      <x:c r="C216" s="34" t="str">
        <x:v>Verimlilik</x:v>
      </x:c>
      <x:c r="D216" s="34" t="str">
        <x:v>Verimlilik</x:v>
      </x:c>
      <x:c r="E216" s="34" t="str">
        <x:v>Saatlerin Efendisi</x:v>
      </x:c>
      <x:c r="F216" s="34" t="str">
        <x:v>Daniel Pink</x:v>
      </x:c>
      <x:c r="G216" s="34" t="str">
        <x:v>2018</x:v>
      </x:c>
      <x:c r="H216" s="37" t="str">
        <x:v>Hemingway'in biyolojik saat ritmi</x:v>
      </x:c>
      <x:c r="I216" s="37" t="str">
        <x:v>Hemingway her sabah gün doğumuyla yazmaya başlar, öğleden sonra yayardı; araştırmalar sabahın analitik, öğleden sonranın yaratıcı düşünce için ideal olduğunu kanıtlıyor.</x:v>
      </x:c>
      <x:c r="J216" s="37" t="str">
        <x:v>Ernest Hemingway'in bir rutini vardı ve asla bozmuyordu.
Her sabah güneşle birlikte kalktı. Kahvesini aldı. Masasına oturdu. Yazdı.
Öğle yemeğinden sonra yazmayı bıraktı. Gezmek, balık tutmak, arkadaşlarıyla zaman geçirmek için kullandı öğleden sonrasını. Akşamları da yazmadı.
Birçok yazar bunu garip buldu. "En iyi yazarlar gece geç saatlere kadar çalışmaz mı?"
##Daniel Pink binlerce araştırmayı inceledi ve Hemingway'in içgüdüsel olarak doğruyu yaptığını buldu.##
Sabah saatleri — özellikle uyanıştan sonraki ilk birkaç saat — analitik ve eleştirel düşünce için en güçlü dönem. Beyin zirve noktasında. Konsantrasyon yüksek. Prefrontal korteks tam kapasitede.
Öğleden sonra ise bir çöküş var. Dikkat azalıyor. Analitik güç düşüyor.
Ama yaratıcı çalışma için öğleden sonra bazen daha iyi. Çünkü biraz gevşemiş bir beyin, bağlantıları daha özgürce kuruyor.
Gece geç? İkinci bir zirve. Ama sabahın kadar güçlü değil.
$$Ne yaptığın kadar ne zaman yaptığın da belirleyicidir.$$
&amp;&amp;En önemli işini günün hangi saatinde yapıyorsun? Bu saat gerçekten en verimli saatin mi?&amp;&amp;</x:v>
      </x:c>
      <x:c r="K216" s="37" t="str"/>
      <x:c r="L216" s="37" t="str"/>
      <x:c r="M216" s="37" t="str"/>
      <x:c r="N216" s="37" t="str"/>
      <x:c r="O216" s="37" t="str"/>
    </x:row>
    <x:row r="217" ht="20" customHeight="1">
      <x:c r="A217" s="33" t="n">
        <x:v>1274</x:v>
      </x:c>
      <x:c r="B217" s="34" t="str">
        <x:v>1</x:v>
      </x:c>
      <x:c r="C217" s="34" t="str">
        <x:v>Verimlilik</x:v>
      </x:c>
      <x:c r="D217" s="34" t="str">
        <x:v>Verimlilik</x:v>
      </x:c>
      <x:c r="E217" s="34" t="str">
        <x:v>Saatlerin Efendisi</x:v>
      </x:c>
      <x:c r="F217" s="34" t="str">
        <x:v>Daniel Pink</x:v>
      </x:c>
      <x:c r="G217" s="34" t="str">
        <x:v>2018</x:v>
      </x:c>
      <x:c r="H217" s="37" t="str">
        <x:v>Öğleden sonra çöküşü ve şekerleme sırrı</x:v>
      </x:c>
      <x:c r="I217" s="37" t="str">
        <x:v>Pink, öğleden sonra yaşanan dikkat düşüşünün biyolojik bir gerçek olduğunu ve kısa şekerlemenin bunu dramatik biçimde tersine çevirdiğini araştırmalarla gösteriyor.</x:v>
      </x:c>
      <x:c r="J217" s="37" t="str">
        <x:v>Daniel Pink rahatsız edici bir istatistik paylaşıyor.
Trafik kazalarının, tıbbi hataların ve endüstriyel kazaların önemli bir bölümü öğleden sonra ikiden dörde kadar olan zaman diliminde gerçekleşiyor.
Bu tesadüf değil.
##İnsan vücudunda öğleden sonra gerçek bir biyolojik çöküş yaşanıyor. Dikkat düşüyor, tepki süresi uzuyor, karar verme bozuluyor.##
Pink bunu "çöküş" olarak adlandırıyor ve şunu söylüyor: Bu bir zayıflık değil, evrimsel bir programlama.
Peki çözüm ne?
Araştırmalar net bir cevap veriyor: Kısa şekerleme.
10-20 dakikalık bir şekerleme, öğleden sonra performansını sabah zirvesine yakın seviyelere çıkarabiliyor. NASA pilotları, Google çalışanları, bazı Japon şirketleri bunu resmi politikaya dönüştürdü.
Ama Pink bir detayı ekliyor: Şekerlemeden önce kahve iç. Kahvenin etkisi 20-25 dakikada başlıyor. Şekerleme bittiğinde, hem dinlenmiş hem de kafein etkisi başlamış oluyorsun.
Pink buna "nappuccino" diyor.
$$Öğleden sonra verimliliği artırmanın en basit yolu beş dakika ve bir fincan kahve.$$
&amp;&amp;Öğleden sonra dikkatinin en çok düştüğü saat hangisi? Bugün o saatte 15 dakika gözlerini kapasaydın ne olurdu?&amp;&amp;</x:v>
      </x:c>
      <x:c r="K217" s="37" t="str"/>
      <x:c r="L217" s="37" t="str"/>
      <x:c r="M217" s="37" t="str"/>
      <x:c r="N217" s="37" t="str"/>
      <x:c r="O217" s="37" t="str"/>
    </x:row>
    <x:row r="218" ht="20" customHeight="1">
      <x:c r="A218" s="33" t="n">
        <x:v>1275</x:v>
      </x:c>
      <x:c r="B218" s="34" t="str">
        <x:v>1</x:v>
      </x:c>
      <x:c r="C218" s="34" t="str">
        <x:v>Verimlilik</x:v>
      </x:c>
      <x:c r="D218" s="34" t="str">
        <x:v>Verimlilik</x:v>
      </x:c>
      <x:c r="E218" s="34" t="str">
        <x:v>Saatlerin Efendisi</x:v>
      </x:c>
      <x:c r="F218" s="34" t="str">
        <x:v>Daniel Pink</x:v>
      </x:c>
      <x:c r="G218" s="34" t="str">
        <x:v>2018</x:v>
      </x:c>
      <x:c r="H218" s="37" t="str">
        <x:v>Son adım etkisi ve bitiş gücü</x:v>
      </x:c>
      <x:c r="I218" s="37" t="str">
        <x:v>Pink, insanların dönem sonlarında, yaş yuvarlak sayılara yaklaştıklarında ve anlamlı bitiş noktalarında nasıl olağanüstü motivasyon yaşadığını araştırmalarla kanıtlıyor.</x:v>
      </x:c>
      <x:c r="J218" s="37" t="str">
        <x:v>Daniel Pink ilginç bir veri keşfetti.
Maraton kayıt verilerine baktı. Ve bir örüntü gördü.
##İnsanların 29, 39, 49 yaşlarında maratona kaydolma oranı, 28, 38, 48 yaşlarındakilerin neredeyse iki katıydı.##
Neden? Çünkü "29'da" bir on yılın sonuna yaklaşıyorsun. "Artık 30 olmadan önce bir şey yapmalıyım" hissi tetikleniyor.
Pink buna "son adım etkisi" diyor. İnsanlar bitiş çizgisine yaklaştığında — gerçek ya da sembolik — motivasyon keskin biçimde artıyor.
Bu etkiyi bilinçli olarak kullanmak mümkün.
Proje bitişleri, çeyrek dönem sonları, hatta haftanın son günü — bunlar doğal motivasyon sıçrama noktaları.
Pink bir de karşı örüntü buluyor: Dönem ortalarında insanlar sıklıkla moral bozukluğu yaşıyor. Başlangıcın heyecanı geçmiş, bitiş henüz uzak.
Bu dönemlerde yapılacak en güçlü şey: Yapay bir bitiş noktası oluşturmak. "Şu tarihe kadar şunu bitireceğim" kısa vadeli hedefler, beynin bitiş etkisini tekrar tekrar yaşamasını sağlıyor.
$$Bitiş çizgisi göründüğünde beyin farklı çalışır — o bitiş çizgisini kendin çizebilirsin.$$
&amp;&amp;Şu an yarım kalan, ortasında sıkışmış bir projen var mı? Ona bir "bitiş çizgisi" tarihi koysaydın ne değişirdi?&amp;&amp;</x:v>
      </x:c>
      <x:c r="K218" s="37" t="str"/>
      <x:c r="L218" s="37" t="str"/>
      <x:c r="M218" s="37" t="str"/>
      <x:c r="N218" s="37" t="str"/>
      <x:c r="O218" s="37" t="str"/>
    </x:row>
    <x:row r="219" ht="20" customHeight="1">
      <x:c r="A219" s="33" t="n">
        <x:v>1276</x:v>
      </x:c>
      <x:c r="B219" s="34" t="str">
        <x:v>1</x:v>
      </x:c>
      <x:c r="C219" s="34" t="str">
        <x:v>Verimlilik</x:v>
      </x:c>
      <x:c r="D219" s="34" t="str">
        <x:v>Girişimcilik</x:v>
      </x:c>
      <x:c r="E219" s="34" t="str">
        <x:v>Sıfır'dan Bir'e</x:v>
      </x:c>
      <x:c r="F219" s="34" t="str">
        <x:v>Peter Thiel</x:v>
      </x:c>
      <x:c r="G219" s="34" t="str">
        <x:v>2014</x:v>
      </x:c>
      <x:c r="H219" s="37" t="str">
        <x:v>PayPal mafyasının gizemi</x:v>
      </x:c>
      <x:c r="I219" s="37" t="str">
        <x:v>PayPal'dan çıkan girişimciler Tesla, SpaceX, YouTube, LinkedIn ve Yelp'i kurdu; bu tesadüf değil Thiel'in 'sıfırdan bir' yaratan insanların birbirini nasıl bulduğunun kanıtıdır.</x:v>
      </x:c>
      <x:c r="J219" s="37" t="str">
        <x:v>Peter Thiel bir soruyu soruyor: Tarihin en büyük girişim çıkışı hangisi?
Cevabı şaşırtıcı: PayPal.
PayPal 2002'de eBay'e 1.5 milyar dolara satıldı. Bu büyük ama olağanüstü değil.
Asıl mucize sonrasında gerçekleşti.
##PayPal'dan çıkan çalışanlar ve kurucular şunları kurdu: Tesla, SpaceX, YouTube, LinkedIn, Yelp, Palantir, Yammer.##
Ayrıca Facebook, Airbnb ve diğer büyük girişimlere erken yatırımcı oldular.
Tek bir şirketten çıkan bu insanlar toplamda trilyon dolarlık bir ekosistem yarattı.
Thiel bunu şöyle açıklıyor: PayPal'da özel bir kültür vardı. "Sıfırdan bir" yaratan insanlar birbirini bulmuştu. Önceden var olan bir şeyi daha iyi yapmak değil — daha önce hiç olmayan bir şey yaratmak.
Bu zihniyet bulaşıcı. Ve o zihniyet taşıyan insanlar, PayPal'dan çıktıktan sonra o kültürü yanlarında götürdüler.
Thiel şunu soruyor: Büyük girişimler tesadüf müdür, yoksa belirli bir düşünce biçiminin ürünü müdür?
$$Gerçek yenilik "daha iyi" değil — "daha önce yok"tur.$$
&amp;&amp;Çevrendeki insanlarla birlikte "sıfırdan bir" yaratan bir şey hayal etseydin, o şey ne olurdu?&amp;&amp;</x:v>
      </x:c>
      <x:c r="K219" s="37" t="str"/>
      <x:c r="L219" s="37" t="str"/>
      <x:c r="M219" s="37" t="str"/>
      <x:c r="N219" s="37" t="str"/>
      <x:c r="O219" s="37" t="str"/>
    </x:row>
    <x:row r="220" ht="20" customHeight="1">
      <x:c r="A220" s="33" t="n">
        <x:v>1277</x:v>
      </x:c>
      <x:c r="B220" s="34" t="str">
        <x:v>1</x:v>
      </x:c>
      <x:c r="C220" s="34" t="str">
        <x:v>Verimlilik</x:v>
      </x:c>
      <x:c r="D220" s="34" t="str">
        <x:v>Girişimcilik</x:v>
      </x:c>
      <x:c r="E220" s="34" t="str">
        <x:v>Sıfır'dan Bir'e</x:v>
      </x:c>
      <x:c r="F220" s="34" t="str">
        <x:v>Peter Thiel</x:v>
      </x:c>
      <x:c r="G220" s="34" t="str">
        <x:v>2014</x:v>
      </x:c>
      <x:c r="H220" s="37" t="str">
        <x:v>Rekabetten kaçış ve monopol gücü</x:v>
      </x:c>
      <x:c r="I220" s="37" t="str">
        <x:v>Thiel, rekabetin iyi bir şey olmadığını, gerçek başarının monopol yaratmakla geldiğini ve en iyi girişimlerin rekabeti ortadan kaldırdığını savunuyor.</x:v>
      </x:c>
      <x:c r="J220" s="37" t="str">
        <x:v>Peter Thiel karşı sezgisel bir şey söylüyor: Rekabet kötüdür.
Bu iş dünyasının temel kabüllerine ters. "Rekabet inovasyon üretir, rekabet tüketiciyi korur, rekabet ekonomiyi güçlendirir."
Thiel buna katılmıyor.
Rekabetçi bir piyasada şirketler kâr edemez. Uçak şirketlerini düşün — her yıl milyarlarca yolcu taşıyorlar ama kâr marjları son derece ince.
Google'u düşün. Arama motorlarında neredeyse tek.
##Google'ın kâr marjı uçak endüstrisinin kat kat üzerinde. Çünkü rakibi yok.##
Thiel şunu söylüyor: Gerçek başarı, rakiplerinizi geçmek değil — rakiplerinizi geçersiz kılmaktır.
Apple bu yüzden kazandı. Sadece daha iyi bir telefon yapmadı — telefon, müzik çalar ve internet cihazını tek bir pakette birleştirdi ve yepyeni bir kategori yarattı.
"Bir'den n'e gitmek" — var olanı çoğaltmak — rekabete girmek demek. "Sıfırdan bir'e gitmek" — yeni bir şey yaratmak — rekabetten kaçmak demek.
$$En iyi strateji, rakiplerinizi yenmek değil — onları anlamsız kılmaktır.$$
&amp;&amp;Şu an yaptığın iş ya da sunduğun değer gerçekten benzersiz mi, yoksa daha iyi bir versiyonu mu?&amp;&amp;</x:v>
      </x:c>
      <x:c r="K220" s="37" t="str"/>
      <x:c r="L220" s="37" t="str"/>
      <x:c r="M220" s="37" t="str"/>
      <x:c r="N220" s="37" t="str"/>
      <x:c r="O220" s="37" t="str"/>
    </x:row>
    <x:row r="221" ht="20" customHeight="1">
      <x:c r="A221" s="33" t="n">
        <x:v>1278</x:v>
      </x:c>
      <x:c r="B221" s="34" t="str">
        <x:v>1</x:v>
      </x:c>
      <x:c r="C221" s="34" t="str">
        <x:v>Verimlilik</x:v>
      </x:c>
      <x:c r="D221" s="34" t="str">
        <x:v>Girişimcilik</x:v>
      </x:c>
      <x:c r="E221" s="34" t="str">
        <x:v>Sıfır'dan Bir'e</x:v>
      </x:c>
      <x:c r="F221" s="34" t="str">
        <x:v>Peter Thiel</x:v>
      </x:c>
      <x:c r="G221" s="34" t="str">
        <x:v>2014</x:v>
      </x:c>
      <x:c r="H221" s="37" t="str">
        <x:v>Gizler ve sırları aramak</x:v>
      </x:c>
      <x:c r="I221" s="37" t="str">
        <x:v>Thiel, büyük fırsatların herkese görünür bilgilerde değil henüz keşfedilmemiş 'gizlerde' olduğunu ve bu gizleri aramayı bırakmayan girişimcilerin dünyayı değiştirdiğini anlatıyor.</x:v>
      </x:c>
      <x:c r="J221" s="37" t="str">
        <x:v>Peter Thiel bir soru soruyor: "Herkese katılmayan ama doğru olan ne biliyorsun?"
Bu kolay bir soru değil.
Çünkü çoğumuz konsensüsün dışına çıkmaktan çekiniyoruz. Sosyal baskı güçlü. "Herkes öyle düşünüyor" güvenli hissettiriyor.
Ama Thiel'e göre büyük girişimler tam da o konsensüsün dışında başlıyor.
##"Gizler var" diyor Thiel. "Herkes bilmiyor ama gerçek olan şeyler. Ve en büyük fırsatlar orada."##
Airbnb'nin kurucuları bir sırrı biliyordu: İnsanlar yabancıların evinde kalmaktan korkmaz. Çoğu bunu saçma buldu.
Uber'in kurucuları bir sırrı biliyordu: Taksiye alternatif bir piyasa var.
Lyft, DoorDash, SpaceX — hepsinin arkasında, o dönemde konsensüsün kabul etmediği ama doğru olan bir inanç vardı.
Thiel şunu soruyor: Hangi sırları biliyorsun? Çevrendekiler "saçma" ya da "imkansız" diyor ama sen doğru olduğunu düşünüyorsun?
O sır, belki de en büyük fırsatın.
$$Büyük fırsatlar göz önünde değil — henüz görülmemiş yerlerde saklı.$$
&amp;&amp;"Herkes yanlış ama ben doğru biliyorum" dediğin bir şey var mı? O inancı test etmek için ne yapabilirsin?&amp;&amp;</x:v>
      </x:c>
      <x:c r="K221" s="37" t="str"/>
      <x:c r="L221" s="37" t="str"/>
      <x:c r="M221" s="37" t="str"/>
      <x:c r="N221" s="37" t="str"/>
      <x:c r="O221" s="37" t="str"/>
    </x:row>
    <x:row r="222" ht="20" customHeight="1">
      <x:c r="A222" s="33" t="n">
        <x:v>1279</x:v>
      </x:c>
      <x:c r="B222" s="34" t="str">
        <x:v>1</x:v>
      </x:c>
      <x:c r="C222" s="34" t="str">
        <x:v>Liderlik</x:v>
      </x:c>
      <x:c r="D222" s="34" t="str">
        <x:v>Liderlik</x:v>
      </x:c>
      <x:c r="E222" s="34" t="str">
        <x:v>Karanlığın Ötesi</x:v>
      </x:c>
      <x:c r="F222" s="34" t="str">
        <x:v>Brené Brown</x:v>
      </x:c>
      <x:c r="G222" s="34" t="str">
        <x:v>2018</x:v>
      </x:c>
      <x:c r="H222" s="37" t="str">
        <x:v>Zırh kuşanmak ve yalnızlık</x:v>
      </x:c>
      <x:c r="I222" s="37" t="str">
        <x:v>Brown, liderlerin kendilerini korumak için taktığı zırhın aynı zamanda onları gerçek bağlantıdan ve etkili liderlikten nasıl uzaklaştırdığını anlatıyor.</x:v>
      </x:c>
      <x:c r="J222" s="37" t="str">
        <x:v>Brené Brown bir CEO ile konuşuyordu.
CEO başarılı, güçlü, her şeyin kontrolündeydi. Ama bir şikayeti vardı: "Ekibim bana gerçeği söylemiyor."
Brown şöyle sordu: "Peki siz onlara gerçeği söylüyor musunuz?"
Sessizlik.
CEO şöyle yanıtladı: "Bir lider zayıf görünemez."
##Brown şöyle dedi: "Tam da bu yüzden ekibiniz size gerçeği söylemiyor."##
Brown araştırmasında liderlerle binlerce görüşme yaptı. Ve tekrar eden bir örüntü buldu.
Liderler kendilerini korumak için zırh takıyordu. Mükemmeliyetçilik zırhı. "Her zaman güçlü görün" zırhı. "Asla şüphe etme" zırhı.
Ama bu zırh sadece dışarıyı tutmuyor. İçerideki gerçek bağlantıyı da kesiyor.
Ekip zırhlı bir lider görüyor ve kendi zırhını takıyor. Herkes performans sergilemeye başlıyor. Gerçek konuşmalar siliniyor.
Brown'ın dürüst liderlik tanımı: Savunmasız olmayı seçmek. Bilmiyorum demek. Hata yaptığımda sahiplenmek.
$$Güçlü görünmek için örttüğünüz şey, tam da insanların güvendiği şeydir.$$
&amp;&amp;Çevrendeki insanlara lider olarak göstermekten kaçındığın bir zayıflık ya da belirsizlik var mı? Onu açmak ne değiştirir?&amp;&amp;</x:v>
      </x:c>
      <x:c r="K222" s="37" t="str"/>
      <x:c r="L222" s="37" t="str"/>
      <x:c r="M222" s="37" t="str"/>
      <x:c r="N222" s="37" t="str"/>
      <x:c r="O222" s="37" t="str"/>
    </x:row>
    <x:row r="223" ht="20" customHeight="1">
      <x:c r="A223" s="33" t="n">
        <x:v>1280</x:v>
      </x:c>
      <x:c r="B223" s="34" t="str">
        <x:v>1</x:v>
      </x:c>
      <x:c r="C223" s="34" t="str">
        <x:v>Liderlik</x:v>
      </x:c>
      <x:c r="D223" s="34" t="str">
        <x:v>Liderlik</x:v>
      </x:c>
      <x:c r="E223" s="34" t="str">
        <x:v>Karanlığın Ötesi</x:v>
      </x:c>
      <x:c r="F223" s="34" t="str">
        <x:v>Brené Brown</x:v>
      </x:c>
      <x:c r="G223" s="34" t="str">
        <x:v>2018</x:v>
      </x:c>
      <x:c r="H223" s="37" t="str">
        <x:v>Cesur liderliğin bedeli</x:v>
      </x:c>
      <x:c r="I223" s="37" t="str">
        <x:v>Brown, gerçek liderliğin zor konuşmaları yapmayı, belirsizliğe dayanmayı ve başkalarının rahatsızlığını sahiplenmeyi gerektirdiğini araştırmalarla ortaya koyuyor.</x:v>
      </x:c>
      <x:c r="J223" s="37" t="str">
        <x:v>Brené Brown on yıllarca araştırma yaptıktan sonra şunu buldu: Cesur liderlik hakkında yazan herkes neredeyse aynı şeyi söylüyor.
Vizyonu paylaşmak. İnsanlara güvenmek. İletişim kurmak. Büyüme kültürü yaratmak.
Bunların hepsi doğru. Ama Brown şunu fark etti: Bu listelerde bir şey eksik.
##"Zor konuşmalar."##
Çünkü zor konuşmalar — performans sorununu dile getirmek, "bu proje işe yaramıyor" demek, çatışmayı yönetmek — gerçek anlamda cesaret gerektiriyor.
Ve araştırmalar şunu gösteriyor: Liderlerin çoğu bu konuşmaları ya hiç yapmıyor, ya da çok geç yapıyor.
Brown bunu şöyle açıklıyor: "Zor konuşmayı yapmamak, hem zaman hem de güven maliyeti oluşturuyor."
Sorun büyüyor. Güven erozyonu başlıyor. Ekip "lider bildiği halde söylemiyor" diye hissediyor.
Cesur liderlik bazen sadece şu cümleyi kurmak: "Seninle konuşmam gereken zor bir şey var."
$$Zor konuşmayı ertelemek sorunu çözmez — büyütür.$$
&amp;&amp;Şu an yapmayı ertelediğin zor bir konuşma var mı? O konuşmayı bugün yaparsan ne olur?&amp;&amp;</x:v>
      </x:c>
      <x:c r="K223" s="37" t="str"/>
      <x:c r="L223" s="37" t="str"/>
      <x:c r="M223" s="37" t="str"/>
      <x:c r="N223" s="37" t="str"/>
      <x:c r="O223" s="37" t="str"/>
    </x:row>
    <x:row r="224" ht="20" customHeight="1">
      <x:c r="A224" s="33" t="n">
        <x:v>1281</x:v>
      </x:c>
      <x:c r="B224" s="34" t="str">
        <x:v>1</x:v>
      </x:c>
      <x:c r="C224" s="34" t="str">
        <x:v>Liderlik</x:v>
      </x:c>
      <x:c r="D224" s="34" t="str">
        <x:v>Liderlik</x:v>
      </x:c>
      <x:c r="E224" s="34" t="str">
        <x:v>Karanlığın Ötesi</x:v>
      </x:c>
      <x:c r="F224" s="34" t="str">
        <x:v>Brené Brown</x:v>
      </x:c>
      <x:c r="G224" s="34" t="str">
        <x:v>2018</x:v>
      </x:c>
      <x:c r="H224" s="37" t="str">
        <x:v>Değerler ve değer çatışması</x:v>
      </x:c>
      <x:c r="I224" s="37" t="str">
        <x:v>Brown, gerçek liderliğin iki ya da üç temel değeri net olarak belirleyip o değerlere dayanan zor kararlar almayı gerektirdiğini anlatıyor.</x:v>
      </x:c>
      <x:c r="J224" s="37" t="str">
        <x:v>Brené Brown liderlere şunu soruyor: "Temel değerleriniz neler?"
Çoğu lider uzun listeler veriyor: Dürüstlük, güven, inovasyon, saygı, mükemmellik, çeşitlilik...
Brown baş sallıyor. Sonra şöyle diyor: "Peki, bu değerlerden hangisi zor bir karar anında diğerini geçersiz kılıyor?"
Çoğu lider cevap veremiyor.
##Brown'ın araştırması şunu gösteriyor: En güçlü liderler iki, en fazla üç temel değere sahip. Ve zor anlarda o değerlerden hareket ediyorlar.##
Bu önemli. Çünkü değer çatışması kaçınılmaz. Büyümek ile dürüst olmak çatışabilir. Hız ile kalite çatışabilir. Bireysel başarı ile takım başarısı çatışabilir.
Bu anlarda "değerlerim ne söylüyor?" sorusu yol gösteriyor. Ama ancak değerlerin gerçekten netleştiği zaman.
Brown bir adım daha ileri gidiyor: Değerlerin gerçekliği ise davranışlarla ölçülür. "Dürüstlük benim değerim" demek kolay. Ama kârı tehlikeye atarak dürüst kalmak, o değerin gerçek testini gösterir.
$$Değerler sergilendiklerinde değil, bedeli olduğunda gerçek olur.$$
&amp;&amp;Senin için gerçekten vazgeçilmez olan iki değer hangisi? Bu değerler son zor kararında seni yönlendirdi mi?&amp;&amp;</x:v>
      </x:c>
      <x:c r="K224" s="37" t="str"/>
      <x:c r="L224" s="37" t="str"/>
      <x:c r="M224" s="37" t="str"/>
      <x:c r="N224" s="37" t="str"/>
      <x:c r="O224" s="37" t="str"/>
    </x:row>
    <x:row r="225" ht="20" customHeight="1">
      <x:c r="A225" s="33" t="n">
        <x:v>1282</x:v>
      </x:c>
      <x:c r="B225" s="34" t="str">
        <x:v>1</x:v>
      </x:c>
      <x:c r="C225" s="34" t="str">
        <x:v>Büyüme</x:v>
      </x:c>
      <x:c r="D225" s="34" t="str">
        <x:v>İlham</x:v>
      </x:c>
      <x:c r="E225" s="34" t="str">
        <x:v>Kaybedilen Cennet</x:v>
      </x:c>
      <x:c r="F225" s="34" t="str">
        <x:v>Paulo Coelho</x:v>
      </x:c>
      <x:c r="G225" s="34" t="str">
        <x:v>1988</x:v>
      </x:c>
      <x:c r="H225" s="37" t="str">
        <x:v>Santiago'nun tekrarlayan rüyası</x:v>
      </x:c>
      <x:c r="I225" s="37" t="str">
        <x:v>Coelho'nun çobanı Santiago, mısır tarlasındaki hazineye dair rüyasını defalarca gördü ve bu rüyayı takip etmek tüm hayatını değiştirdi.</x:v>
      </x:c>
      <x:c r="J225" s="37" t="str">
        <x:v>Santiago bir çobandı. İspanya'nın kırsalında yaşıyordu, koyunlarını otlatıyordu, basit bir hayat sürüyordu.
Ama iki kez aynı rüyayı gördü.
Mısır'daki piramitlerin yanında, kum altında bir hazine.
İlk seferinde rastlantı dedi. İkincisinde düşünmeye başladı.
Yaşlı bir kral ona geldi ve şöyle dedi: "Kişisel efsaneni takip etmezsen, kalbindeki hazinenin ruhu bir gün seninle konuşmayı keser."
##Santiago koyunlarını sattı ve Mısır'a yola çıktı.##
Paulo Coelho bu yolculuğu, herkesin içinde taşıdığı ama çoğu zaman ertelediği ya da terk ettiği o derinden gelen çağrının sembolü olarak yazıyor.
"Kişisel efsane" Coelho'nun diliyle: Çocuklukta düşlediğin, gerçek anlamda yapmak istediğin, ama hayatın koşullarıyla bıraktığın şey.
Santiago rüyayı takip etti. Soyuldu. Aldatıldı. Çöllerde kayboldu. Ama her engel onu daha derin bir bilgeliğe taşıdı.
Ve hazinenin sırrı romanın en sonunda ortaya çıktı — hazine hiç düşündüğü yerde değildi.
$$Kişisel efsaneni takip etmemek, dünyayı küçültür.$$
&amp;&amp;Çocukken gerçekten olmak istediğin ya da yapmak istediğin şeyi hâlâ hatırlıyor musun? Hayatın koşulları onu ne zaman erteletti?&amp;&amp;</x:v>
      </x:c>
      <x:c r="K225" s="37" t="str"/>
      <x:c r="L225" s="37" t="str"/>
      <x:c r="M225" s="37" t="str"/>
      <x:c r="N225" s="37" t="str"/>
      <x:c r="O225" s="37" t="str"/>
    </x:row>
    <x:row r="226" ht="20" customHeight="1">
      <x:c r="A226" s="33" t="n">
        <x:v>1283</x:v>
      </x:c>
      <x:c r="B226" s="34" t="str">
        <x:v>1</x:v>
      </x:c>
      <x:c r="C226" s="34" t="str">
        <x:v>Büyüme</x:v>
      </x:c>
      <x:c r="D226" s="34" t="str">
        <x:v>İlham</x:v>
      </x:c>
      <x:c r="E226" s="34" t="str">
        <x:v>Kaybedilen Cennet</x:v>
      </x:c>
      <x:c r="F226" s="34" t="str">
        <x:v>Paulo Coelho</x:v>
      </x:c>
      <x:c r="G226" s="34" t="str">
        <x:v>1988</x:v>
      </x:c>
      <x:c r="H226" s="37" t="str">
        <x:v>Evrenin dili ve işaretler</x:v>
      </x:c>
      <x:c r="I226" s="37" t="str">
        <x:v>Coelho, Santiago'nun yolculuğu boyunca karşılaştığı 'şans eseri' olayların aslında evrenin ona yol gösterdiğini anlatıyor.</x:v>
      </x:c>
      <x:c r="J226" s="37" t="str">
        <x:v>Santiago yolculuğunun en zorlu anında bir çöl ortasında duruyordu.
Para bitmişti. Yön kaybolmuştu. Umut sönmüştü.
Tam o anda iki şahin gökyüzünde dans etti. Ve Santiago bu hareketi bir saldırının habercisi olarak yorumladı. Kaçtı. Ve kurtuldu.
##Coelho bu anı şöyle yazıyor: "Evren konuşuyor. Ama yalnızca dinleyenler duyuyor."##
Bu metafizik bir iddia olarak okunabilir. Ama Coelho bunu daha pratik bir şekilde de yorumluyor:
Bir hedefe derinden odaklandığında, o hedefle ilgili bilgiyi fark etme kapasiteniz artıyor. İş arayanlara iş ilanları daha görünür oluyor. Aşık olanlara sevgililer her yerde. Bir fikre odaklananlar o fikirle ilgili bağlantıları daha kolay kuruyor.
Bu kör şans değil. Bu seçici dikkat.
Ama Coelho romanında daha derin bir şey de söylüyor: Bazen yolculuk, varış noktasından daha önemlidir. Santiago hazinenin yerini öğrendi — ama hazineye giden yol onu hazine için hazırladı.
$$Hedefin seni çektiğinde, yol kendiliğinden gösterir — gözlerin açıksa.$$
&amp;&amp;Bir hedefe ya da hayale odaklandığında, çevrenden daha fazla "işaret" fark etmeye başladığın oldu mu? O deneyim nasıldı?&amp;&amp;</x:v>
      </x:c>
      <x:c r="K226" s="37" t="str"/>
      <x:c r="L226" s="37" t="str"/>
      <x:c r="M226" s="37" t="str"/>
      <x:c r="N226" s="37" t="str"/>
      <x:c r="O226" s="37" t="str"/>
    </x:row>
    <x:row r="227" ht="20" customHeight="1">
      <x:c r="A227" s="33" t="n">
        <x:v>1284</x:v>
      </x:c>
      <x:c r="B227" s="34" t="str">
        <x:v>1</x:v>
      </x:c>
      <x:c r="C227" s="34" t="str">
        <x:v>Büyüme</x:v>
      </x:c>
      <x:c r="D227" s="34" t="str">
        <x:v>İlham</x:v>
      </x:c>
      <x:c r="E227" s="34" t="str">
        <x:v>Kaybedilen Cennet</x:v>
      </x:c>
      <x:c r="F227" s="34" t="str">
        <x:v>Paulo Coelho</x:v>
      </x:c>
      <x:c r="G227" s="34" t="str">
        <x:v>1988</x:v>
      </x:c>
      <x:c r="H227" s="37" t="str">
        <x:v>Hazine hep başladığın yerde</x:v>
      </x:c>
      <x:c r="I227" s="37" t="str">
        <x:v>Coelho'nun romanının en büyük paradoksu: Santiago binlerce kilometre yol yaparak aradığı hazinenin ta başından beri başladığı yerde olduğunu keşfediyor.</x:v>
      </x:c>
      <x:c r="J227" s="37" t="str">
        <x:v>Santiago nihayet piramitlere ulaştı.
Kazıp durdu. Hiçbir şey bulamadı.
Ağladı. Yoruldu. Ve bir yabancı ona güldü.
"Ben de aynı rüyayı gördüm" dedi yabancı. "İspanya'daki terk edilmiş bir kilisede, bir İncir ağacının altında bir hazine var. Ama ben aptal değilim. Bir rüya için binlerce kilometre gitmem."
##Santiago geri döndü. İncir ağacının altını kazdı. Ve hazinenin orada olduğunu buldu.##
Paulo Coelho bu paradoksu bilinçli olarak inşa ediyor.
Hazine her zaman oradadaydı. Ama Santiago onu bulmak için yolculuğu yapmak zorundaydı. Yolculuk olmadan, ne hazineyi tanıyabilirdi ne de onu taşıyacak bilgeliğe sahip olabilirdi.
Bu birçok hayat yolculuğunun özü.
Aradığın şey — anlam, bağlantı, tatmin, kim olduğun — çoğu zaman uzak bir destinasyonda değil. Ama onu görebilmek için bazı yolculukları yapmak gerekiyor.
$$Aradığın şey çoğu zaman uzakta değil — ama onu görmek için uzağa gitmiş olmak gerekiyor.$$
&amp;&amp;Uzun bir yolculuğun ardından, en değerli şeyin aslında zaten yanında olduğunu fark ettiğin bir deneyim yaşadın mı?&amp;&amp;</x:v>
      </x:c>
      <x:c r="K227" s="37" t="str"/>
      <x:c r="L227" s="37" t="str"/>
      <x:c r="M227" s="37" t="str"/>
      <x:c r="N227" s="37" t="str"/>
      <x:c r="O227" s="37" t="str"/>
    </x:row>
    <x:row r="228" ht="20" customHeight="1">
      <x:c r="A228" s="33" t="n">
        <x:v>1285</x:v>
      </x:c>
      <x:c r="B228" s="34" t="str">
        <x:v>1</x:v>
      </x:c>
      <x:c r="C228" s="34" t="str">
        <x:v>Felsefe</x:v>
      </x:c>
      <x:c r="D228" s="34" t="str">
        <x:v>Felsefe</x:v>
      </x:c>
      <x:c r="E228" s="34" t="str">
        <x:v>İnsan Nasıl Düşünür</x:v>
      </x:c>
      <x:c r="F228" s="34" t="str">
        <x:v>James Allen</x:v>
      </x:c>
      <x:c r="G228" s="34" t="str">
        <x:v>1903</x:v>
      </x:c>
      <x:c r="H228" s="37" t="str">
        <x:v>Bahçıvan ve zihin toprağı</x:v>
      </x:c>
      <x:c r="I228" s="37" t="str">
        <x:v>Allen, bir bahçıvanın çiçek mi diken ot mu ekeceğini seçmesi gibi zihnimize hangi düşünceleri ektiğimizin hayatımızın hasadını belirlediğini anlatıyor.</x:v>
      </x:c>
      <x:c r="J228" s="37" t="str">
        <x:v>James Allen 1903'te küçük bir kitap yazdı.
Ama o kitap bugün hâlâ okunuyor.
Allen şöyle bir metafor kullanıyor: Zihin bir bahçe gibi. Bilinçli olarak ekilip bakılabilir ya da vahşi biçimde büyümesine izin verilebilir.
Bahçıvan ne eker?
Çiçek ekerse çiçek, ot ekerse ot büyür. Ama en önemlisi şu: Bahçıvan hiçbir şey ekmezse, yine de bir şey büyür — yabani otlar.
##"Zihin de öyle" diyor Allen. "Kasıtlı olarak beslenmezse, rastgele büyür."##
Allen bu fikri şöyle genişletiyor: Düşüncelerimiz sadece zihnimizde kalmıyor. Karakterimizi, kararlarımızı, koşullarımızı şekillendiriyor.
Uzun süre belli düşünceler düşünen insan, o düşüncelerin somutlaştığı bir hayat kuruyor. Bu sihir değil, alışkanlık. Düşünceler davranışları, davranışlar sonuçları şekillendiriyor.
Allen şunu soruyor: Zihninizin bahçesinde ne büyüyor? Ve onu siz mi diktiniz?
$$Zihin boş bırakılmaz — ya siz ekersiniz, ya rüzgar eker.$$
&amp;&amp;Şu an zihninde en sık tekrar eden düşünceler neler? Bu düşünceleri kasıtlı olarak mı seçtin, yoksa kendiliğinden mi geliyorlar?&amp;&amp;</x:v>
      </x:c>
      <x:c r="K228" s="37" t="str"/>
      <x:c r="L228" s="37" t="str"/>
      <x:c r="M228" s="37" t="str"/>
      <x:c r="N228" s="37" t="str"/>
      <x:c r="O228" s="37" t="str"/>
    </x:row>
    <x:row r="229" ht="20" customHeight="1">
      <x:c r="A229" s="33" t="n">
        <x:v>1286</x:v>
      </x:c>
      <x:c r="B229" s="34" t="str">
        <x:v>1</x:v>
      </x:c>
      <x:c r="C229" s="34" t="str">
        <x:v>Felsefe</x:v>
      </x:c>
      <x:c r="D229" s="34" t="str">
        <x:v>Felsefe</x:v>
      </x:c>
      <x:c r="E229" s="34" t="str">
        <x:v>İnsan Nasıl Düşünür</x:v>
      </x:c>
      <x:c r="F229" s="34" t="str">
        <x:v>James Allen</x:v>
      </x:c>
      <x:c r="G229" s="34" t="str">
        <x:v>1903</x:v>
      </x:c>
      <x:c r="H229" s="37" t="str">
        <x:v>Koşullar değil karakter belirler</x:v>
      </x:c>
      <x:c r="I229" s="37" t="str">
        <x:v>Allen, insanların koşullarının kurbanı olmadığını, aksine koşulların karakterin bir yansıması olduğunu ve değişimin içeriden başladığını savunuyor.</x:v>
      </x:c>
      <x:c r="J229" s="37" t="str">
        <x:v>James Allen'ın en radikal iddiası şu: Koşullarınız sizi şekillendirmiyor. Siz koşullarınızı şekillendiriyorsunuz.
Bu ilk duyuşta haksız geliyor.
"Ne? Yoksullukta doğmak benim seçimim miydi? Hastalık benim hatam mı?"
Allen bunu kastetmiyor. Koşulların gerçekliğini inkâr etmiyor.
##Ama şöyle bir gözlem yapıyor: Aynı koşullarda iki insan farklı hayatlar inşa ediyor. Fark neden?##
Allen'ın cevabı: Karakter. Ve karakterin temeli: Düşünce.
Bu fikir modern psikoloji araştırmalarıyla da örtüşüyor. Koşulların mutluluğu belirlemedeki payı sanıldığından çok daha küçük. Koşullara verilen tepki ve anlam çok daha belirleyici.
Allen'ın iyimserliği naif değil. "Her şey iyi" demiyor. "Dışarıdaki her şeyi değiştiremeyebilirsin, ama içerideki her şeyi değiştirebilirsin" diyor.
Ve içerisi değişince, dışarısı da yavaş yavaş değişiyor.
$$Koşullar manzara belirler, karakter rotayı.$$
&amp;&amp;Şu an değiştiremediğini düşündüğün bir koşul var mı? O koşula yaklaşımını değiştirseydin ne olurdu?&amp;&amp;</x:v>
      </x:c>
      <x:c r="K229" s="37" t="str"/>
      <x:c r="L229" s="37" t="str"/>
      <x:c r="M229" s="37" t="str"/>
      <x:c r="N229" s="37" t="str"/>
      <x:c r="O229" s="37" t="str"/>
    </x:row>
    <x:row r="230" ht="20" customHeight="1">
      <x:c r="A230" s="33" t="n">
        <x:v>1287</x:v>
      </x:c>
      <x:c r="B230" s="34" t="str">
        <x:v>1</x:v>
      </x:c>
      <x:c r="C230" s="34" t="str">
        <x:v>Felsefe</x:v>
      </x:c>
      <x:c r="D230" s="34" t="str">
        <x:v>Felsefe</x:v>
      </x:c>
      <x:c r="E230" s="34" t="str">
        <x:v>İnsan Nasıl Düşünür</x:v>
      </x:c>
      <x:c r="F230" s="34" t="str">
        <x:v>James Allen</x:v>
      </x:c>
      <x:c r="G230" s="34" t="str">
        <x:v>1903</x:v>
      </x:c>
      <x:c r="H230" s="37" t="str">
        <x:v>Sessizliğin içindeki bilgelik</x:v>
      </x:c>
      <x:c r="I230" s="37" t="str">
        <x:v>Allen, en derin bilgeliğin dışarıdan değil içeriden geldiğini ve sessizliğin o iç sese ulaşmanın tek yolu olduğunu anlatıyor.</x:v>
      </x:c>
      <x:c r="J230" s="37" t="str">
        <x:v>James Allen bir gözlem yapıyor.
En büyük filozoflar, ruhani liderler, yaratıcı dehalar hayatlarında düzenli sessizlik dönemleri yaşadı.
Budda meditasyon yaptı. Newton Cambridge vebası sırasında izole kaldı ve en büyük keşiflerini o dönemde yaptı. Thoreau Walden Gölü'nde iki yıl yaşadı.
Bu tesadüf değil.
##Allen şöyle yazıyor: "Sessizlik içinde, zihinsel gürültü sustuğunda, insanın kendi doğasını daha net görmesi mümkün olur."##
Bu felsefi bir iddia. Ama nöroloji de destekliyor.
"Default mode network" — beynin varsayılan modu — aktif düşünmediğimizde devreye giriyor. Ve bu mod, yaratıcı bağlantılar, anlam üretme ve öz-farkındalık için kritik.
Sürekli uyarılma altındaki bir beyin bu moda giremez.
Allen'ın uygulaması basit: Her gün sessizlik için zaman ayır. Telefonsuz, haberden uzak, sadece var olarak. Ne çıkarsa çıksın.
Büyük sorulara cevaplar çoğu zaman gürültülü düşüncenin altında sessizce bekliyor.
$$En derin cevaplar sorulmaz — sessizlikte duyulur.$$
&amp;&amp;Son ne zaman gerçekten sessiz kaldın — telefon, müzik, podcast, haber olmadan? O sessizlikte ne buldun ya da bulamadın?&amp;&amp;</x:v>
      </x:c>
      <x:c r="K230" s="37" t="str"/>
      <x:c r="L230" s="37" t="str"/>
      <x:c r="M230" s="37" t="str"/>
      <x:c r="N230" s="37" t="str"/>
      <x:c r="O230" s="37" t="str"/>
    </x:row>
    <x:row r="231" ht="20" customHeight="1">
      <x:c r="A231" s="33" t="n">
        <x:v>1288</x:v>
      </x:c>
      <x:c r="B231" s="34" t="str">
        <x:v>1</x:v>
      </x:c>
      <x:c r="C231" s="34" t="str">
        <x:v>Büyüme</x:v>
      </x:c>
      <x:c r="D231" s="34" t="str">
        <x:v>Motivasyon</x:v>
      </x:c>
      <x:c r="E231" s="34" t="str">
        <x:v>Can't Hurt Me</x:v>
      </x:c>
      <x:c r="F231" s="34" t="str">
        <x:v>David Goggins</x:v>
      </x:c>
      <x:c r="G231" s="34" t="str">
        <x:v>2018</x:v>
      </x:c>
      <x:c r="H231" s="37" t="str">
        <x:v>Çocukluğun en karanlık gecesi</x:v>
      </x:c>
      <x:c r="I231" s="37" t="str">
        <x:v>Goggins çocukluğunun en ağır anlarında hayatta kalmayı seçtiğini ve bu 'hayatta kalma zihni'nin onun en büyük gücü olduğunu anlatıyor.</x:v>
      </x:c>
      <x:c r="J231" s="37" t="str">
        <x:v>David Goggins'in çocukluğu zordu. Çok zordu.
Şiddet vardı evinde. Irk ayrımcılığı vardı okulunda. Yoksulluk vardı hayatında.
Çoğu çocuk bu koşullar altında kırılır. Goggins de kırılmaya çok yaklaştı.
Ama bir gece, en karanlık anında, bir karar verdi.
##"Hayatta kalmayı seçiyorum" dedi. Sadece beden olarak değil, zihin olarak da.##
Goggins bu kararı şöyle açıklıyor: O gece mağduriyet anlatısını bıraktım. Başıma gelenler gerçekti. Haksızlıktı. Ama o haksızlığın beni tanımlamasına izin vermemeyi seçtim.
Bu kolay bir karar değildi. Ve bir kerelik bir karardı da değil. Her gün yeniden verilmesi gereken bir karardı.
Goggins sonraki yıllarda Navy SEAL oldu. Ultra maraton koştu. Dünya rekorları kırdı.
Ama kitabında en çok şunu vurguluyor: Fiziksel başarılar bir yan ürün. Asıl başarı zihinsel — kendi hikayenin yazarı olmayı seçmek.
$$Başına gelenler senin suçun olmayabilir — ama onlarla ne yapacağın senin seçimin.$$
&amp;&amp;Hayatında mağduriyet anlatısına sığındığın ama artık bırakmak istediğin bir alan var mı?&amp;&amp;</x:v>
      </x:c>
      <x:c r="K231" s="37" t="str"/>
      <x:c r="L231" s="37" t="str"/>
      <x:c r="M231" s="37" t="str"/>
      <x:c r="N231" s="37" t="str"/>
      <x:c r="O231" s="37" t="str"/>
    </x:row>
    <x:row r="232" ht="20" customHeight="1">
      <x:c r="A232" s="33" t="n">
        <x:v>1289</x:v>
      </x:c>
      <x:c r="B232" s="34" t="str">
        <x:v>1</x:v>
      </x:c>
      <x:c r="C232" s="34" t="str">
        <x:v>Büyüme</x:v>
      </x:c>
      <x:c r="D232" s="34" t="str">
        <x:v>Motivasyon</x:v>
      </x:c>
      <x:c r="E232" s="34" t="str">
        <x:v>Can't Hurt Me</x:v>
      </x:c>
      <x:c r="F232" s="34" t="str">
        <x:v>David Goggins</x:v>
      </x:c>
      <x:c r="G232" s="34" t="str">
        <x:v>2018</x:v>
      </x:c>
      <x:c r="H232" s="37" t="str">
        <x:v>Yüzde kırk kuralı</x:v>
      </x:c>
      <x:c r="I232" s="37" t="str">
        <x:v>Goggins, beynin tükenmişlik sinyali verdiğinde gerçek kapasitenin yalnızca yüzde kırkının kullanıldığını ve geri kalanın zihinsel bir yedek olduğunu anlatıyor.</x:v>
      </x:c>
      <x:c r="J232" s="37" t="str">
        <x:v>David Goggins bir ultra maraton koşuyordu.
160 kilometre. Kaydolduğunda hiç hazırlığı yoktu. Ne koşu deneyimi vardı ne de gerekli ekipmanı.
Ama koşmaya karar verdi.
Kilometrelerin ilerlemesiyle her şey ağrımaya başladı. Ayakları şişti. Böbrekleri problemler yaşadı. Her adım irade savaşıydı.
Ve bir noktada beyin "dur" mesajı verdi. Net, güçlü, inandırıcı bir mesaj: "Artık dayanamıyorsun."
##Goggins durdu. Ama sonra düşündü: "Eğer gerçekten bitmiş olsaydım, şu an ölüyor olurdum."##
Devam etti. Ve bitirdi.
Bu deneyimden "Yüzde Kırk Kuralı"nı geliştirdi: Beyin "tükendim" sinyali verdiğinde, gerçek fiziksel kapasitenin yüzde kırkındayızdır. Geri kalan yüzde altmış yedekte.
Bu yalnızca fiziksel dayanıklılık için değil. Entelektüel, duygusal, profesyonel her alanda geçerli.
"Bu çok zor" hissi genellikle gerçek bir sınır değil — beynin koruyucu bir mekanizması.
$$"Artık dayanamıyorum" hissi genellikle bitiş noktası değil — gerçek başlangıç noktasıdır.$$
&amp;&amp;Son gerçekten zorlayan bir anı düşün. O anda "tükendim" mi dedin? Devam etseydin ne olurdu?&amp;&amp;</x:v>
      </x:c>
      <x:c r="K232" s="37" t="str"/>
      <x:c r="L232" s="37" t="str"/>
      <x:c r="M232" s="37" t="str"/>
      <x:c r="N232" s="37" t="str"/>
      <x:c r="O232" s="37" t="str"/>
    </x:row>
    <x:row r="233" ht="20" customHeight="1">
      <x:c r="A233" s="33" t="n">
        <x:v>1290</x:v>
      </x:c>
      <x:c r="B233" s="34" t="str">
        <x:v>1</x:v>
      </x:c>
      <x:c r="C233" s="34" t="str">
        <x:v>Büyüme</x:v>
      </x:c>
      <x:c r="D233" s="34" t="str">
        <x:v>Motivasyon</x:v>
      </x:c>
      <x:c r="E233" s="34" t="str">
        <x:v>Can't Hurt Me</x:v>
      </x:c>
      <x:c r="F233" s="34" t="str">
        <x:v>David Goggins</x:v>
      </x:c>
      <x:c r="G233" s="34" t="str">
        <x:v>2018</x:v>
      </x:c>
      <x:c r="H233" s="37" t="str">
        <x:v>Hesap defteri ve zihinsel güç</x:v>
      </x:c>
      <x:c r="I233" s="37" t="str">
        <x:v>Goggins, başarısızlık ve eleştiri karşısında zihinsel gücü yeniden inşa etmek için kendi geliştirdiği 'hesap defteri' tekniğini anlatıyor.</x:v>
      </x:c>
      <x:c r="J233" s="37" t="str">
        <x:v>David Goggins hayatının en düşük noktasındaydı.
Overweight, işsiz, umursuz. Herkes ona bunu hatırlatıyordu. Ve Goggins de kendi kendine söylüyordu.
Bir gün banyo aynasının önünde durdu. Ve şöyle düşündü: "Eğer sürekli kendimi kötülemekle başlıyorsam, motivasyon nereden gelecek?"
Bir şey denedi. Geçmişte üstesinden geldiği her zorlukla başladı. Küçük olanlar, büyük olanlar. Unuttuğu başarılar, hatırladığı dayanışlar.
##Ve şunu fark etti: Hesabın pozitif tarafında görmezden geldiği pek çok kanıt vardı.##
Goggins buna "hesap defteri" diyor. Zorlu bir anla karşılaştığında — bir eleştiri, bir başarısızlık, bir kriz — geçmişte benzer zorluklardan çıkışı hatırlamak.
"Ben daha önce de bunu yaptım. Bu beni yıkamaz."
Bu naif bir pozitiflik değil. Gerçek kanıta dayalı bir güven. Ve o güven, bir sonraki adımı atmayı mümkün kılıyor.
$$Zihinsel güç hafızada saklı — geçmişin kanıtları geleceğin yakıtıdır.$$
&amp;&amp;Hayatında üstesinden geldiğin ve kendine bunu kanıtladığın ama zor anlarda unuttuğun başarılar neler?&amp;&amp;</x:v>
      </x:c>
      <x:c r="K233" s="37" t="str"/>
      <x:c r="L233" s="37" t="str"/>
      <x:c r="M233" s="37" t="str"/>
      <x:c r="N233" s="37" t="str"/>
      <x:c r="O233" s="37" t="str"/>
    </x:row>
    <x:row r="234" ht="20" customHeight="1">
      <x:c r="A234" s="33" t="n">
        <x:v>1291</x:v>
      </x:c>
      <x:c r="B234" s="34" t="str">
        <x:v>1</x:v>
      </x:c>
      <x:c r="C234" s="34" t="str">
        <x:v>Finans</x:v>
      </x:c>
      <x:c r="D234" s="34" t="str">
        <x:v>Finans</x:v>
      </x:c>
      <x:c r="E234" s="34" t="str">
        <x:v>Zengin Baba Fakir Baba</x:v>
      </x:c>
      <x:c r="F234" s="34" t="str">
        <x:v>Robert Kiyosaki</x:v>
      </x:c>
      <x:c r="G234" s="34" t="str">
        <x:v>1997</x:v>
      </x:c>
      <x:c r="H234" s="37" t="str">
        <x:v>İki babanın iki dersi</x:v>
      </x:c>
      <x:c r="I234" s="37" t="str">
        <x:v>Kiyosaki'nin gerçek babası 'para için çalış' derken zengin komşu babası 'parayı senin için çalıştır' dedi; bu iki cümle iki farklı hayatı yarattı.</x:v>
      </x:c>
      <x:c r="J234" s="37" t="str">
        <x:v>Robert Kiyosaki'nin iki babası vardı.
Gerçek babası. Eğitimli, çalışkan, emekli devlet memuru. "İyi not al, iyi okul, iyi iş" diyordu. Hayatı boyunca çalıştı. Emekli olduğunda maaşı kesildi.
Komşusunun babası. Okulu bitirmemişti. Ama iş kurmasını biliyordu. Kiyosaki'yi küçüklüğünden itibaren yanında yetiştirdi.
İki farklı para dersi verdi bu iki adam.
##Gerçek babası: "Para için çalış."##
##Zengin baba: "Parayı senin için çalıştır."##
Bu iki cümle arasındaki fark bir hayat farkı.
Para için çalışan insan maaş alıyor. Maaş geliyor, harcama yapılıyor, tekrar çalışıyorsun. "Hamster tekerleği" diyor Kiyosaki.
Parayı çalıştıran insan ise varlıklar ediniyor. Varlıklar gelir üretiyor. Ve bu gelir daha fazla varlık satın alıyor.
Kiyosaki'nin temel ayrımı: Varlık para getiren şey. Yükümlülük para götüren şey.
Ev bir varlık mıdır? Kira üretenler için evet. İçinde oturulanlar için yükümlülük.
$$Para için çalışmak tüketir; parayı çalıştırmak özgür kılar.$$
&amp;&amp;Şu an sahip olduğun şeylerden hangisi sana para getiriyor, hangisi götürüyor?&amp;&amp;</x:v>
      </x:c>
      <x:c r="K234" s="37" t="str"/>
      <x:c r="L234" s="37" t="str"/>
      <x:c r="M234" s="37" t="str"/>
      <x:c r="N234" s="37" t="str"/>
      <x:c r="O234" s="37" t="str"/>
    </x:row>
    <x:row r="235" ht="20" customHeight="1">
      <x:c r="A235" s="33" t="n">
        <x:v>1292</x:v>
      </x:c>
      <x:c r="B235" s="34" t="str">
        <x:v>1</x:v>
      </x:c>
      <x:c r="C235" s="34" t="str">
        <x:v>Finans</x:v>
      </x:c>
      <x:c r="D235" s="34" t="str">
        <x:v>Finans</x:v>
      </x:c>
      <x:c r="E235" s="34" t="str">
        <x:v>Zengin Baba Fakir Baba</x:v>
      </x:c>
      <x:c r="F235" s="34" t="str">
        <x:v>Robert Kiyosaki</x:v>
      </x:c>
      <x:c r="G235" s="34" t="str">
        <x:v>1997</x:v>
      </x:c>
      <x:c r="H235" s="37" t="str">
        <x:v>McDonald's aslında ne satıyor?</x:v>
      </x:c>
      <x:c r="I235" s="37" t="str">
        <x:v>Kiyosaki, McDonald's kurucusu Ray Kroc'un bir konferansta 'ben hamburger değil gayrimenkul satıyorum' demesiyle gerçek servetin nerede yaratıldığını anlatan ders.</x:v>
      </x:c>
      <x:c r="J235" s="37" t="str">
        <x:v>Robert Kiyosaki bir iş konferansında öğrencilere şu soruyu sordu:
"McDonald's ne satar?"
Herkes güldü. "Hamburger tabii."
Kiyosaki başını salladı. "Peki Ray Kroc ne derdi?"
Ve sonra bir hikaye anlattı.
Kroc bir gün MBA öğrencilerine konuşma yapıyordu. Sona geldiğinde şunu sordu: "Benim asıl işim nedir?"
Herkes "fast food" dedi.
##Kroc güldü ve şöyle dedi: "Ben gayrimenkul işindeyim. McDonald's sadece bana o gayrimenkulü satın almanın bir yolunu gösteriyor."##
McDonald's'ın her lokasyonu şirkete ait ya da kiralanmış bir arazi üzerinde duruyor. Bu arazi zaman içinde değer kazanıyor. Hamburgerin kârı ise yalnızca o arazinin bakım maliyetini karşılıyor.
Kiyosaki bu hikayeyi şöyle yorumluyor: Zenginler çalıştıklarından değil, sahip olduklarından kazanıyor. Görüneni değil, altında yatanı görüyorlar.
Bir işin ya da yatırımın gerçek değeri çoğu zaman yüzeyde görünmüyor.
$$Her başarılı işin arkasında görünür üründen farklı bir gerçek varlık stratejisi var.$$
&amp;&amp;Şu an çalıştığın ya da yatırım yaptığın şeyin "gerçek değer" kaynağı nerede? Sadece yüzeyi mi görüyorsun?&amp;&amp;</x:v>
      </x:c>
      <x:c r="K235" s="37" t="str"/>
      <x:c r="L235" s="37" t="str"/>
      <x:c r="M235" s="37" t="str"/>
      <x:c r="N235" s="37" t="str"/>
      <x:c r="O235" s="37" t="str"/>
    </x:row>
    <x:row r="236" ht="20" customHeight="1">
      <x:c r="A236" s="33" t="n">
        <x:v>1293</x:v>
      </x:c>
      <x:c r="B236" s="34" t="str">
        <x:v>1</x:v>
      </x:c>
      <x:c r="C236" s="34" t="str">
        <x:v>Finans</x:v>
      </x:c>
      <x:c r="D236" s="34" t="str">
        <x:v>Finans</x:v>
      </x:c>
      <x:c r="E236" s="34" t="str">
        <x:v>Zengin Baba Fakir Baba</x:v>
      </x:c>
      <x:c r="F236" s="34" t="str">
        <x:v>Robert Kiyosaki</x:v>
      </x:c>
      <x:c r="G236" s="34" t="str">
        <x:v>1997</x:v>
      </x:c>
      <x:c r="H236" s="37" t="str">
        <x:v>Vergi sistemi ve şirket stratejisi</x:v>
      </x:c>
      <x:c r="I236" s="37" t="str">
        <x:v>Kiyosaki, çalışanların vergiyi kazanmadan önce öderken şirket sahiplerinin kazandıktan ve harcadıktan sonra ödediğini ve bu farkın servet inşasını nasıl etkilediğini anlatıyor.</x:v>
      </x:c>
      <x:c r="J236" s="37" t="str">
        <x:v>Robert Kiyosaki iki farklı gelir akışını karşılaştırıyor.
Çalışan: Para kazanıyor → Vergi ödüyor → Kalan parayı harcıyor.
Şirket sahibi: Para kazanıyor → Harcıyor (iş giderleri) → Kalan parayı vergilendiriyor.
##Kiyosaki'nin tespiti: Çalışanlar çalışmadan önce vergi öder, şirket sahipleri çalışıp kazandıktan sonra öder. Bu iki yaklaşım arasındaki servet farkı on yıllar içinde devasa oluyor.##
Bu bir vergi kaçakçılığı değil. Tamamen yasal bir sistem farkı.
Kiyosaki şunu söylüyor: Zenginler mali okuryazarlığa yatırım yapıyor. Nasıl yatırım yapılır, hangi yapılar vergi avantajı sağlar, hangi varlıklar pasif gelir üretir. Bu bilgiye sahip olan ile olmayan arasındaki uçurum, aynı maaşla farklı hayatlar yaratıyor.
Okullarda matematik öğretilir. Ama para matematiği çoğu zaman öğretilmez.
Kiyosaki'nin en büyük şikayeti: İnsanlar evde, arabada, eğitimde yüksek harcamalar yapıyor ama finansal okuryazarlık için hiç yatırım yapmıyor.
$$Finansal okuryazarlık bir lüks değil — ekonomik özgürlüğün temel aracıdır.$$
&amp;&amp;Vergi, yatırım ve para yönetimi hakkında ne kadar okumuş ya da öğrenmişsin? Bu konuda ne kadar hazır hissediyorsun?&amp;&amp;</x:v>
      </x:c>
      <x:c r="K236" s="37" t="str"/>
      <x:c r="L236" s="37" t="str"/>
      <x:c r="M236" s="37" t="str"/>
      <x:c r="N236" s="37" t="str"/>
      <x:c r="O236" s="37" t="str"/>
    </x:row>
    <x:row r="237" ht="20" customHeight="1">
      <x:c r="A237" s="33" t="n">
        <x:v>1294</x:v>
      </x:c>
      <x:c r="B237" s="34" t="str">
        <x:v>1</x:v>
      </x:c>
      <x:c r="C237" s="34" t="str">
        <x:v>Verimlilik</x:v>
      </x:c>
      <x:c r="D237" s="34" t="str">
        <x:v>Verimlilik</x:v>
      </x:c>
      <x:c r="E237" s="34" t="str">
        <x:v>The 4-Hour Workweek</x:v>
      </x:c>
      <x:c r="F237" s="34" t="str">
        <x:v>Tim Ferriss</x:v>
      </x:c>
      <x:c r="G237" s="34" t="str">
        <x:v>2007</x:v>
      </x:c>
      <x:c r="H237" s="37" t="str">
        <x:v>Muse ve ürün testi deneyi</x:v>
      </x:c>
      <x:c r="I237" s="37" t="str">
        <x:v>Ferriss, bir iş fikrinin işe yarayıp yaramayacağını anlamak için binlerce dolar harcamadan önce Google Ads ile 48 saatte test etmenin mümkün olduğunu gösteriyor.</x:v>
      </x:c>
      <x:c r="J237" s="37" t="str">
        <x:v>Tim Ferriss bir fitness takviyesi şirketi kurmak istiyordu.
Geleneksel yaklaşım: İş planı yaz. Yatırım bul. Ürün geliştir. Stok yap. Mağaza kur. Piyasaya çık. Ve ancak o zaman öğren.
Ferriss farklı düşündü.
Önce bir ürün sayfası oluşturdu. Gerçek değil, taslak. "BrainQUICKEN" yazdı. Fiyat belirledi. "Satın Al" butonu ekledi.
Sonra 200 dolar Google reklamı aldı.
##48 saat içinde bir bilgi geldi: Kaç kişi reklama tıkladı, kaçı "satın al"a bastı.##
Kimse ürünü satın alamadı — henüz yoktu. Ama veri gerçekti.
Ve veri yeterliydi: Bu fikir işe yarıyor mu?
Ferriss buna "validasyon" diyor. Gerçek parayı, gerçek zamanı harcamadan önce varsayımı test etmek.
Bu yaklaşım şimdi startup dünyasında standart. Ama 2007'de Ferriss bunu kitabına yazarken çoğu girişimci hâlâ yıllarca ürün geliştirip sonra piyasaya çıkıyordu.
$$Binlerce dolar ve ay harcamadan önce 200 dolarla öğrenebileceğin çok şey var.$$
&amp;&amp;Bir fikrin var ama test etmedin mi? O fikri bu hafta 200 dolarlık bir testle nasıl sınayabilirsin?&amp;&amp;</x:v>
      </x:c>
      <x:c r="K237" s="37" t="str"/>
      <x:c r="L237" s="37" t="str"/>
      <x:c r="M237" s="37" t="str"/>
      <x:c r="N237" s="37" t="str"/>
      <x:c r="O237" s="37" t="str"/>
    </x:row>
    <x:row r="238" ht="20" customHeight="1">
      <x:c r="A238" s="33" t="n">
        <x:v>1295</x:v>
      </x:c>
      <x:c r="B238" s="34" t="str">
        <x:v>1</x:v>
      </x:c>
      <x:c r="C238" s="34" t="str">
        <x:v>Verimlilik</x:v>
      </x:c>
      <x:c r="D238" s="34" t="str">
        <x:v>Verimlilik</x:v>
      </x:c>
      <x:c r="E238" s="34" t="str">
        <x:v>The 4-Hour Workweek</x:v>
      </x:c>
      <x:c r="F238" s="34" t="str">
        <x:v>Tim Ferriss</x:v>
      </x:c>
      <x:c r="G238" s="34" t="str">
        <x:v>2007</x:v>
      </x:c>
      <x:c r="H238" s="37" t="str">
        <x:v>Korkular listesi ve felsefeyi tersine çevirmek</x:v>
      </x:c>
      <x:c r="I238" s="37" t="str">
        <x:v>Ferriss, karar vermede 'en kötü ne olabilir?' sorusu yerine 'yapmazsam en kötü ne olur?' sorusunu sormak gerektiğini ve korkuların gerçekte ne kadar küçük olduğunu gösteriyor.</x:v>
      </x:c>
      <x:c r="J238" s="37" t="str">
        <x:v>Tim Ferriss karar vermeden önce bir egzersiz yapıyor.
"Korkular listesi" diyor buna.
Yapmak istediğin ama yapmaktan korktuğun şeyi yaz. Sonra şu soruları sor:
Birincisi: "En kötü ne olabilir?" Gerçekçi olarak düşün. Olabilecek en kötü sonuçları yaz.
İkincisi: "Bu sonuçları tersine çevirebilir miyim?" Çoğu zaman cevap: Evet.
##Üçüncüsü — ve en güçlü soru: "Bunu yapmazsam, 5 yıl sonra hayatım nasıl olur?"##
Çoğumuz "yaparsam ne olur"un risklerini düşünüp korkuyoruz. Ama "yapmazsam ne olur"un risklerini hiç hesaplamıyoruz.
Ferriss şunu keşfetti: Hareketsizliğin maliyeti genellikle harekete geçmenin maliyetinden çok daha yüksek. Ama bunu hesaplamıyoruz.
Çünkü hareketsizlik "güvenli" hissettiriyor. Oysa uzun vadeli en büyük risk genellikle hareketsizlik.
"En kötü ihtimalle ne kaybederim?" sorusu insanı felç ediyor. Ama "yaşamazsam ne kaybederim?" sorusu harekete geçiriyor.
$$Riski hesaplarken yalnızca yaparsan ne kaybedersin değil — yapmazsan ne kaybedersin sorusunu sor.$$
&amp;&amp;5 yıl sonra hâlâ yapmamış olmaktan en çok pişman olacağın şey ne?&amp;&amp;</x:v>
      </x:c>
      <x:c r="K238" s="37" t="str"/>
      <x:c r="L238" s="37" t="str"/>
      <x:c r="M238" s="37" t="str"/>
      <x:c r="N238" s="37" t="str"/>
      <x:c r="O238" s="37" t="str"/>
    </x:row>
    <x:row r="239" ht="20" customHeight="1">
      <x:c r="A239" s="33" t="n">
        <x:v>1296</x:v>
      </x:c>
      <x:c r="B239" s="34" t="str">
        <x:v>1</x:v>
      </x:c>
      <x:c r="C239" s="34" t="str">
        <x:v>Verimlilik</x:v>
      </x:c>
      <x:c r="D239" s="34" t="str">
        <x:v>Verimlilik</x:v>
      </x:c>
      <x:c r="E239" s="34" t="str">
        <x:v>The 4-Hour Workweek</x:v>
      </x:c>
      <x:c r="F239" s="34" t="str">
        <x:v>Tim Ferriss</x:v>
      </x:c>
      <x:c r="G239" s="34" t="str">
        <x:v>2007</x:v>
      </x:c>
      <x:c r="H239" s="37" t="str">
        <x:v>Dışarıdan çalışma ve konum bağımsızlığı</x:v>
      </x:c>
      <x:c r="I239" s="37" t="str">
        <x:v>Ferriss, bir çalışanın patronuna yerden bağımsız çalışmayı kabul ettirmek için geliştirdiği stratejiyi anlatıyor ve lokasyon özgürlüğünün nasıl müzakere edilebileceğini gösteriyor.</x:v>
      </x:c>
      <x:c r="J239" s="37" t="str">
        <x:v>Tim Ferriss gerçek bir danışanının hikayesini anlatıyor.
Adam iyi bir şirkette çalışıyordu. Maaşı güzeldi. Ama hayal ettiği hayat değildi.
Avrupa'da çalışmak istiyordu. Ama patronuna "uzaktan çalışmak istiyorum" demekten korkuyordu.
Ferriss ona bir strateji öğretti.
Önce değerini kanıtla. Birkaç ay sonuçlarını artır. Patronunun bağımlısı olmasını sağla.
Sonra hastalanmış gibi yap. Evden çalış iki gün. Verimliliğinin arttığını belgele.
Sonra dene: "Perşembe ve Cuma günleri uzaktan çalışabilir miyim?" Küçük bir istek.
Bir ay bu şekilde devam et. Performansın ölçülsün.
##Sonra teklif et: "İki ay boyunca Avrupa'dan çalışabilirim. Eğer performansım düşerse geri dönerim."##
Adam denedi. İki ay Portekiz'den çalıştı. Patronu kabul etti — çünkü performans hiç düşmemişti. Ve sonunda kalıcı hale getirdi.
Ferriss şunu söylüyor: Pek çok özgürlük müzakere edilebilir. Ama bunu doğrudan istemek yerine, değerini kanıtlayarak istemek çok daha güçlü.
$$Pek çok kısıtlama gerçek değil — sadece hiç sorulmamış sınırlar.$$
&amp;&amp;İş ya da kişisel hayatında var olduğunu düşündüğün ama aslında hiç test etmediğin bir kısıtlama nedir?&amp;&amp;</x:v>
      </x:c>
      <x:c r="K239" s="37" t="str"/>
      <x:c r="L239" s="37" t="str"/>
      <x:c r="M239" s="37" t="str"/>
      <x:c r="N239" s="37" t="str"/>
      <x:c r="O239" s="37" t="str"/>
    </x:row>
    <x:row r="240" ht="20" customHeight="1">
      <x:c r="A240" s="33" t="n">
        <x:v>1297</x:v>
      </x:c>
      <x:c r="B240" s="34" t="str">
        <x:v>1</x:v>
      </x:c>
      <x:c r="C240" s="34" t="str">
        <x:v>Verimlilik</x:v>
      </x:c>
      <x:c r="D240" s="34" t="str">
        <x:v>Verimlilik</x:v>
      </x:c>
      <x:c r="E240" s="34" t="str">
        <x:v>Minimalizm</x:v>
      </x:c>
      <x:c r="F240" s="34" t="str">
        <x:v>Greg McKeown</x:v>
      </x:c>
      <x:c r="G240" s="34" t="str">
        <x:v>2014</x:v>
      </x:c>
      <x:c r="H240" s="37" t="str">
        <x:v>Tek gemi filosunun zafer sırrı</x:v>
      </x:c>
      <x:c r="I240" s="37" t="str">
        <x:v>McKeown, tarihte tek bir gemi filosunun daha büyük armadaları nasıl yendiğini anlatarak odaklanmanın tüm güçleri tek noktada topladığında nasıl yenilmez olduğunu gösteriyor.</x:v>
      </x:c>
      <x:c r="J240" s="37" t="str">
        <x:v>Greg McKeown tarihten çarpıcı bir strateji anlatıyor.
Bir deniz savaşında iki taraf karşı karşıya. Birinin onlarca gemisi var, diğerinin beş.
Beş gemili taraf ne yapıyor? Onlarca gemiyi birer birer, hepsine dağılarak mı saldırıyor?
Hayır. Beş gemiyi tek bir hedef üzerine yoğunlaştırıyor. Tam güç, tam odak, tek nokta.
##Ve kazanıyor.##
McKeown bu metaforu modern hayata taşıyor. Çoğumuz onlarca gemiyle savaşıyoruz — her biri ayrı bir yöne.
Pek çok proje. Pek çok sorumluluk. Pek çok "evet" denilmiş istek. Her şeye biraz güç, hiçbir şeye tam güç.
"Essentialism" tam da bu soruyu soruyor: Eğer tüm gücünü tek bir hedefe yönlendirsen ne olur?
McKeown bu kitabı yazarken şirketlerin yüksek performanslı çalışanlarını gözlemledi. Ve ilginç bir paradoks buldu: En başarılı çalışanlar en fazla "evet" diyenler değildi. En seçici "hayır" diyenlerdi.
Çünkü her "evet" enerjiden bir miktar alıyor. En kritik şeye kalan enerji azalıyor.
$$Az ama derin, çok ama sığdan her zaman kazanır.$$
&amp;&amp;Şu an enerjini dağıtan kaç farklı projen veya sorumluluğun var? Bunlardan birini bıraksan, geride kalanlar nasıl etkilenir?&amp;&amp;</x:v>
      </x:c>
      <x:c r="K240" s="37" t="str"/>
      <x:c r="L240" s="37" t="str"/>
      <x:c r="M240" s="37" t="str"/>
      <x:c r="N240" s="37" t="str"/>
      <x:c r="O240" s="37" t="str"/>
    </x:row>
    <x:row r="241" ht="20" customHeight="1">
      <x:c r="A241" s="33" t="n">
        <x:v>1298</x:v>
      </x:c>
      <x:c r="B241" s="34" t="str">
        <x:v>1</x:v>
      </x:c>
      <x:c r="C241" s="34" t="str">
        <x:v>Verimlilik</x:v>
      </x:c>
      <x:c r="D241" s="34" t="str">
        <x:v>Verimlilik</x:v>
      </x:c>
      <x:c r="E241" s="34" t="str">
        <x:v>Minimalizm</x:v>
      </x:c>
      <x:c r="F241" s="34" t="str">
        <x:v>Greg McKeown</x:v>
      </x:c>
      <x:c r="G241" s="34" t="str">
        <x:v>2014</x:v>
      </x:c>
      <x:c r="H241" s="37" t="str">
        <x:v>Fırsatın maliyeti</x:v>
      </x:c>
      <x:c r="I241" s="37" t="str">
        <x:v>McKeown, her 'evet'in aynı zamanda binlerce 'hayır' anlamına geldiğini ve bu gerçeği görmemenin insanları nasıl meşgul ama etkisiz kıldığını anlatıyor.</x:v>
      </x:c>
      <x:c r="J241" s="37" t="str">
        <x:v>Greg McKeown şöyle bir soru soruyor: "İyi bir fırsatı reddetmek ne zaman doğru?"
Çoğumuzun cevabı: "Neredeyse hiç."
McKeown karşı çıkıyor.
Ekonomistler "fırsat maliyeti" denen bir kavramdan söz ediyor. Bir şeyi seçmek, başka bir şeyi seçmemektir. Her "evet" aynı zamanda bir "hayır"dır.
##McKeown bunu daha keskin söylüyor: "İyi fırsatları 'evet' demek, mükemmel fırsatları kaçırmaktır."##
Bir örnek: Bir konuşma daveti geliyor. İyi bir davet, iyi bir ücret, iyi bir kalabalık. Kabul etmek cazip.
Ama o gün, o kitabın en kritik bölümünü yazıyor olabilirdin. Ya da ailen için özel bir güne denk gelebilir.
"İyi"yi kabul etmek, "mükemmel"e hayır demektir.
McKeown bir test öneriyor: Bu fırsatla karşılaştığında ilk tepkin "evet, kesinlikle!" değilse, cevap "hayır" olmalı.
Çünkü gerçekten mükemmel fırsatlar nettir. Belirsizlik, "iyi ama mükemmel değil" sinyalidir.
$$Her şeye "evet" demek, en önemli şeye "hayır" demektir.$$
&amp;&amp;Son bir ayda "evet" deyip sonradan pişman olduğun ya da enerjini boşa harcadığını fark ettiğin bir şey var mı?&amp;&amp;</x:v>
      </x:c>
      <x:c r="K241" s="37" t="str"/>
      <x:c r="L241" s="37" t="str"/>
      <x:c r="M241" s="37" t="str"/>
      <x:c r="N241" s="37" t="str"/>
      <x:c r="O241" s="37" t="str"/>
    </x:row>
    <x:row r="242" ht="20" customHeight="1">
      <x:c r="A242" s="33" t="n">
        <x:v>1299</x:v>
      </x:c>
      <x:c r="B242" s="34" t="str">
        <x:v>1</x:v>
      </x:c>
      <x:c r="C242" s="34" t="str">
        <x:v>Verimlilik</x:v>
      </x:c>
      <x:c r="D242" s="34" t="str">
        <x:v>Verimlilik</x:v>
      </x:c>
      <x:c r="E242" s="34" t="str">
        <x:v>Minimalizm</x:v>
      </x:c>
      <x:c r="F242" s="34" t="str">
        <x:v>Greg McKeown</x:v>
      </x:c>
      <x:c r="G242" s="34" t="str">
        <x:v>2014</x:v>
      </x:c>
      <x:c r="H242" s="37" t="str">
        <x:v>Dinlenmenin üretkenlik paradoksu</x:v>
      </x:c>
      <x:c r="I242" s="37" t="str">
        <x:v>McKeown, en üretken insanların en çok çalışanlar değil en iyi dinlenenler olduğunu araştırmalarla göstererek uyku ve boş zamanın essentializm felsefesinin ayrılmaz parçası olduğunu anlatıyor.</x:v>
      </x:c>
      <x:c r="J242" s="37" t="str">
        <x:v>Greg McKeown bir araştırmayı aktarıyor.
Anders Ericsson'ın 10.000 saat araştırması ünlü. Ama çoğu insan detayını atlıyor.
En iyi müzisyenler günde kaç saat çalışıyordu?
Beklenti: 12-14 saat.
Gerçek: Günde 4-5 saat. Ama yoğun, odaklı çalışma. Geri kalan zamanı uyku ve dinlenerek geçiriyorlardı.
##Ve bu elite grubun en belirgin özelliklerinden biri: En fazla uyuyanlardı.##
McKeown bunu Essentialism felsefesinin pratik uzantısı olarak sunuyor. En az yapıp en fazla etki yaratmak istiyorsan, dinlenme vazgeçilmez.
Yorgun bir zihin seçici olamaz. Seçici olamayan zihin her şeye evet der. Her şeye evet diyen insan tükenip hiçbir şeyde derinleşemez.
Bu bir kısır döngü.
Döngüyü kırmak için McKeown'ın önerisi: Uyku ve dinlenmeyi lüks değil, temel bir stratejik araç olarak gör. Sekiz saat uyku, dört saatlik yoğun çalışmayı mümkün kılar. Altı saat uyku ise sekiz saatlik sığ çalışma üretiyor.
$$Az ama derin çalışmak, çok ama sığ çalışmaktan her zaman daha fazla üretir.$$
&amp;&amp;Bu hafta kaç saat uyudun? Ve o uyku miktarının verimliliğini nasıl etkilediğini fark ettin mi?&amp;&amp;</x:v>
      </x:c>
      <x:c r="K242" s="37" t="str"/>
      <x:c r="L242" s="37" t="str"/>
      <x:c r="M242" s="37" t="str"/>
      <x:c r="N242" s="37" t="str"/>
      <x:c r="O242" s="37" t="str"/>
    </x:row>
    <x:row r="243" ht="20" customHeight="1">
      <x:c r="A243" s="33" t="n">
        <x:v>1300</x:v>
      </x:c>
      <x:c r="B243" s="34" t="str">
        <x:v>1</x:v>
      </x:c>
      <x:c r="C243" s="34" t="str">
        <x:v>Felsefe</x:v>
      </x:c>
      <x:c r="D243" s="34" t="str">
        <x:v>Düşünme</x:v>
      </x:c>
      <x:c r="E243" s="34" t="str">
        <x:v>Akıl Yürütme</x:v>
      </x:c>
      <x:c r="F243" s="34" t="str">
        <x:v>Hans Rosling</x:v>
      </x:c>
      <x:c r="G243" s="34" t="str">
        <x:v>2018</x:v>
      </x:c>
      <x:c r="H243" s="37" t="str">
        <x:v>Şempanze testi ve insan yanılgısı</x:v>
      </x:c>
      <x:c r="I243" s="37" t="str">
        <x:v>Rosling, dünya hakkında basit sorulara şempanzelerin insanlardan daha doğru cevap verdiğini göstererek önyargılı düşüncenin boyutunu ortaya koyuyor.</x:v>
      </x:c>
      <x:c r="J243" s="37" t="str">
        <x:v>Hans Rosling bir deney yaptı.
Dünya liderleri, gazeteciler, akademisyenler dahil binlerce insana basit sorular sordu.
"Dünyada aşı alan çocukların oranı nedir?"
"Son 20 yılda aşırı yoksulluk arttı mı, azaldı mı?"
"Dünyada ortalama yaşam beklentisi kaçtır?"
Sonuçlar çarpıcıydı. Katılımcıların büyük çoğunluğu yanlış cevapladı. Ve yanlışları rastgele değildi — sistematik olarak kötümser yöndeydi.
##Rosling hesapladı: Eğer şempanzeler üç seçenekli soruları rastgele işaretleseydi, insanlardan daha doğru tahmin ederdi.##
Bu bir zeka meselesi değildi. Eğitim seviyesiyle de ilgisi yoktu. Daha çok okumuş, daha çok haber takip eden insanlar bile aynı yanılgıya düşüyordu.
Rosling buna "aşırı dramatik içgüdü" diyor. İnsan beyni dramayı sever. Haberler dramatik olanı seçer. Beyin dramatik olanı hatırlar. Ve zamanla, kötü şeyler gerçekten olandan çok daha fazla yer kaplar.
Sonuç: Dünya gerçekte ilerliyordu. Aşı oranları artmıştı. Yoksulluk düşmüştü. Yaşam beklentisi yükselmişti. Ama kimse bunu bilmiyordu.
$$Kötü haberler yüksek sesle konuşur, iyi gelişmeler sessizce birikir.$$
&amp;&amp;Son beş yılda dünyada gerçekleşen olumlu bir gelişme sayabilir misin? Neden bu kadar az örnek aklına geliyor?&amp;&amp;</x:v>
      </x:c>
      <x:c r="K243" s="37" t="str"/>
      <x:c r="L243" s="37" t="str"/>
      <x:c r="M243" s="37" t="str"/>
      <x:c r="N243" s="37" t="str"/>
      <x:c r="O243" s="37" t="str"/>
    </x:row>
    <x:row r="244" ht="20" customHeight="1">
      <x:c r="A244" s="33" t="n">
        <x:v>1301</x:v>
      </x:c>
      <x:c r="B244" s="34" t="str">
        <x:v>1</x:v>
      </x:c>
      <x:c r="C244" s="34" t="str">
        <x:v>Felsefe</x:v>
      </x:c>
      <x:c r="D244" s="34" t="str">
        <x:v>Düşünme</x:v>
      </x:c>
      <x:c r="E244" s="34" t="str">
        <x:v>Akıl Yürütme</x:v>
      </x:c>
      <x:c r="F244" s="34" t="str">
        <x:v>Hans Rosling</x:v>
      </x:c>
      <x:c r="G244" s="34" t="str">
        <x:v>2018</x:v>
      </x:c>
      <x:c r="H244" s="37" t="str">
        <x:v>Dünya dört gelir düzeyinde</x:v>
      </x:c>
      <x:c r="I244" s="37" t="str">
        <x:v>Rosling, dünyayı 'gelişmiş' ve 'gelişmekte olan' diye ikiye bölmenin yanlış olduğunu ve gerçekte dört farklı gelir düzeyi olduğunu gösteriyor.</x:v>
      </x:c>
      <x:c r="J244" s="37" t="str">
        <x:v>Hans Rosling bir soru soruyor: "Dünya ikiye mi bölünmüş — zengin Batı ve yoksul geri kalanlar mı?"
Bu fikir çok yaygın. Ama yanlış.
Rosling dünyanın nüfusunu dört gelir düzeyine ayırıyor.
Düzey 1: Günde 2 dolardan az. 1 milyar insan.
Düzey 2: Günde 2-8 dolar. 3 milyar insan.
Düzey 3: Günde 8-32 dolar. 2 milyar insan.
Düzey 4: Günde 32 dolardan fazla. 1 milyar insan.
##"Gelişmekte olan dünya" dediğimizde 6 milyar insanı tek bir yere koyuyoruz. Oysa aralarındaki fark devasa."##
Düzey 2'deki bir anne ile Düzey 1'deki bir anne arasındaki fark, Düzey 4 ile Düzey 2 arasındaki farktan daha büyük.
Bu niçin önemli?
Çünkü yanılgı, iş kararlarını, politika seçimlerini ve yardım stratejilerini yanlış yönlendiriyor.
"Yoksul dünyaya satış yapamayız" diyen şirket, 3 milyarlık bir pazarı görmezden geliyor.
Rosling şunu söylüyor: Dünyayı anlamak için daha iyi çerçeveler lazım. Ve o çerçeveleri oluşturmak için önce yanlış olanları fark etmek gerek.
$$Basitleştirme anlamayı kolaylaştırır — ama bazen asıl gerçeği gizler.$$
&amp;&amp;Hayatında ya da işinde "iki kutuplu" gördüğün ama aslında çok daha nüanslı olan bir durum var mı?&amp;&amp;</x:v>
      </x:c>
      <x:c r="K244" s="37" t="str"/>
      <x:c r="L244" s="37" t="str"/>
      <x:c r="M244" s="37" t="str"/>
      <x:c r="N244" s="37" t="str"/>
      <x:c r="O244" s="37" t="str"/>
    </x:row>
    <x:row r="245" ht="20" customHeight="1">
      <x:c r="A245" s="33" t="n">
        <x:v>1302</x:v>
      </x:c>
      <x:c r="B245" s="34" t="str">
        <x:v>1</x:v>
      </x:c>
      <x:c r="C245" s="34" t="str">
        <x:v>Felsefe</x:v>
      </x:c>
      <x:c r="D245" s="34" t="str">
        <x:v>Düşünme</x:v>
      </x:c>
      <x:c r="E245" s="34" t="str">
        <x:v>Akıl Yürütme</x:v>
      </x:c>
      <x:c r="F245" s="34" t="str">
        <x:v>Hans Rosling</x:v>
      </x:c>
      <x:c r="G245" s="34" t="str">
        <x:v>2018</x:v>
      </x:c>
      <x:c r="H245" s="37" t="str">
        <x:v>Korkuyla değil veriyle düşünmek</x:v>
      </x:c>
      <x:c r="I245" s="37" t="str">
        <x:v>Rosling, dört tehlikeli içgüdünün — boşluk, olumsuzluk, düz çizgi ve korku — dünya hakkındaki yanlış algımızın temelini oluşturduğunu anlatıyor.</x:v>
      </x:c>
      <x:c r="J245" s="37" t="str">
        <x:v>Hans Rosling insan beyninin dört "tehlikeli içgüdüsünü" tanımlıyor.
Birincisi boşluk içgüdüsü: Dünyayı iki gruba ayırma eğilimi. Biz ve onlar. Zengin ve yoksul. Batı ve geri kalan.
İkincisi olumsuzluk içgüdüsü: Kötü haberler iyilerden daha fazla yer kaplıyor çünkü beyin tehdide odaklanmak üzere evrilmiş.
Üçüncüsü düz çizgi içgüdüsü: Bir trendin sonsuza dek devam edeceğini varsaymak. "Nüfus artıyor, artmaya devam edecek." Oysa araştırmalar nüfusun dengeleneceğini gösteriyor.
##Dördüncüsü ve en tehlikeli olanı: korku içgüdüsü. Korku dikkat çeker. Ama korku, risk değerlendirmesini mahveder.##
Uçak kazaları nadir ama korku uyandırıyor — araba kazaları çok daha sık ama korku uyandırmıyor.
Rosling'in çözümü: Her önemli karar öncesinde şunu sor. "Bu bir his mi, yoksa veri mi?" "Bu içgüdü mü, yoksa gerçek mi?"
Korku düşünmeyi hızlandırır ama kalitesini düşürür. Veri düşünmeyi yavaşlatır ama kalitesini artırır.
$$Korku iyi bir alarm sistemidir, ama kötü bir danışmandır.$$
&amp;&amp;Son önemli kararını alırken seni etkileyen korku muydu, yoksa gerçek veri mi? Farkı nasıl anlarsın?&amp;&amp;</x:v>
      </x:c>
      <x:c r="K245" s="37" t="str"/>
      <x:c r="L245" s="37" t="str"/>
      <x:c r="M245" s="37" t="str"/>
      <x:c r="N245" s="37" t="str"/>
      <x:c r="O245" s="37" t="str"/>
    </x:row>
    <x:row r="246" ht="20" customHeight="1">
      <x:c r="A246" s="33" t="n">
        <x:v>1303</x:v>
      </x:c>
      <x:c r="B246" s="34" t="str">
        <x:v>1</x:v>
      </x:c>
      <x:c r="C246" s="34" t="str">
        <x:v>Felsefe</x:v>
      </x:c>
      <x:c r="D246" s="34" t="str">
        <x:v>Düşünme</x:v>
      </x:c>
      <x:c r="E246" s="34" t="str">
        <x:v>Siyah Kuğu</x:v>
      </x:c>
      <x:c r="F246" s="34" t="str">
        <x:v>Nassim Taleb</x:v>
      </x:c>
      <x:c r="G246" s="34" t="str">
        <x:v>2007</x:v>
      </x:c>
      <x:c r="H246" s="37" t="str">
        <x:v>Hindinin yanlış öğrenimi</x:v>
      </x:c>
      <x:c r="I246" s="37" t="str">
        <x:v>Taleb, her gün beslenen bir hindinin son gün kesilmesiyle geçmiş verinin geleceği garanti etmediğini ve her şeyin her an değişebileceğini gösteriyor.</x:v>
      </x:c>
      <x:c r="J246" s="37" t="str">
        <x:v>Bir hindi var. Çiftlikte büyüyor.
Her gün sabah çiftçi geliyor ve hindi besleniyor. Pazartesi geliyor, besleniyor. Salı, çarşamba, perşembe... Her gün aynı.
Hindi veri topluyor. "Bu çiftçi benim dostum. Her gün geliyor, beni besliyor. Güvenilir. Öngörülebilir."
Hatta belki hindinin bir "ekonomisti" olsaydı ve grafik çizseydi, geçmiş 1000 günün verisi mükemmel bir düz çizgi gösterirdi.
##Sonra Şükran Günü gelir.##
Nassim Taleb bu hikayeyi şöyle yorumluyor: Geçmiş veri, geleceği garanti etmez. Özellikle en önemli anlarda.
Borsalar yüzyıllarca büyüdü — sonra 1929. Gayrimenkul hiç düşmeyecekti — sonra 2008.
Ve dahası: Siyah kuğular sadece felakette değil, olumlu tarafta da var. Amazon, iPhone, internet — bunları tahmin eden neredeyse yoktu.
Taleb şunu soruyor: "Bilinmeyeni bilmiyoruz." Ama bunu kabul etmeden hareket ediyoruz.
$$Geçmişin düzeni geleceğin güvencesi değildir — en büyük sürprizler her zaman köşede bekler.$$
&amp;&amp;Hayatında ya da işinde "bu hep böyle işledi" diye varsaydığın ama aslında değişebilecek bir şey var mı?&amp;&amp;</x:v>
      </x:c>
      <x:c r="K246" s="37" t="str"/>
      <x:c r="L246" s="37" t="str"/>
      <x:c r="M246" s="37" t="str"/>
      <x:c r="N246" s="37" t="str"/>
      <x:c r="O246" s="37" t="str"/>
    </x:row>
    <x:row r="247" ht="20" customHeight="1">
      <x:c r="A247" s="33" t="n">
        <x:v>1304</x:v>
      </x:c>
      <x:c r="B247" s="34" t="str">
        <x:v>1</x:v>
      </x:c>
      <x:c r="C247" s="34" t="str">
        <x:v>Felsefe</x:v>
      </x:c>
      <x:c r="D247" s="34" t="str">
        <x:v>Düşünme</x:v>
      </x:c>
      <x:c r="E247" s="34" t="str">
        <x:v>Siyah Kuğu</x:v>
      </x:c>
      <x:c r="F247" s="34" t="str">
        <x:v>Nassim Taleb</x:v>
      </x:c>
      <x:c r="G247" s="34" t="str">
        <x:v>2007</x:v>
      </x:c>
      <x:c r="H247" s="37" t="str">
        <x:v>Uzman tahmini yanılgısı</x:v>
      </x:c>
      <x:c r="I247" s="37" t="str">
        <x:v>Taleb, ekonomistlerin ve uzmanların tahminlerinin uzun vadede rastgele tahminden daha doğru olmadığını gösteren araştırmaları aktarıyor.</x:v>
      </x:c>
      <x:c r="J247" s="37" t="str">
        <x:v>Nassim Taleb bir araştırma sonucunu paylaşıyor.
Ekonomistler ve finans uzmanları onlarca yıl boyunca gelecek yıl için tahminler yaptı. Bu tahminler toplandı, gerçek sonuçlarla karşılaştırıldı.
Sonuç: Uzman tahminlerinin isabeti, rastgele tahminden anlamlı biçimde farklı değildi.
##Yani çoğu zaman bir dart tahtasına rastgele atmak, MBA'lı bir analistin "uzman tahmininden" daha az yanlış değildi.##
Taleb bu sonucu sektörün büyük kısmına yayıyor. Hava tahminleri kısa vadede iyi çalışıyor — ama 10 günün ötesi dramatik biçimde bozuluyor. Ekonomi tahminleri birkaç ay için bile güvenilir değil.
Ama tahminler yapmaya devam ediyoruz. Ve uzmanları dinliyoruz. Çünkü insan belirsizliğe tahammül edemiyor. Bir tahmin, yanlış bile olsa, "biliyoruz" hissini veriyor.
Taleb'in önerisi: Tahminlere daha az, sağlamlığa daha çok yatırım yap. Ne olacağını bilmek yerine, ne olursa olsun ayakta kalacak şekilde tasarla.
$$Kesin tahmin yapmak değil, her koşula hazırlıklı olmak asıl beceridir.$$
&amp;&amp;Gelecek hakkında "kesin" bildiğini sandığın ama aslında tahmin olan şeyler neler?&amp;&amp;</x:v>
      </x:c>
      <x:c r="K247" s="37" t="str"/>
      <x:c r="L247" s="37" t="str"/>
      <x:c r="M247" s="37" t="str"/>
      <x:c r="N247" s="37" t="str"/>
      <x:c r="O247" s="37" t="str"/>
    </x:row>
    <x:row r="248" ht="20" customHeight="1">
      <x:c r="A248" s="33" t="n">
        <x:v>1305</x:v>
      </x:c>
      <x:c r="B248" s="34" t="str">
        <x:v>1</x:v>
      </x:c>
      <x:c r="C248" s="34" t="str">
        <x:v>Felsefe</x:v>
      </x:c>
      <x:c r="D248" s="34" t="str">
        <x:v>Düşünme</x:v>
      </x:c>
      <x:c r="E248" s="34" t="str">
        <x:v>Siyah Kuğu</x:v>
      </x:c>
      <x:c r="F248" s="34" t="str">
        <x:v>Nassim Taleb</x:v>
      </x:c>
      <x:c r="G248" s="34" t="str">
        <x:v>2007</x:v>
      </x:c>
      <x:c r="H248" s="37" t="str">
        <x:v>Kırılganlık ve siyah kuğuya hazırlık</x:v>
      </x:c>
      <x:c r="I248" s="37" t="str">
        <x:v>Taleb, kırılgan sistemlerin siyah kuğulara karşı savunmasız olduğunu ve bunun yerine belirsizlikten güçlenen sistemler kurmanın mümkün olduğunu anlatıyor.</x:v>
      </x:c>
      <x:c r="J248" s="37" t="str">
        <x:v>Nassim Taleb şöyle bir çerçeve kuruyor.
Bazı şeyler kırılgan: Sarsıldığında kırılıyorlar. Cam gibi. Küçük bir şok, büyük bir hasar yaratıyor.
Bazı şeyler sağlam: Şoklara direniyorlar. Ama iyileşmiyorlar, sadece dayanıyorlar.
##Ama bazı şeyler tam tersi: Sarsıldıkça güçleniyorlar. Taleb buna "antikırılgan" diyor — ve bu kavram Siyah Kuğu'nun doğal uzantısı.##
Siyah kuğular her zaman gelecek. Önlenemez. Tahmin edilemez. Ama onlara karşı kırılgan mı olacaksın, yoksa antikırılgan mı?
Kırılgan örüntü: Çok yüksek kaldıraç, tek bir gelir kaynağına bağımlılık, sıfır hata toleransı.
Antikırılgan örüntü: Küçük hatalardan öğrenme, çeşitlendirilmiş kaynaklar, stres altında büyüme.
Taleb'in en güçlü tavsiyesi: Küçük kayıpları yönet — büyük kayıplardan kaçın. Küçük şoklara maruz kalmak, büyük şoklar için bağışıklık oluşturuyor.
$$Siyah kuğu gelecek — soru ne zaman değil, onu nasıl karşılayacağın.$$
&amp;&amp;Hayatının hangi alanı en kırılgan? Bir siyah kuğu geldiğinde o alanda ne olur?&amp;&amp;</x:v>
      </x:c>
      <x:c r="K248" s="37" t="str"/>
      <x:c r="L248" s="37" t="str"/>
      <x:c r="M248" s="37" t="str"/>
      <x:c r="N248" s="37" t="str"/>
      <x:c r="O248" s="37" t="str"/>
    </x:row>
    <x:row r="249" ht="20" customHeight="1">
      <x:c r="A249" s="33" t="n">
        <x:v>1306</x:v>
      </x:c>
      <x:c r="B249" s="34" t="str">
        <x:v>1</x:v>
      </x:c>
      <x:c r="C249" s="34" t="str">
        <x:v>Felsefe</x:v>
      </x:c>
      <x:c r="D249" s="34" t="str">
        <x:v>Düşünme</x:v>
      </x:c>
      <x:c r="E249" s="34" t="str">
        <x:v>Antikırılgan</x:v>
      </x:c>
      <x:c r="F249" s="34" t="str">
        <x:v>Nassim Taleb</x:v>
      </x:c>
      <x:c r="G249" s="34" t="str">
        <x:v>2012</x:v>
      </x:c>
      <x:c r="H249" s="37" t="str">
        <x:v>Ormanın yangın ihtiyacı</x:v>
      </x:c>
      <x:c r="I249" s="37" t="str">
        <x:v>Taleb, yangının söndürüldüğü ormanlarda zamanla çok daha büyük yangınlar çıktığını göstererek küçük streslerden yoksun sistemlerin nasıl kırılgan hale geldiğini açıklıyor.</x:v>
      </x:c>
      <x:c r="J249" s="37" t="str">
        <x:v>Amerikan orman yönetimi onlarca yıl boyunca tek bir politika izledi: Yangını söndür.
Küçük yangın çıktı mı? Söndür. Hemen. Tam.
Bu mantıklı görünüyordu. Yangın kötü, orman iyi.
Ama yıllar içinde tuhaf bir şey oldu.
##Yangın söndürülen ormanlar zamanla çok daha büyük yangınlara sahne oldu. 1988'de Yellowstone'da, onlarca yıl korunan ormanda devasa bir yangın çıktı.##
Neden?
Çünkü küçük yangınlar aslında işlev görüyordu. Kuru otu yakıyor, yenilenmesine izin veriyor, büyük yangın için yakıt birikimini engelliyordu.
Küçük stres yoksa, büyük stres kaçınılmaz oluyor.
Nassim Taleb bu gözlemi her sisteme uyguluyor. Çocuğu hiç zorluğa maruz bırakmamak, onu kırılgan yapıyor. Ekonomiyi hiç daralmasına izin vermemek, büyük bir çöküşü biriktiriyor.
Antikırılgan olmak küçük şoklara açık olmak demek. Düşüp kalkmak. Stres görüp onarılmak.
$$Küçük zorluklar büyük felaketi önler — stressiz sistemler en kırılgan sistemlerdir.$$
&amp;&amp;Hayatında zorluklardan koruduğun ama bu korumanın onları daha kırılgan yaptığı bir alan var mı?&amp;&amp;</x:v>
      </x:c>
      <x:c r="K249" s="37" t="str"/>
      <x:c r="L249" s="37" t="str"/>
      <x:c r="M249" s="37" t="str"/>
      <x:c r="N249" s="37" t="str"/>
      <x:c r="O249" s="37" t="str"/>
    </x:row>
    <x:row r="250" ht="20" customHeight="1">
      <x:c r="A250" s="33" t="n">
        <x:v>1307</x:v>
      </x:c>
      <x:c r="B250" s="34" t="str">
        <x:v>1</x:v>
      </x:c>
      <x:c r="C250" s="34" t="str">
        <x:v>Felsefe</x:v>
      </x:c>
      <x:c r="D250" s="34" t="str">
        <x:v>Düşünme</x:v>
      </x:c>
      <x:c r="E250" s="34" t="str">
        <x:v>Antikırılgan</x:v>
      </x:c>
      <x:c r="F250" s="34" t="str">
        <x:v>Nassim Taleb</x:v>
      </x:c>
      <x:c r="G250" s="34" t="str">
        <x:v>2012</x:v>
      </x:c>
      <x:c r="H250" s="37" t="str">
        <x:v>Barbell stratejisi</x:v>
      </x:c>
      <x:c r="I250" s="37" t="str">
        <x:v>Taleb, belirsizlik ortamında güvenli ile çok riskli seçenekleri birleştiren 'halter stratejisinin' orta yoldan çok daha üstün sonuçlar verdiğini anlatıyor.</x:v>
      </x:c>
      <x:c r="J250" s="37" t="str">
        <x:v>Nassim Taleb yatırım stratejisini anlatırken garip bir metafor kullanıyor: halter.
Halter iki ağırlıktan oluşuyor — ortada neredeyse hiç ağırlık yok.
Taleb şöyle diyor: Belirsizlik ortamında orta yol en kötü stratejidir.
##"Yüzde doksan güvenli, yüzde on çılgın. Ortada sıfır."##
Yatırımda: Paranın büyük çoğunluğunu ultra güvenli varlıklara koy. Küçük bir kısmını ise yüksek potansiyelli, sınırlı kayıplı risklere.
"Orta riskli" denen yer ise aldatıcı. Hem büyük kayba açık, hem büyük kazanca kapalı.
Taleb bunu kariyer planlamasına da uyguluyor: Stabil bir temel gelir (güvenlik), üzerine deneysel projeler (büyük potansiyel). Ortada sıkışmak yerine — ne çok güvenli ne çok riskli — iki ucu birleştir.
Bu strateji hem kaybı sınırlıyor hem de siyah kuğulardan faydalanma şansını açık tutuyor.
Çünkü olumlu sürprizler küçük bahislerden büyük kazançlar getirebilir. Olumsuz sürprizler ise güvenli kısım sayesinde yıkıcı olmaz.
$$Belirsizlikte orta yol değil, iki ucu birlikte tut.$$
&amp;&amp;Hayatında ya da işinde "halter stratejisi" uygulayabileceğin bir alan nedir?&amp;&amp;</x:v>
      </x:c>
      <x:c r="K250" s="37" t="str"/>
      <x:c r="L250" s="37" t="str"/>
      <x:c r="M250" s="37" t="str"/>
      <x:c r="N250" s="37" t="str"/>
      <x:c r="O250" s="37" t="str"/>
    </x:row>
    <x:row r="251" ht="20" customHeight="1">
      <x:c r="A251" s="33" t="n">
        <x:v>1308</x:v>
      </x:c>
      <x:c r="B251" s="34" t="str">
        <x:v>1</x:v>
      </x:c>
      <x:c r="C251" s="34" t="str">
        <x:v>Felsefe</x:v>
      </x:c>
      <x:c r="D251" s="34" t="str">
        <x:v>Düşünme</x:v>
      </x:c>
      <x:c r="E251" s="34" t="str">
        <x:v>Antikırılgan</x:v>
      </x:c>
      <x:c r="F251" s="34" t="str">
        <x:v>Nassim Taleb</x:v>
      </x:c>
      <x:c r="G251" s="34" t="str">
        <x:v>2012</x:v>
      </x:c>
      <x:c r="H251" s="37" t="str">
        <x:v>Stres ve kas büyümesi — antikırılganlığın bedeni</x:v>
      </x:c>
      <x:c r="I251" s="37" t="str">
        <x:v>Taleb, kasların ancak yırtılıp onarılarak büyüdüğü biyolojik gerçeğini antikırılganlığın en somut örneği olarak sunuyor.</x:v>
      </x:c>
      <x:c r="J251" s="37" t="str">
        <x:v>Spor salonunda ağırlık kaldırdığınızda ne oluyor?
Kas lifleri mikro düzeyde yırtılıyor. Ağrı bu yüzden. Vücut bu mini hasarı onarmak için devreye giriyor. Ve onarım, öncekinden daha güçlü yapıyor.
Stres yok? Yırtılma yok. Büyüme yok.
##Nassim Taleb şöyle diyor: "Kas antikırılganın en mükemmel örneği. Strese ihtiyaç duyuyor. Stresten güçleniyor."##
Bu sadece beden için değil. Bağışıklık sistemi de böyle çalışıyor. Çocukluk döneminde mikroplara maruz kalmak, bağışıklığı güçlendiriyor. Steril ortamda büyüyen çocuklar daha kırılgan bağışıklık sistemiyle yetişkin oluyor.
Öğrenme de böyle. Zor bir problem yanlış çözülmeden, doğrusu kalıcı olarak öğrenilmiyor. Kolayca verilen cevap hızla unutuluyor.
Taleb bunu sistemlere taşıyor: İyi bir şirket küçük başarısızlıklardan öğreniyor. İyi bir birey zorlu dönemlerde büyüyor. İyi bir ekonomi krizlerden ders çıkarıyor.
$$Büyüme rahattan değil, sınırda olmaktan gelir — stres doğru dozda ilaçtır.$$
&amp;&amp;Son üç yıldaki en zor dönemin seni nasıl güçlendirdiğine bak. O dönem olmadan bugün kim olurdun?&amp;&amp;</x:v>
      </x:c>
      <x:c r="K251" s="37" t="str"/>
      <x:c r="L251" s="37" t="str"/>
      <x:c r="M251" s="37" t="str"/>
      <x:c r="N251" s="37" t="str"/>
      <x:c r="O251" s="37" t="str"/>
    </x:row>
    <x:row r="252" ht="20" customHeight="1">
      <x:c r="A252" s="33" t="n">
        <x:v>1309</x:v>
      </x:c>
      <x:c r="B252" s="34" t="str">
        <x:v>1</x:v>
      </x:c>
      <x:c r="C252" s="34" t="str">
        <x:v>Felsefe</x:v>
      </x:c>
      <x:c r="D252" s="34" t="str">
        <x:v>Düşünme</x:v>
      </x:c>
      <x:c r="E252" s="34" t="str">
        <x:v>Thinking in Systems</x:v>
      </x:c>
      <x:c r="F252" s="34" t="str">
        <x:v>Donella Meadows</x:v>
      </x:c>
      <x:c r="G252" s="34" t="str">
        <x:v>2008</x:v>
      </x:c>
      <x:c r="H252" s="37" t="str">
        <x:v>Salıncak ve sistem düşüncesi</x:v>
      </x:c>
      <x:c r="I252" s="37" t="str">
        <x:v>Meadows, bir oyun alanına yeni salıncak yerine kökleri derinlere gömülü bir ağaç dikerek sistemlerin nasıl bütün değil parçaları değiştirilerek dönüştürüleceğini gösteriyor.</x:v>
      </x:c>
      <x:c r="J252" s="37" t="str">
        <x:v>Donella Meadows bir örnek veriyor.
Bir oyun alanı var. Çocuklar sıkılmış, yeni eğlence lazım.
İki seçenek var.
Birincisi: Yeni salıncak al, kur. Çocuklar bir hafta ilgi gösteriyor, sonra eskisi gibi.
İkincisi: Kökleri derin, geniş dallı bir ağaç dik.
Ağaç büyüdükçe gölge yapıyor. Gölgede oturmak için insanlar geliyor. Aileler piknik yapıyor. Çocuklar ağaca tırmanıyor, dallarından sarkıyor, etrafında oyun oynuyor. Mevsim değiştikçe yaprakları, meyveleri, kışın dallardaki kar rengi...
##Salıncak tek bir çözüm sunuyor. Ağaç bir sistem yaratıyor.##
Meadows bu örneği sistem düşüncesinin özeti olarak kullanıyor.
Sistemi anlamamak, parçaları değiştirmekle sonuçlanıyor. Sistemi anlamak, bütünü dönüştüren müdahaleleri görünür kılıyor.
Bir şirkette verimsizlik var. Parça düşüncesi: Çalışanı değiştir. Sistem düşüncesi: Teşvik yapısını değiştir, süreçleri yeniden tasarla.
Bir kişi sürekli stres yaşıyor. Parça düşüncesi: Tatile git. Sistem düşüncesi: Hangi alışkanlıklar, ilişkiler ve beklentiler bu döngüyü yaratıyor?
$$Semptomları değil, sistemi değiştir.$$
&amp;&amp;Hayatında ya da işinde semptoma müdahale edip ama kökteki sistemi değiştirmediğin tekrar eden bir sorun var mı?&amp;&amp;</x:v>
      </x:c>
      <x:c r="K252" s="37" t="str"/>
      <x:c r="L252" s="37" t="str"/>
      <x:c r="M252" s="37" t="str"/>
      <x:c r="N252" s="37" t="str"/>
      <x:c r="O252" s="37" t="str"/>
    </x:row>
    <x:row r="253" ht="20" customHeight="1">
      <x:c r="A253" s="33" t="n">
        <x:v>1310</x:v>
      </x:c>
      <x:c r="B253" s="34" t="str">
        <x:v>1</x:v>
      </x:c>
      <x:c r="C253" s="34" t="str">
        <x:v>Felsefe</x:v>
      </x:c>
      <x:c r="D253" s="34" t="str">
        <x:v>Düşünme</x:v>
      </x:c>
      <x:c r="E253" s="34" t="str">
        <x:v>Thinking in Systems</x:v>
      </x:c>
      <x:c r="F253" s="34" t="str">
        <x:v>Donella Meadows</x:v>
      </x:c>
      <x:c r="G253" s="34" t="str">
        <x:v>2008</x:v>
      </x:c>
      <x:c r="H253" s="37" t="str">
        <x:v>Geri bildirim döngüleri ve kendi kendini besleyen kısır döngüler</x:v>
      </x:c>
      <x:c r="I253" s="37" t="str">
        <x:v>Meadows, sistemlerdeki güçlendirici geri bildirim döngülerinin hem büyümeyi hem de çöküşü nasıl ivmelendirdiğini somut örneklerle açıklıyor.</x:v>
      </x:c>
      <x:c r="J253" s="37" t="str">
        <x:v>Donella Meadows iki tür geri bildirim döngüsü tanımlıyor.
Birincisi: Dengeleyici döngü. Bir şey çok büyüdüğünde, sistem geri çekiyor. Termostat gibi. Isı arttı, ısıtma kapanıyor.
İkincisi: Güçlendirici döngü. Bir şey büyüdükçe, daha da büyüyor. Ya da küçüldükçe, daha da küçülüyor.
##Güçlendirici döngü hem mucize hem kabus yaratıyor.##
Mucize: Bileşik faiz. Her kazanç daha fazla kazanç üretiyor.
Kabus: Borç sarmalı. Borç faiz üretiyor, faiz borcu artırıyor.
Sosyal ağlar da böyle çalışıyor. Daha fazla kullanıcı daha fazla içerik üretiyor, daha fazla içerik daha fazla kullanıcı çekiyor. Ama tersi de: Bir platform kullanıcı kaybetmeye başlayınca, hızla eriyebiliyor.
Meadows şunu soruyor: Hangi geri bildirim döngüsünün içindesiniz? Ve o döngü sizi istediğiniz yöne mi götürüyor?
Eğer kötü bir döngüdeyseniz, küçük bir müdahale bazen her şeyi tersine çevirebiliyor. Ama o müdahaleyi bulmak için önce döngüyü görmek gerekiyor.
$$Sisteminizin hangi döngüsünde olduğunuzu bilmek, en güçlü müdahale noktasını gösterir.$$
&amp;&amp;Şu an hayatında ya da işinde seni hangi yöne sürüklüyor bir geri bildirim döngüsü var? İstediğin yöne mi?&amp;&amp;</x:v>
      </x:c>
      <x:c r="K253" s="37" t="str"/>
      <x:c r="L253" s="37" t="str"/>
      <x:c r="M253" s="37" t="str"/>
      <x:c r="N253" s="37" t="str"/>
      <x:c r="O253" s="37" t="str"/>
    </x:row>
    <x:row r="254" ht="20" customHeight="1">
      <x:c r="A254" s="33" t="n">
        <x:v>1311</x:v>
      </x:c>
      <x:c r="B254" s="34" t="str">
        <x:v>1</x:v>
      </x:c>
      <x:c r="C254" s="34" t="str">
        <x:v>Felsefe</x:v>
      </x:c>
      <x:c r="D254" s="34" t="str">
        <x:v>Düşünme</x:v>
      </x:c>
      <x:c r="E254" s="34" t="str">
        <x:v>Thinking in Systems</x:v>
      </x:c>
      <x:c r="F254" s="34" t="str">
        <x:v>Donella Meadows</x:v>
      </x:c>
      <x:c r="G254" s="34" t="str">
        <x:v>2008</x:v>
      </x:c>
      <x:c r="H254" s="37" t="str">
        <x:v>Gecikme ve sabırsızlık tuzağı</x:v>
      </x:c>
      <x:c r="I254" s="37" t="str">
        <x:v>Meadows, sistemlerdeki gecikmelerin nasıl yanlış kararlar aldırdığını duş örneğiyle açıklayarak sabırsız müdahalelerin sorunu nasıl büyüttüğünü gösteriyor.</x:v>
      </x:c>
      <x:c r="J254" s="37" t="str">
        <x:v>Sabah duş alıyorsunuz. Su soğuk.
Sıcaklık düğmesini çeviriyorsunuz. Hâlâ soğuk.
Biraz daha çeviriyorsunuz. Hâlâ soğuk.
Daha fazla çeviriyorsunuz.
##Birkaç saniye sonra su kavurucu sıcak geliyor. Paniklediniz, soğuğa döndürdünüz. Şimdi buz gibi.##
Bu sadece duş problemi değil. Donella Meadows bunu sistemlerdeki "gecikme" sorununun mükemmel metaforu olarak kullanıyor.
Sistemler anında tepki vermiyor. Eylem ile etki arasında zaman var. Ve biz sabırsız müdahale ederek döngüyü daha da karmaşık hale getiriyoruz.
Ekonomi politikası da böyle. Merkez bankası faiz artırıyor. Etkisi 12-18 ay sonra görünüyor. Ama biz bekleyemeyip tekrar müdahale ediyoruz.
Şirket yönetimi de böyle. Yeni bir strateji uygulamaya koydunuz. Bir ay sonra sonuç göremiyorsunuz. Stratejiyi değiştiriyorsunuz. Ama önceki strateji tam da o an işe yaramaya başlıyordu.
Meadows'ın dersi: Sistemi anlamak gecikmelerini de anlamak demek. Ve gecikmeyi anlamak sabır gerektiriyor.
$$Sisteme müdahale etmeden önce gecikmeyi tanı — sabırsız dokunuşlar sorunu büyütür.$$
&amp;&amp;Sabırsızlanıp vazgeçtiğin ya da değiştirdiğin ama aslında o an işe yaramaya başlıyor olabilecek bir şey var mı?&amp;&amp;</x:v>
      </x:c>
      <x:c r="K254" s="37" t="str"/>
      <x:c r="L254" s="37" t="str"/>
      <x:c r="M254" s="37" t="str"/>
      <x:c r="N254" s="37" t="str"/>
      <x:c r="O254" s="37" t="str"/>
    </x:row>
    <x:row r="255" ht="20" customHeight="1">
      <x:c r="A255" s="33" t="n">
        <x:v>1312</x:v>
      </x:c>
      <x:c r="B255" s="34" t="str">
        <x:v>1</x:v>
      </x:c>
      <x:c r="C255" s="34" t="str">
        <x:v>Verimlilik</x:v>
      </x:c>
      <x:c r="D255" s="34" t="str">
        <x:v>Girişimcilik</x:v>
      </x:c>
      <x:c r="E255" s="34" t="str">
        <x:v>İşin Özü</x:v>
      </x:c>
      <x:c r="F255" s="34" t="str">
        <x:v>Michael Gerber</x:v>
      </x:c>
      <x:c r="G255" s="34" t="str">
        <x:v>1986</x:v>
      </x:c>
      <x:c r="H255" s="37" t="str">
        <x:v>Pasta dükkanı sahibinin hatası</x:v>
      </x:c>
      <x:c r="I255" s="37" t="str">
        <x:v>Gerber, pasta yapmayı seven bir kadının kendi dükkanını açtığında sevdiği işi yapamaz hale geldiğini anlatarak teknik becerinin iş kurmakla aynı şey olmadığını gösteriyor.</x:v>
      </x:c>
      <x:c r="J255" s="37" t="str">
        <x:v>Sarah en iyi pasta yapan adamdı.
Ailesi, arkadaşları, komşuları hep hayrandı. "Bu kadar iyi pasta yapıyorsan, neden kendi dükkanını açmıyorsun?"
Sarah açtı.
İlk hafta heyecanlıydı. Pasta yapıyordu. Müşteriler geliyordu.
İkinci haftada muhasebesi karışıktı. Tedarikçilerle sorun vardı. Personel tutmak zorundaydı. Kira ödemek lazımdı. Sağlık izni lazımdı. Vergi beyannamesi lazımdı.
##Altı ay sonra Sarah fark etti: Haftada yirmi saat pasta yapıyor, altmış saat iş yönetiyordu.##
Michael Gerber buna "girişimcilik efsanesi" diyor. Çoğu küçük işletme, bir teknik uzmanlığı olan kişi tarafından kuruluyor. O kişi ustaca iş yapıyor. Ama bir işletmeyi yönetmeyi bilmiyor.
Ve ikisi tamamen farklı beceriler.
Gerber üç kişilik ayrımı yapıyor: Teknisyen (işi yapan), Yönetici (düzeni sağlayan), Girişimci (sistemi tasarlayan).
Başarılı bir işletme bu üçünü dengede tutuyor. Ama çoğu küçük işletme sahibi yalnızca teknisyen olarak başlıyor ve hiç çıkamıyor.
$$Bir işi iyi yapmak ile o işi yürüten sistemi kurmak tamamen farklı becerilerdir.$$
&amp;&amp;Şu an yaptığın işte teknisyen mi, yoksa girişimci mi gibi çalışıyorsun?&amp;&amp;</x:v>
      </x:c>
      <x:c r="K255" s="37" t="str"/>
      <x:c r="L255" s="37" t="str"/>
      <x:c r="M255" s="37" t="str"/>
      <x:c r="N255" s="37" t="str"/>
      <x:c r="O255" s="37" t="str"/>
    </x:row>
    <x:row r="256" ht="20" customHeight="1">
      <x:c r="A256" s="33" t="n">
        <x:v>1313</x:v>
      </x:c>
      <x:c r="B256" s="34" t="str">
        <x:v>1</x:v>
      </x:c>
      <x:c r="C256" s="34" t="str">
        <x:v>Verimlilik</x:v>
      </x:c>
      <x:c r="D256" s="34" t="str">
        <x:v>Girişimcilik</x:v>
      </x:c>
      <x:c r="E256" s="34" t="str">
        <x:v>İşin Özü</x:v>
      </x:c>
      <x:c r="F256" s="34" t="str">
        <x:v>Michael Gerber</x:v>
      </x:c>
      <x:c r="G256" s="34" t="str">
        <x:v>1986</x:v>
      </x:c>
      <x:c r="H256" s="37" t="str">
        <x:v>McDonald's ve işletme prototipi</x:v>
      </x:c>
      <x:c r="I256" s="37" t="str">
        <x:v>Gerber, McDonald's'ın Ray Kroc'un hamburger değil çoğaltılabilir bir sistem sattığını anlatarak her işletmenin neden bir prototip gibi tasarlanması gerektiğini açıklıyor.</x:v>
      </x:c>
      <x:c r="J256" s="37" t="str">
        <x:v>Michael Gerber şöyle bir soru soruyor: "McDonald's iyi hamburger mi satıyor?"
Pek çok kişi "hayır" diyor. Pek çok yerel hamburgerci daha lezzetli yapıyor.
"O zaman neden dünyanın en başarılı restoran zinciri?"
##"Çünkü McDonald's hamburger değil, sistem satıyor."##
Ray Kroc bir restoran işleten değil, bir sistem tasarlayan olarak düşündü. Her şeyin standart olduğu, herkesin uygulayabildiği, tekrar edilebilir bir model.
Aşçı değişsin, kasiyer değişsin, şehir değişsin — süreç aynı. Sonuç öngörülebilir.
Gerber bunu küçük işletmelere şöyle uyguluyor: İşletmenizi bir franchise prototipi gibi tasarlayın. Eğer yarın başkası sizin yerinize geçse, işletme aynı kalite ve sonuçları üretir miydi?
Çoğu küçük işletmenin cevabı: Hayır. Çünkü her şey sahibinin kafasında.
Bu bir sistemin değil, kişiye bağlı bir operasyonun işareti.
Gerber'in dersi: İyi bir iş yöneticisi olmak yetmez. Kendi yokluğunuzda da çalışan bir sistem kurmak asıl hedeftir.
$$İyi bir iş, sahibi olmadan da çalışabilen bir sistemdir.$$
&amp;&amp;Şu an işin ya da sorumluluğun tamamen sana mı bağlı? Sen olmasan ne olurdu?&amp;&amp;</x:v>
      </x:c>
      <x:c r="K256" s="37" t="str"/>
      <x:c r="L256" s="37" t="str"/>
      <x:c r="M256" s="37" t="str"/>
      <x:c r="N256" s="37" t="str"/>
      <x:c r="O256" s="37" t="str"/>
    </x:row>
    <x:row r="257" ht="20" customHeight="1">
      <x:c r="A257" s="33" t="n">
        <x:v>1314</x:v>
      </x:c>
      <x:c r="B257" s="34" t="str">
        <x:v>1</x:v>
      </x:c>
      <x:c r="C257" s="34" t="str">
        <x:v>Verimlilik</x:v>
      </x:c>
      <x:c r="D257" s="34" t="str">
        <x:v>Girişimcilik</x:v>
      </x:c>
      <x:c r="E257" s="34" t="str">
        <x:v>İşin Özü</x:v>
      </x:c>
      <x:c r="F257" s="34" t="str">
        <x:v>Michael Gerber</x:v>
      </x:c>
      <x:c r="G257" s="34" t="str">
        <x:v>1986</x:v>
      </x:c>
      <x:c r="H257" s="37" t="str">
        <x:v>Olgunluk aşaması ve sistematik büyüme</x:v>
      </x:c>
      <x:c r="I257" s="37" t="str">
        <x:v>Gerber, işletmelerin bebek, genç ve olgunluk aşamalarından geçtiğini ve çoğunun genç aşamada çöktüğünü anlatarak olgunluğa ulaşmanın yolunu gösteriyor.</x:v>
      </x:c>
      <x:c r="J257" s="37" t="str">
        <x:v>Michael Gerber işletmelerin üç aşamadan geçtiğini söylüyor.
Bebek aşaması: Kurucunun her şeyi yaptığı dönem. İşletme tamamen ona bağlı. Çoğunlukla heyecanlı ama kaotik.
Genç aşama: İş büyüdü. Personel var. Ama sistemler yok. Her şey ad hoc. Kurucunun kafasında. Yangın söndürme modu.
##Bu aşamada işletmelerin yüzde sekseninden fazlası kapanıyor. Çünkü sistem yokken büyümek, kaosun büyümesi demek.##
Olgunluk aşaması: Sistemler kurulmuş. Her sürecin bir yolu var. Kalite öngörülebilir. Ve en önemlisi — işletme sahibinden bağımsız çalışabiliyor.
Gerber şunu söylüyor: Çoğu girişimci "gençlik" aşamasından çıkamıyor. Çünkü sistemi kurmak için önce günlük koşuşturmadan çıkmak gerekiyor. Ama günlük koşuşturma çıkmaya izin vermiyor.
Kırılma noktası: "Üzerinde çalışmak" ile "içinde çalışmak" arasındaki farkı görmek.
İşinizin içinde çalışmak: Günlük görevleri tamamlamak.
İşinizin üzerinde çalışmak: Günlük görevleri ortadan kaldıracak sistemleri tasarlamak.
$$İşletmenizin içinde değil, üzerinde çalışın.$$
&amp;&amp;Şu an işinin ya da sorumluluklarının içinde mi yoksa üzerinde mi çalışıyorsun? Bu ayrım sana ne söylüyor?&amp;&amp;</x:v>
      </x:c>
      <x:c r="K257" s="37" t="str"/>
      <x:c r="L257" s="37" t="str"/>
      <x:c r="M257" s="37" t="str"/>
      <x:c r="N257" s="37" t="str"/>
      <x:c r="O257" s="37" t="str"/>
    </x:row>
    <x:row r="258" ht="20" customHeight="1">
      <x:c r="A258" s="33" t="n">
        <x:v>1315</x:v>
      </x:c>
      <x:c r="B258" s="34" t="str">
        <x:v>1</x:v>
      </x:c>
      <x:c r="C258" s="34" t="str">
        <x:v>Bilim</x:v>
      </x:c>
      <x:c r="D258" s="34" t="str">
        <x:v>Ürün</x:v>
      </x:c>
      <x:c r="E258" s="34" t="str">
        <x:v>Müşteriyi Anlamak</x:v>
      </x:c>
      <x:c r="F258" s="34" t="str">
        <x:v>Nir Eyal</x:v>
      </x:c>
      <x:c r="G258" s="34" t="str">
        <x:v>2014</x:v>
      </x:c>
      <x:c r="H258" s="37" t="str">
        <x:v>Instagram'ın pivot mucizesi</x:v>
      </x:c>
      <x:c r="I258" s="37" t="str">
        <x:v>Eyal, Instagram'ın karmaşık bir konum paylaşım uygulamasından fotoğraf uygulamasına dönüşmesinin Hooked modelinin mükemmel bir örneği olduğunu anlatıyor.</x:v>
      </x:c>
      <x:c r="J258" s="37" t="str">
        <x:v>2010. Kevin Systrom ve Mike Krieger karmaşık bir uygulama üzerinde çalışıyordu.
Burbn adını verdiler. Konum paylaşımı, check-in, puan toplama, arkadaşlarla buluşma planlama...
Ama kimse kullanmıyordu. Ya da neredeyse kimse.
Analiz ettiler. Verilere baktılar.
Tek bir özellik kullanılıyordu: Fotoğraf paylaşımı.
##Tüm sistemi söktüler. Sadece fotoğraf paylaşımını bıraktılar. Instagram doğdu.##
Nir Eyal bu hikayeyi Hooked modeliyle açıklıyor. Instagram'ın çalışmasının sırrı tesadüf değil, derin bir psikolojik döngü.
Tetikleyici: Bir anı var, paylaşmak istiyorsun. (Dışsal) ya da sıkıldın, uygulama açıyorsun. (İçsel)
Eylem: Fotoğraf çek, paylaş. Sürtüşme sıfır.
Değişken ödül: Kaç beğeni geldi? Yorumlar neler? Belirsizlik bağımlılık yaratıyor.
Yatırım: Takipçiler, geçmiş paylaşımlar, filtreler, profil — kullanıcı varlık oluşturuyor.
Her döngü bir sonrakini güçlendiriyor. Alışkanlık oluşuyor.
$$Kullanıcı alışkanlığı tesadüfen değil, kasıtlı tasarımla inşa edilir.$$
&amp;&amp;Günlük hayatında seni "kancaya takan" hangi ürün ya da uygulama var? Hangi döngü seni geri getiriyor?&amp;&amp;</x:v>
      </x:c>
      <x:c r="K258" s="37" t="str"/>
      <x:c r="L258" s="37" t="str"/>
      <x:c r="M258" s="37" t="str"/>
      <x:c r="N258" s="37" t="str"/>
      <x:c r="O258" s="37" t="str"/>
    </x:row>
    <x:row r="259" ht="20" customHeight="1">
      <x:c r="A259" s="33" t="n">
        <x:v>1316</x:v>
      </x:c>
      <x:c r="B259" s="34" t="str">
        <x:v>1</x:v>
      </x:c>
      <x:c r="C259" s="34" t="str">
        <x:v>Bilim</x:v>
      </x:c>
      <x:c r="D259" s="34" t="str">
        <x:v>Ürün</x:v>
      </x:c>
      <x:c r="E259" s="34" t="str">
        <x:v>Müşteriyi Anlamak</x:v>
      </x:c>
      <x:c r="F259" s="34" t="str">
        <x:v>Nir Eyal</x:v>
      </x:c>
      <x:c r="G259" s="34" t="str">
        <x:v>2014</x:v>
      </x:c>
      <x:c r="H259" s="37" t="str">
        <x:v>Tetikleyiciler ve alışkanlık tasarımı</x:v>
      </x:c>
      <x:c r="I259" s="37" t="str">
        <x:v>Eyal, içsel tetikleyicilerin dışsal tetikleyicilerden çok daha güçlü olduğunu ve en başarılı ürünlerin kullanıcının duygusal boşluklarına nasıl hitap ettiğini gösteriyor.</x:v>
      </x:c>
      <x:c r="J259" s="37" t="str">
        <x:v>Nir Eyal iki tür tetikleyici tanımlıyor.
Dışsal tetikleyici: Reklam, bildirim, bir arkadaşın tavsiyesi. Dışarıdan geliyor. Etkili ama pahalı ve geçici.
İçsel tetikleyici: Bir duygu. Bir boşluk. Bir his.
##"Can sıkıntısı hissettim — Instagram açtım." "Yalnız hissettim — Facebook'a baktım." "Endişelendim — haberleri kontrol ettim."##
Bu ürünler bir duygusal ihtiyaca yanıt vermeye başladı. Ve bu bağlantı kurulduğunda, tetikleyici artık dışarıdan gelmek zorunda değil.
Beyin kendi kendine o ürüne gidiyor.
Eyal şunu söylüyor: En güçlü alışkanlıklar içsel tetikleyicilerle kurulur. "Şunu yaptığında beni aç" bildirimi bir süre işe yarar. Ama "sıkıldığında" ya da "yalnız hissettiğinde" yanında olan ürün — o kalıcı alışkanlık kuruyor.
Bu bilgi hem ürün tasarımcıları için güçlü, hem de kullanıcılar için bilinçli olmayı gerektiriyor.
Hangi duygular sizi hangi ürünlere götürüyor? Ve o ürünler o duyguyu gerçekten çözüyor mu?
$$İçsel tetikleyici bulduktan sonra alışkanlık kaçınılmaz hale gelir — bu hem bir tasarım fırsatı hem bir etik sorumluluktur.$$
&amp;&amp;Sıkıldığında, streslendiğinde ya da yalnız hissettiğinde otomatik olarak açtığın şey ne? Bu davranış o duyguyu gerçekten çözüyor mu?&amp;&amp;</x:v>
      </x:c>
      <x:c r="K259" s="37" t="str"/>
      <x:c r="L259" s="37" t="str"/>
      <x:c r="M259" s="37" t="str"/>
      <x:c r="N259" s="37" t="str"/>
      <x:c r="O259" s="37" t="str"/>
    </x:row>
    <x:row r="260" ht="20" customHeight="1">
      <x:c r="A260" s="33" t="n">
        <x:v>1317</x:v>
      </x:c>
      <x:c r="B260" s="34" t="str">
        <x:v>1</x:v>
      </x:c>
      <x:c r="C260" s="34" t="str">
        <x:v>Bilim</x:v>
      </x:c>
      <x:c r="D260" s="34" t="str">
        <x:v>Ürün</x:v>
      </x:c>
      <x:c r="E260" s="34" t="str">
        <x:v>Müşteriyi Anlamak</x:v>
      </x:c>
      <x:c r="F260" s="34" t="str">
        <x:v>Nir Eyal</x:v>
      </x:c>
      <x:c r="G260" s="34" t="str">
        <x:v>2014</x:v>
      </x:c>
      <x:c r="H260" s="37" t="str">
        <x:v>Değişken ödül ve kumar psikolojisi</x:v>
      </x:c>
      <x:c r="I260" s="37" t="str">
        <x:v>Eyal, belirsiz ödüllerin sabit ödüllerden çok daha bağımlılık yarattığını ve en başarılı dijital ürünlerin bunu nasıl kullandığını açıklıyor.</x:v>
      </x:c>
      <x:c r="J260" s="37" t="str">
        <x:v>B.F. Skinner bir deney yaptı.
Bir fare, koluna bastığında her seferinde yiyecek veren bir düzeneğe konuldu. Fare bir süre basıp yiyecek aldı. Sonra ilgisi azaldı — çünkü her şey öngörülebilirdi.
Sonra düzeneği değiştirdi: Koluna her basışta yiyecek vermek yerine rastgele verdi.
##Fare obsesif biçimde kola basmaya başladı. Yiyecek gelmese de basmaya devam etti.##
Nir Eyal bu deneyi dijital dünyaya taşıyor.
Sosyal medyanın en güçlü psikolojik mekanizması: değişken ödül.
Her paylaşımda kaç beğeni gelecek bilinmiyor. Belki 3, belki 300. Belirsizlik beyni sürekli kontrol ettiriyor.
E-posta da böyle. Belki sıradan bir e-posta var. Belki hayatını değiştirecek bir haber. Belirsizlik... kontrol... kontrol... kontrol.
Eyal bu mekanizmayı ürün tasarımında üç boyutta sunuyor: Kabilenin ödülü (sosyal onay), avın ödülü (bilgi, kaynak), benliğin ödülü (ustalık, tamamlama hissi).
Bilinçli kullanıcı olmak bu mekanizmayı tanımaktan geçiyor.
$$Belirsiz ödül, kesin ödülden her zaman daha bağımlılık yapıcıdır — bunu bilen tasarlar ya da farkında olarak kullanır.$$
&amp;&amp;Hangi uygulamada en çok "belki bir şey vardır" diye kontrol edersin? Bu davranış sana ne veriyor?&amp;&amp;</x:v>
      </x:c>
      <x:c r="K260" s="37" t="str"/>
      <x:c r="L260" s="37" t="str"/>
      <x:c r="M260" s="37" t="str"/>
      <x:c r="N260" s="37" t="str"/>
      <x:c r="O260" s="37" t="str"/>
    </x:row>
    <x:row r="261" ht="20" customHeight="1">
      <x:c r="A261" s="33" t="n">
        <x:v>1318</x:v>
      </x:c>
      <x:c r="B261" s="34" t="str">
        <x:v>1</x:v>
      </x:c>
      <x:c r="C261" s="34" t="str">
        <x:v>Verimlilik</x:v>
      </x:c>
      <x:c r="D261" s="34" t="str">
        <x:v>Verimlilik</x:v>
      </x:c>
      <x:c r="E261" s="34" t="str">
        <x:v>Indistractable</x:v>
      </x:c>
      <x:c r="F261" s="34" t="str">
        <x:v>Nir Eyal</x:v>
      </x:c>
      <x:c r="G261" s="34" t="str">
        <x:v>2019</x:v>
      </x:c>
      <x:c r="H261" s="37" t="str">
        <x:v>Rahatsızlıktan kaçma dürtüsü</x:v>
      </x:c>
      <x:c r="I261" s="37" t="str">
        <x:v>Eyal, dikkat dağıtıcı davranışların temelde bir rahatsızlıktan kaçma girişimi olduğunu ve bu içsel tetikleyiciyi yönetmenin dikkat kontrolünün anahtarı olduğunu anlatıyor.</x:v>
      </x:c>
      <x:c r="J261" s="37" t="str">
        <x:v>Nir Eyal şöyle bir an tanımlıyor.
Önemli bir proje üzerinde çalışıyorsunuz. Zorlayıcı bir bölüm geliyor.
Ani bir dürtü: E-postayı kontrol et.
Kontrol ettiniz. Önemli bir şey yok. Geri döndünüz. Otuz saniye geçti. Tekrar zorlayıcı bölüm.
Haber sitesini açtınız.
##Eyal şöyle diyor: "Dikkat dağıtıcı şey dışarıdan gelmiyor. İçeriden geliyor. Rahatsızlıktan kaçıyoruz."##
Telefon bildirimi dağıtıcı evet. Ama telefon kapalı olsa bile dikkat dağılıyor. Çünkü asıl sorun teknoloji değil, rahatsızlıkla baş etme kapasitesi.
Eyal buna "iç tetikleyiciyle yüzleşme" diyor. Zor bir an geldiğinde, ne hissediyorsunuz? Can sıkıntısı mı? Kaygı mı? Belirsizlik mi?
O hissin farkında olmak — adını koymak — köpüğünü söndürüyor. Kaçmak yerine "ah, bu kaygı" demek, kaçma dürtüsünü zayıflatıyor.
Dikkat kontrolü teknik bir problem değil. Psikolojik bir beceri.
$$Dikkat dağıtıcılar dışarıda değil içeride başlar — rahatsızlıkla kalmayı öğrenmek her şeyi değiştirir.$$
&amp;&amp;Zor bir göreve otururken hangi his seni dağıtıcıya itiyor? O hissin adı ne?&amp;&amp;</x:v>
      </x:c>
      <x:c r="K261" s="37" t="str"/>
      <x:c r="L261" s="37" t="str"/>
      <x:c r="M261" s="37" t="str"/>
      <x:c r="N261" s="37" t="str"/>
      <x:c r="O261" s="37" t="str"/>
    </x:row>
    <x:row r="262" ht="20" customHeight="1">
      <x:c r="A262" s="33" t="n">
        <x:v>1319</x:v>
      </x:c>
      <x:c r="B262" s="34" t="str">
        <x:v>1</x:v>
      </x:c>
      <x:c r="C262" s="34" t="str">
        <x:v>Verimlilik</x:v>
      </x:c>
      <x:c r="D262" s="34" t="str">
        <x:v>Verimlilik</x:v>
      </x:c>
      <x:c r="E262" s="34" t="str">
        <x:v>Indistractable</x:v>
      </x:c>
      <x:c r="F262" s="34" t="str">
        <x:v>Nir Eyal</x:v>
      </x:c>
      <x:c r="G262" s="34" t="str">
        <x:v>2019</x:v>
      </x:c>
      <x:c r="H262" s="37" t="str">
        <x:v>Zaman kutulaması ve taahhüt</x:v>
      </x:c>
      <x:c r="I262" s="37" t="str">
        <x:v>Eyal, dikkat kontrolünün önceden zaman planlayarak ve o zamanı kutsal kabul ederek mümkün olduğunu gösteriyor.</x:v>
      </x:c>
      <x:c r="J262" s="37" t="str">
        <x:v>Nir Eyal yapılacaklar listesini eleştiriyor.
"Yapılacaklar listesi dikkat kontrolünün düşmanı. Çünkü ne yapacağınızı söylüyor, ne zaman yapacağınızı değil."
Çözümü: Zaman kutulaması.
Her görevi takvime koy. "Derin çalışma: Salı 9-11" gibi. Ve o zaman dilimini kutsal say.
##Eyal şöyle diyor: "O zaman diliminde başka bir şey yapıyorsanız, kendinizi aldatıyorsunuz."##
Ama dikkat: Zaman kutulaması yalnızca iş için değil. Aile zamanı da, egzersiz de, dinlenme de kutular gerektiriyor.
Ve Eyal'in en önemli önerisi: Önce "ben zamanını" kutula. Uyku, egzersiz, yeme-içme. Sonra "ilişki zamanını." Sonra "iş zamanını."
Çoğumuz tersini yapıyoruz. İş dolduruyor, geriye kalanlar için zaman arıyoruz.
Ama zaman asla "artmıyor." Kasıtlı olarak ayrılmadığı sürece kaybolup gidiyor.
Eyal'in kitabının özü şu: Dikkat dağıtıcılar her yerde. Ama onlardan kaçmak değil, gerçek öncelikleriniz için zaman korumak asıl çözüm.
$$Takvimde yer almayan şey gerçekleşmiyor — zamanınızı başkaları değil siz planlayın.$$
&amp;&amp;Bu hafta gerçekten önemli bulduğun ama takvimde yer almayan kaç şey var?&amp;&amp;</x:v>
      </x:c>
      <x:c r="K262" s="37" t="str"/>
      <x:c r="L262" s="37" t="str"/>
      <x:c r="M262" s="37" t="str"/>
      <x:c r="N262" s="37" t="str"/>
      <x:c r="O262" s="37" t="str"/>
    </x:row>
    <x:row r="263" ht="20" customHeight="1">
      <x:c r="A263" s="33" t="n">
        <x:v>1320</x:v>
      </x:c>
      <x:c r="B263" s="34" t="str">
        <x:v>1</x:v>
      </x:c>
      <x:c r="C263" s="34" t="str">
        <x:v>Verimlilik</x:v>
      </x:c>
      <x:c r="D263" s="34" t="str">
        <x:v>Verimlilik</x:v>
      </x:c>
      <x:c r="E263" s="34" t="str">
        <x:v>Indistractable</x:v>
      </x:c>
      <x:c r="F263" s="34" t="str">
        <x:v>Nir Eyal</x:v>
      </x:c>
      <x:c r="G263" s="34" t="str">
        <x:v>2019</x:v>
      </x:c>
      <x:c r="H263" s="37" t="str">
        <x:v>Çevre tasarımı ve sürtüşme</x:v>
      </x:c>
      <x:c r="I263" s="37" t="str">
        <x:v>Eyal, istenmeyen davranışlara sürtüşme ekleyip istenen davranışları kolaylaştırmanın dikkat yönetiminin en pratik yolu olduğunu somut örneklerle anlatıyor.</x:v>
      </x:c>
      <x:c r="J263" s="37" t="str">
        <x:v>Nir Eyal pratik bir araç sunuyor: sürtüşme yönetimi.
İstenmeyen davranışı zorlaştır.
İstenen davranışı kolaylaştır.
Somut örnekler:
Sosyal medyayı daha az kullanmak istiyorsanız: Uygulamaları telefon ana sayfasından kaldırın. İki tıklama yerine beş tıklama gerektirsin. Bu küçük sürtüşme, dürtüsel açmaları yüzde kırk azaltıyor.
##Kitap okumayı artırmak istiyorsunuz: Kitabı yastığın yanına koyun. Telefonu başka odaya bırakın. Okumanın kolaylığını, telefonun kolaylığının önüne geçirin.##
Eyal bunu "ön taahhüt cihazı" olarak adlandırıyor. Gelecekteki benliğinizin daha iyi kararlar almasına yardımcı olmak için şimdiden ortamı tasarlıyorsunuz.
Bu irade gücüyle ilgili değil. İrade gücü sınırlı. Her karar onu tüketiyor.
Çevre tasarımı ise irade gücü harcamadan doğru kararları otomatik hale getiriyor.
$$İrade gücüne güvenme — ortamını tasarla.$$
&amp;&amp;Azaltmak istediğin bir alışkanlık için bugün ortamına bir sürtüşme ekleyebilirsin. Ne yapardın?&amp;&amp;</x:v>
      </x:c>
      <x:c r="K263" s="37" t="str"/>
      <x:c r="L263" s="37" t="str"/>
      <x:c r="M263" s="37" t="str"/>
      <x:c r="N263" s="37" t="str"/>
      <x:c r="O263" s="37" t="str"/>
    </x:row>
    <x:row r="264" ht="20" customHeight="1">
      <x:c r="A264" s="33" t="n">
        <x:v>1321</x:v>
      </x:c>
      <x:c r="B264" s="34" t="str">
        <x:v>1</x:v>
      </x:c>
      <x:c r="C264" s="34" t="str">
        <x:v>Verimlilik</x:v>
      </x:c>
      <x:c r="D264" s="34" t="str">
        <x:v>Yaratıcılık</x:v>
      </x:c>
      <x:c r="E264" s="34" t="str">
        <x:v>Güçlü Sorular</x:v>
      </x:c>
      <x:c r="F264" s="34" t="str">
        <x:v>Warren Berger</x:v>
      </x:c>
      <x:c r="G264" s="34" t="str">
        <x:v>2014</x:v>
      </x:c>
      <x:c r="H264" s="37" t="str">
        <x:v>Polaroid'in anlık cevabı</x:v>
      </x:c>
      <x:c r="I264" s="37" t="str">
        <x:v>Berger, Edwin Land'in kızının 'neden fotoğrafı hemen göremiyoruz?' sorusunun Polaroid kamerasını nasıl doğurduğunu ve naif soruların gücünü anlatıyor.</x:v>
      </x:c>
      <x:c r="J264" s="37" t="str">
        <x:v>Edwin Land kızıyla fotoğraf çekiyordu. Küçük kız sabırsızdı.
"Baba, neden fotoğrafı hemen göremiyoruz?"
Land durdu.
Makul bir cevap vardı: "Çünkü film banyo edilmeli, bu zaman alır."
Ama Land farklı bir yerde durdu. "Neden fotoğrafı hemen göremiyoruz?" sorusunu gerçek bir problem olarak aldı.
##1948'de Polaroid kamerası piyasaya çıktı. Anlık fotoğraf dünyayı değiştirdi.##
Warren Berger bu hikayeyi "güçlü soru" kavramının merkezine koyuyor.
En büyük yenilikler çoğu zaman "neden?" sorusundan başlıyor.
Ama yetişkinler bu soruyu sormayı öğrenmiyor — sormayı bırakıyor. Okul "doğru cevabı" ödüllendiriyor, "doğru soruyu" değil. İş hayatı da aynı. "Hızlı cevap ver" bekleniyor.
Oysa inovasyon büyük cevaplarla değil, kimsenin sormadığı sorularla başlıyor.
Berger şöyle diyor: Soruyu biraz daha geniş açarsanız, cevap alanı dramatik biçimde genişliyor. "Nasıl daha iyi film yapabiliriz?" ile "Anında fotoğraf mümkün mü?" tamamen farklı yerlere götürüyor.
$$Daha iyi cevap aramak yerine daha güçlü soru sor — çözümler soruların içinde gizlidir.$$
&amp;&amp;Şu an çalıştığın alanda kimsenin sormadığı ama sorulması gereken bir "neden?" sorusu var mı?&amp;&amp;</x:v>
      </x:c>
      <x:c r="K264" s="37" t="str"/>
      <x:c r="L264" s="37" t="str"/>
      <x:c r="M264" s="37" t="str"/>
      <x:c r="N264" s="37" t="str"/>
      <x:c r="O264" s="37" t="str"/>
    </x:row>
    <x:row r="265" ht="20" customHeight="1">
      <x:c r="A265" s="33" t="n">
        <x:v>1322</x:v>
      </x:c>
      <x:c r="B265" s="34" t="str">
        <x:v>1</x:v>
      </x:c>
      <x:c r="C265" s="34" t="str">
        <x:v>Verimlilik</x:v>
      </x:c>
      <x:c r="D265" s="34" t="str">
        <x:v>Yaratıcılık</x:v>
      </x:c>
      <x:c r="E265" s="34" t="str">
        <x:v>Güçlü Sorular</x:v>
      </x:c>
      <x:c r="F265" s="34" t="str">
        <x:v>Warren Berger</x:v>
      </x:c>
      <x:c r="G265" s="34" t="str">
        <x:v>2014</x:v>
      </x:c>
      <x:c r="H265" s="37" t="str">
        <x:v>Soru hiyerarşisi — neden, nasıl, ne</x:v>
      </x:c>
      <x:c r="I265" s="37" t="str">
        <x:v>Berger, yenilikçi düşünürler ile sıradan problem çözücüler arasındaki temel farkın 'neden' ile başlayıp 'nasıl' ile devam etmek olduğunu anlatıyor.</x:v>
      </x:c>
      <x:c r="J265" s="37" t="str">
        <x:v>Warren Berger üç soruyu hiyerarşik olarak sunuyor.
Çoğu insan "ne" ile başlıyor. "Ne yapmalıyım? Ne üreteyim? Ne değiştireyim?"
Daha iyi düşünürler "nasıl" ile gidiyor. "Bunu nasıl daha iyi yapabilirim? Bu süreci nasıl iyileştirebilirim?"
##En iyi yenilikçiler "neden" ile başlıyor. "Bunu neden bu şekilde yapıyoruz? Bu neden gerekli? Neden bu varsayım doğru olsun?"##
"Neden" sorusu tehlikeli. Çünkü mevcut düzeni sorgular. Rahat cevapları yıkar.
Ama o yüzden güçlü.
Toyota'nın "5 Neden" tekniği bunu formüle dönüştürdü. Bir problem geldiğinde beş kez "neden?" sor. Her cevabı tekrar sorgula.
"Makine durdu." Neden? "Sigorta attı." Neden? "Motor aşırı yüklendi." Neden? "Yağlama yetersizdi." Neden? "Pompa bozuldu." Neden? "Filtre kirliydi."
Filtre değiştirmek yüzeysel çözüm. Yağlama sistemi tasarımını sorgulamak gerçek çözüm.
Berger'in mesajı: "Neden" sorusu hem mevcut problemi çözüyor hem de daha önce hiç görülmemiş çözümler yaratıyor.
$$"Neden" sorusu cevabı değil, doğru soruyu bulmayı sağlar.$$
&amp;&amp;Şu an yaptığın önemli bir şeyi düşün. Bunu "neden" bu şekilde yapıyorsun? Cevabın tatmin edici mi?&amp;&amp;</x:v>
      </x:c>
      <x:c r="K265" s="37" t="str"/>
      <x:c r="L265" s="37" t="str"/>
      <x:c r="M265" s="37" t="str"/>
      <x:c r="N265" s="37" t="str"/>
      <x:c r="O265" s="37" t="str"/>
    </x:row>
    <x:row r="266" ht="20" customHeight="1">
      <x:c r="A266" s="33" t="n">
        <x:v>1323</x:v>
      </x:c>
      <x:c r="B266" s="34" t="str">
        <x:v>1</x:v>
      </x:c>
      <x:c r="C266" s="34" t="str">
        <x:v>Verimlilik</x:v>
      </x:c>
      <x:c r="D266" s="34" t="str">
        <x:v>Yaratıcılık</x:v>
      </x:c>
      <x:c r="E266" s="34" t="str">
        <x:v>Güçlü Sorular</x:v>
      </x:c>
      <x:c r="F266" s="34" t="str">
        <x:v>Warren Berger</x:v>
      </x:c>
      <x:c r="G266" s="34" t="str">
        <x:v>2014</x:v>
      </x:c>
      <x:c r="H266" s="37" t="str">
        <x:v>Naif soru ve uzman körlüğü</x:v>
      </x:c>
      <x:c r="I266" s="37" t="str">
        <x:v>Berger, çok bildikleri için asıl soruları soramayan uzmanların aksine yeni gelenlerin 'aptalca' sorularının neden büyük yeniliklere yol açtığını anlatıyor.</x:v>
      </x:c>
      <x:c r="J266" s="37" t="str">
        <x:v>Warren Berger bir paradoks tanımlıyor.
Bir alana ne kadar çok uzmanlık kazanırsanız, o alanda soru sormak o kadar zorlaşıyor.
Uzman kafası "böyle çalışır" kalıplarıyla dolu. Mevcut çerçeve içinde düşünmek kolay. Ama o çerçeveyi sorgulamak — "bu neden böyle çalışıyor ki?" demek — giderek zorlaşıyor.
##Berger buna "uzman körlüğü" diyor. Bilgi bazen görmezden gelinecek şeyleri de görmezden getirir.##
Tersine: Bir alana yeni gelen birinin "aptalca" soruları, uzmanların asla sormayacağı şeyleri soruyor.
Airbnb, iki tasarım öğrencisinin "yabancıların evinde yatmak güvenli olabilir mi?" sorusundan çıktı. Otel uzmanları bu soruyu hiç sormamıştı — zaten "böyle olmaz" diye biliyorlardı.
Berger'in önerisi: Kasıtlı olarak "yeni gelen gözüyle" bak. Kendi alanında, sanki ilk kez bakıyormuşsun gibi sor.
"Bu neden böyle? Başka türlü olamaz mı? Başka bir sektörde bu problemi nasıl çözdüler?"
$$En güçlü sorular çoğu zaman en az şey bilenlerden geliyor.$$
&amp;&amp;Kendi alanında "herkes kabul ediyor ama kimse sormuyor" dediğin bir varsayım var mı?&amp;&amp;</x:v>
      </x:c>
      <x:c r="K266" s="37" t="str"/>
      <x:c r="L266" s="37" t="str"/>
      <x:c r="M266" s="37" t="str"/>
      <x:c r="N266" s="37" t="str"/>
      <x:c r="O266" s="37" t="str"/>
    </x:row>
    <x:row r="267" ht="20" customHeight="1">
      <x:c r="A267" s="33" t="n">
        <x:v>1324</x:v>
      </x:c>
      <x:c r="B267" s="34" t="str">
        <x:v>1</x:v>
      </x:c>
      <x:c r="C267" s="34" t="str">
        <x:v>Verimlilik</x:v>
      </x:c>
      <x:c r="D267" s="34" t="str">
        <x:v>Yaratıcılık</x:v>
      </x:c>
      <x:c r="E267" s="34" t="str">
        <x:v>Yaratıcı Beyin</x:v>
      </x:c>
      <x:c r="F267" s="34" t="str">
        <x:v>Julia Cameron</x:v>
      </x:c>
      <x:c r="G267" s="34" t="str">
        <x:v>1992</x:v>
      </x:c>
      <x:c r="H267" s="37" t="str">
        <x:v>Sabah sayfaları ritüeli</x:v>
      </x:c>
      <x:c r="I267" s="37" t="str">
        <x:v>Cameron, her sabah üç el yazısı dolusu sayfa yazan insanların yaratıcı bloklarını nasıl aştığını ve bu ritüelin neden işe yaradığını anlatıyor.</x:v>
      </x:c>
      <x:c r="J267" s="37" t="str">
        <x:v>Julia Cameron yaratıcı blok yaşayan insanlarla çalışıyordu.
Hepsi aynı sorundan yakınıyordu. Çizmek istiyorlar, yazamıyorlar. Müzik üretmek istiyorlar, notalar gelmiyor. Yaratıcı olduklarına inanıyorlar ama bir türlü başlayamıyorlar.
Cameron basit bir alıştırma önerdi: Her sabah kalktığınızda, kahve yapmadan önce, üç sayfa el yazısıyla ne gelirse yazın.
İyi yazı olmak zorunda değil. Güzel cümleler olmak zorunda değil. Hatta anlamlı olmak zorunda değil. Sadece yaz.
##Birkaç hafta içinde katılımcıların büyük çoğunluğu şaşırıcı değişimler yaşadığını bildirdi.##
Cameron bunu şöyle açıklıyor: Sabah sayfaları "beyin boşaltma" işlevi görüyor. Geceden biriken kaygılar, planlar, endişeler, şikayetler — hepsi kağıda akıyor.
Ve bu boşaltma gerçekleştiğinde, altında bir şey ortaya çıkıyor: Gerçek yaratıcı ses.
Yaratıcı blok genellikle "fikir yok" değil, "fikir var ama gürültünün altında kalmış" durumunu ifade ediyor.
Sabah sayfaları o gürültüyü temizliyor.
$$Yaratıcılık kıvılcım beklemez — her gün o masaya oturmak kıvılcımı çağırır.$$
&amp;&amp;Sabah sayfalarını bir hafta denedin mi hiç? Şu an hayatının en yaratıcı olmak istediği alanda ne yazardın?&amp;&amp;</x:v>
      </x:c>
      <x:c r="K267" s="37" t="str"/>
      <x:c r="L267" s="37" t="str"/>
      <x:c r="M267" s="37" t="str"/>
      <x:c r="N267" s="37" t="str"/>
      <x:c r="O267" s="37" t="str"/>
    </x:row>
    <x:row r="268" ht="20" customHeight="1">
      <x:c r="A268" s="33" t="n">
        <x:v>1325</x:v>
      </x:c>
      <x:c r="B268" s="34" t="str">
        <x:v>1</x:v>
      </x:c>
      <x:c r="C268" s="34" t="str">
        <x:v>Verimlilik</x:v>
      </x:c>
      <x:c r="D268" s="34" t="str">
        <x:v>Yaratıcılık</x:v>
      </x:c>
      <x:c r="E268" s="34" t="str">
        <x:v>Yaratıcı Beyin</x:v>
      </x:c>
      <x:c r="F268" s="34" t="str">
        <x:v>Julia Cameron</x:v>
      </x:c>
      <x:c r="G268" s="34" t="str">
        <x:v>1992</x:v>
      </x:c>
      <x:c r="H268" s="37" t="str">
        <x:v>İçsel eleştirmenin sesi</x:v>
      </x:c>
      <x:c r="I268" s="37" t="str">
        <x:v>Cameron, yaratıcılığı en çok engelleyen şeyin dışarıdaki eleştiri değil içimizdeki sert eleştirmen sesi olduğunu ve bu sesi tanımanın serbest kılıcı etkisini anlatıyor.</x:v>
      </x:c>
      <x:c r="J268" s="37" t="str">
        <x:v>Julia Cameron şöyle bir an tanımlıyor.
Bir ressam tuvalin önünde oturuyor. Fırça elinde.
Ve içinden bir ses başlıyor: "Bu iyi olmayacak. Gerçek ressamlar böyle yapmaz. Sen bunu yapacak biri değilsin. Herkes güler."
Fırça inmeden kalıyor.
##Cameron buna "içsel eleştirmen" diyor. Ve şunu söylüyor: "Bu ses dışarıdan değil, içeriden geliyor. Ve çoğu zaman, gerçek tehditten değil eski yaralanmalardan kaynaklanıyor."##
Bir öğretmenin küçümseyen yorumu. Bir ebeveynin "boş vakit harcama" mesajı. Bir arkadaşın dalga geçmesi. Bunlar içe işledi. Ve şimdi siz kendinize saldırıyorsunuz — onların yerine.
Cameron'ın çözümü: Sesi susturmaya çalışmak değil, tanımak.
"Ah, bu sen misin? Tanıdım." Bu tanıma, sesin gücünü kırıyor. Artık "gerçek" değil, bir alışkanlık. Ve alışkanlıklar değiştirilebilir.
$$İçsel eleştirmen sizi değil, geçmişinizi yansıtıyor — onu tanımak sizi özgür kılar.$$
&amp;&amp;Yaratıcı bir şey yapmak istediğinde içinden gelen o eleştirmen sesi ne söylüyor? Nereden geliyor olabilir?&amp;&amp;</x:v>
      </x:c>
      <x:c r="K268" s="37" t="str"/>
      <x:c r="L268" s="37" t="str"/>
      <x:c r="M268" s="37" t="str"/>
      <x:c r="N268" s="37" t="str"/>
      <x:c r="O268" s="37" t="str"/>
    </x:row>
    <x:row r="269" ht="20" customHeight="1">
      <x:c r="A269" s="33" t="n">
        <x:v>1326</x:v>
      </x:c>
      <x:c r="B269" s="34" t="str">
        <x:v>1</x:v>
      </x:c>
      <x:c r="C269" s="34" t="str">
        <x:v>Verimlilik</x:v>
      </x:c>
      <x:c r="D269" s="34" t="str">
        <x:v>Yaratıcılık</x:v>
      </x:c>
      <x:c r="E269" s="34" t="str">
        <x:v>Yaratıcı Beyin</x:v>
      </x:c>
      <x:c r="F269" s="34" t="str">
        <x:v>Julia Cameron</x:v>
      </x:c>
      <x:c r="G269" s="34" t="str">
        <x:v>1992</x:v>
      </x:c>
      <x:c r="H269" s="37" t="str">
        <x:v>Sanatçı buluşması ve ilham besleme</x:v>
      </x:c>
      <x:c r="I269" s="37" t="str">
        <x:v>Cameron, yaratıcılığın içeriden gelmesi için dışarıdan beslenmesi gerektiğini ve haftalık 'sanatçı buluşmasının' bu beslenmeyi nasıl sağladığını anlatıyor.</x:v>
      </x:c>
      <x:c r="J269" s="37" t="str">
        <x:v>Julia Cameron yaratıcılığı bir kuyu metaforuyla anlatıyor.
Kuyudan su çekiyorsunuz. Bu çekim yaratıcı çalışmanız. İyi. Değerli. Gerekli.
Ama bir süre sonra kuyu kuruyabilir.
##Cameron şöyle diyor: "Yaratıcılık hem dışarı veriyor, hem de içeri alması gerekiyor. Yalnızca veren yaratıcı tükeniyor."##
Çözüm: Haftalık "sanatçı buluşması."
Haftada en az bir kez, yalnız başınıza gittiğiniz bir aktivite. Müze, yürüyüş, yeni bir semt, bir konser, bir sergi, bir antika dükkanı.
Amaç üretmek değil. Almak.
Renkleri görmek. Sesleri duymak. Dokuları hissetmek. Hikayeleri yakalamak. Merak etmek.
Bu deneyimler kuyu dolduruyor. Ve kuyu dolduğunda, yaratıcı iş akıcı hale geliyor.
Cameron şunu da ekliyor: Bu rutini görmezden gelmek, "meşgulüm" demek en yaygın bahanedir. Ama kuyu kuruyunca üretim de kuruyor.
$$Yaratıcılık verilenden değil, alınandan doğar — kuyunu doldur.$$
&amp;&amp;Bu hafta "sanatçı buluşması" için nereye gidebilirsin? Seni besleyecek bir deneyim nedir?&amp;&amp;</x:v>
      </x:c>
      <x:c r="K269" s="37" t="str"/>
      <x:c r="L269" s="37" t="str"/>
      <x:c r="M269" s="37" t="str"/>
      <x:c r="N269" s="37" t="str"/>
      <x:c r="O269" s="37" t="str"/>
    </x:row>
    <x:row r="270" ht="20" customHeight="1">
      <x:c r="A270" s="33" t="n">
        <x:v>1327</x:v>
      </x:c>
      <x:c r="B270" s="34" t="str">
        <x:v>1</x:v>
      </x:c>
      <x:c r="C270" s="34" t="str">
        <x:v>Büyüme</x:v>
      </x:c>
      <x:c r="D270" s="34" t="str">
        <x:v>Motivasyon</x:v>
      </x:c>
      <x:c r="E270" s="34" t="str">
        <x:v>The Success Principles</x:v>
      </x:c>
      <x:c r="F270" s="34" t="str">
        <x:v>Jack Canfield</x:v>
      </x:c>
      <x:c r="G270" s="34" t="str">
        <x:v>2004</x:v>
      </x:c>
      <x:c r="H270" s="37" t="str">
        <x:v>101 hedef listesi</x:v>
      </x:c>
      <x:c r="I270" s="37" t="str">
        <x:v>Canfield, yıl başında 101 hedef listesi yapan insanların yıl sonunda hedeflerin büyük çoğunluğunu gerçekleştirdiğini keşfetti.</x:v>
      </x:c>
      <x:c r="J270" s="37" t="str">
        <x:v>Jack Canfield ve Mark Victor Hansen bir deney yaptı.
Çevreledeki insanlara şunu söylediler: "Bu yıl için 101 hedef yaz. Mümkün mü imkansız mı düşünme. Ulaşılabilir mi değil mi deme. Sadece yaz."
İnsanlar itiraz etti. "101 tane mi? Çok fazla. Ne yazacağım?"
"Sadece yaz" dediler. İnsanlar yazdı.
Yıl sonunda listelerine baktıklarında şaşırdılar.
##Çoğu kişi 101 hedefin yüzde yetmişten fazlasını gerçekleştirmişti.##
Canfield bunun neden işe yaradığını açıklıyor.
Birincisi: Yazmak taahhüt yaratıyor. "Bunu istiyorum" ile "bunu yazdım" arasında beyin düzeyinde fark var.
İkincisi: 101 hedef yazmak zorunda kalmak, gerçekten ne istediğinizi düşünmeye zorluyor. Otuzuncu hedeften sonra insanlar genellikle şunu söylüyor: "İşte asıl istediğim bu."
Üçüncüsü: Yazılı hedef retikular aktivasyon sistemini programlıyor. Beyin, hedefe uygun fırsatları görmeye başlıyor.
$$Yazılı hedef hayal ile gerçek arasındaki köprüyü inşa eder.$$
&amp;&amp;Bu yıl için 10 hedef yazmaya bugün 10 dakika ayırsaydın, hangileri seni en çok heyecanlandırırdı?&amp;&amp;</x:v>
      </x:c>
      <x:c r="K270" s="37" t="str"/>
      <x:c r="L270" s="37" t="str"/>
      <x:c r="M270" s="37" t="str"/>
      <x:c r="N270" s="37" t="str"/>
      <x:c r="O270" s="37" t="str"/>
    </x:row>
    <x:row r="271" ht="20" customHeight="1">
      <x:c r="A271" s="33" t="n">
        <x:v>1328</x:v>
      </x:c>
      <x:c r="B271" s="34" t="str">
        <x:v>1</x:v>
      </x:c>
      <x:c r="C271" s="34" t="str">
        <x:v>Büyüme</x:v>
      </x:c>
      <x:c r="D271" s="34" t="str">
        <x:v>Motivasyon</x:v>
      </x:c>
      <x:c r="E271" s="34" t="str">
        <x:v>The Success Principles</x:v>
      </x:c>
      <x:c r="F271" s="34" t="str">
        <x:v>Jack Canfield</x:v>
      </x:c>
      <x:c r="G271" s="34" t="str">
        <x:v>2004</x:v>
      </x:c>
      <x:c r="H271" s="37" t="str">
        <x:v>Ayna ilkesi ve dış yansıma</x:v>
      </x:c>
      <x:c r="I271" s="37" t="str">
        <x:v>Canfield, hayatımızdaki insanların ve koşulların içimizdeki inançların ve beklentilerin yansıması olduğunu anlatıyor.</x:v>
      </x:c>
      <x:c r="J271" s="37" t="str">
        <x:v>Jack Canfield şöyle bir örnek veriyor.
İki iş insanı aynı ağa katılıyor. Aynı toplantılara gidiyor. Aynı insanlarla tanışıyor.
Birincisi üç ay sonra on yeni müşteri edinmiş. İkincisi sıfır.
Neyin farkı?
##Canfield şunu söylüyor: "Dışarıdaki dünya, içeriden inançların aynasıdır."##
Birincisi, network toplantısına "bu insanlar değerli ilişkiler, gerçekten yardımcı olabilirim" inancıyla giriyor.
İkincisi, "bu insanlar beni istemez, zaman kaybı" inancıyla.
Aynı insan, aynı oda. Ama algı farklı. Ve algı davranışı şekillendiriyor. Davranış sonucu belirliyor.
Canfield bunu yalnızca motivasyonel bir fikir olarak sunmuyor. Araştırmalarla destekliyor.
Beklenti etkisi (Pygmalion etkisi): Öğretmenin öğrenciden beklentisi, öğrencinin gerçek başarısını öngörüyor. Öğrenci değişmedi — beklenti değişti.
$$Dışarıdaki sonuçlar içerideki inançların haberini getirir.$$
&amp;&amp;Şu an sonuç alamadığın bir alanda, altında yatan inancın ne olabilir? "Bu çalışmayacak" mı, yoksa "bu işe yarar" mı?&amp;&amp;</x:v>
      </x:c>
      <x:c r="K271" s="37" t="str"/>
      <x:c r="L271" s="37" t="str"/>
      <x:c r="M271" s="37" t="str"/>
      <x:c r="N271" s="37" t="str"/>
      <x:c r="O271" s="37" t="str"/>
    </x:row>
    <x:row r="272" ht="20" customHeight="1">
      <x:c r="A272" s="33" t="n">
        <x:v>1329</x:v>
      </x:c>
      <x:c r="B272" s="34" t="str">
        <x:v>1</x:v>
      </x:c>
      <x:c r="C272" s="34" t="str">
        <x:v>Büyüme</x:v>
      </x:c>
      <x:c r="D272" s="34" t="str">
        <x:v>Motivasyon</x:v>
      </x:c>
      <x:c r="E272" s="34" t="str">
        <x:v>The Success Principles</x:v>
      </x:c>
      <x:c r="F272" s="34" t="str">
        <x:v>Jack Canfield</x:v>
      </x:c>
      <x:c r="G272" s="34" t="str">
        <x:v>2004</x:v>
      </x:c>
      <x:c r="H272" s="37" t="str">
        <x:v>Geri bildirim döngüsü ve sürekli iyileşme</x:v>
      </x:c>
      <x:c r="I272" s="37" t="str">
        <x:v>Canfield, başarının tek seferlik eylemlerden değil sürekli geri bildirim alıp düzelten bir döngüden oluştuğunu füze yönlendirme sistemi metaforuyla anlatıyor.</x:v>
      </x:c>
      <x:c r="J272" s="37" t="str">
        <x:v>Jack Canfield füze metaforu kullanıyor.
Bir füze hedefe fırlatılıyor. Tam bir çizgide mi gidiyor? Hayır.
Sürekli rotadan sapıyor. Ve sürekli düzeltiyor. Sapma, düzeltme, sapma, düzeltme.
##Hedef bir çizgi değil, bir geri bildirim döngüsü.##
Canfield bunu başarıya uyguluyor. En başarılı insanlar her şeyi ilk seferinde doğru yapmıyor. Ama geri bildirim alıp düzeltmeyi bırakmıyorlar.
Çoğu insan ise tam tersini yapıyor. Bir girişim başarısız olduğunda, "bu benim için değilmiş" diyorlar. Ve duruyorlar.
Oysa başarısızlık bir son değil, bir geri bildirim. "Bu yaklaşım işe yaramadı — bir sonrakinde ne değiştirebilirim?"
Canfield şunu soruyor: Son başarısızlığınızdan ne öğrendiniz? Öğrenmeyi bir kenara bıraktıysanız, en değerli kısmı da bir kenara bıraktınız demek.
Başarı doğrusal değil. Ama geri bildirime açık kalmak, onu kaçınılmaz hale getiriyor.
$$Başarısızlık bir son değil — yanlış rotayı gösteren bir geri bildirimdir.$$
&amp;&amp;Son başarısızlığından ne öğrendin? O öğrenmeyi bir sonraki denemeye nasıl taşıdın?&amp;&amp;</x:v>
      </x:c>
      <x:c r="K272" s="37" t="str"/>
      <x:c r="L272" s="37" t="str"/>
      <x:c r="M272" s="37" t="str"/>
      <x:c r="N272" s="37" t="str"/>
      <x:c r="O272" s="37" t="str"/>
    </x:row>
    <x:row r="273" ht="20" customHeight="1">
      <x:c r="A273" s="33" t="n">
        <x:v>1330</x:v>
      </x:c>
      <x:c r="B273" s="34" t="str">
        <x:v>1</x:v>
      </x:c>
      <x:c r="C273" s="34" t="str">
        <x:v>Büyüme</x:v>
      </x:c>
      <x:c r="D273" s="34" t="str">
        <x:v>Kişisel Gelişim</x:v>
      </x:c>
      <x:c r="E273" s="34" t="str">
        <x:v>Özgür Olmak</x:v>
      </x:c>
      <x:c r="F273" s="34" t="str">
        <x:v>Mark Manson</x:v>
      </x:c>
      <x:c r="G273" s="34" t="str">
        <x:v>2016</x:v>
      </x:c>
      <x:c r="H273" s="37" t="str">
        <x:v>Değerlerin hiyerarşisi</x:v>
      </x:c>
      <x:c r="I273" s="37" t="str">
        <x:v>Manson, hayatın her zaman bir sorun içerdiğini ve mutluluğun sorunların olmadığı değil onlarla nasıl başa çıktığımızla ilgili olduğunu anlatıyor.</x:v>
      </x:c>
      <x:c r="J273" s="37" t="str">
        <x:v>Mark Manson şöyle bir soru soruyor: "Acı çekmek istiyor musunuz?"
Çoğu kişi: "Hayır."
Manson şöyle devam ediyor: "Peki sporcular neden günde altı saat antrenman yapıyor?"
Çünkü o acıya değer biçiyorlar. Ama sıradan insanın çekmediği acıya katlanıyorlar.
"Neden bazı insanlar zor ilişkileri devam ettiriyor?" Çünkü o bağlılığın değeri, zorluktan büyük.
##Manson şöyle diyor: "Soru 'acıdan kaçabilir miyim?' değil. Soru: 'Hangi acıya katlanmaya değer?'"##
Bu çerçeve her şeyi değiştiriyor.
Başarılı kariyer istiyor musunuz? Hangi acıya katlanmaya hazırsınız — geç saatlere, reddedilmeye, belirsizliğe?
Sağlıklı beden istiyor musunuz? Sabah alarmına, yorgunluğa, kısıtlı beslenmeye katlanmaya hazır mısınız?
Manson'ın mesajı: İstediğiniz şeyin acısını da istemeniz gerekiyor. "Sonucu istiyorum ama süreci değil" diyenlerin büyük çoğunluğu hiçbir zaman sonuca ulaşamıyor.
$$İstediğiniz şeyin acısını da istemelisiniz — yoksa onu gerçekten istemiyorsunuzdur.$$
&amp;&amp;Çok istediğini söylediğin ama için katlanmak istemediğin acıyı göze almadığın bir şey var mı?&amp;&amp;</x:v>
      </x:c>
      <x:c r="K273" s="37" t="str"/>
      <x:c r="L273" s="37" t="str"/>
      <x:c r="M273" s="37" t="str"/>
      <x:c r="N273" s="37" t="str"/>
      <x:c r="O273" s="37" t="str"/>
    </x:row>
    <x:row r="274" ht="20" customHeight="1">
      <x:c r="A274" s="33" t="n">
        <x:v>1331</x:v>
      </x:c>
      <x:c r="B274" s="34" t="str">
        <x:v>1</x:v>
      </x:c>
      <x:c r="C274" s="34" t="str">
        <x:v>Büyüme</x:v>
      </x:c>
      <x:c r="D274" s="34" t="str">
        <x:v>Kişisel Gelişim</x:v>
      </x:c>
      <x:c r="E274" s="34" t="str">
        <x:v>Özgür Olmak</x:v>
      </x:c>
      <x:c r="F274" s="34" t="str">
        <x:v>Mark Manson</x:v>
      </x:c>
      <x:c r="G274" s="34" t="str">
        <x:v>2016</x:v>
      </x:c>
      <x:c r="H274" s="37" t="str">
        <x:v>Çaresizlik döngüsü ve sorumluluk</x:v>
      </x:c>
      <x:c r="I274" s="37" t="str">
        <x:v>Manson, kötü şeyler başımıza gelse de onlara verdiğimiz tepkinin sorumluluğunun bizde olduğunu ve bu kabulün güçlendirici olduğunu anlatıyor.</x:v>
      </x:c>
      <x:c r="J274" s="37" t="str">
        <x:v>Mark Manson radikal bir fikir öne sürüyor.
"Her şey senin hatan olmayabilir. Ama her şey senin sorumluluğundadır."
Bu ayrım önemli. Hata geriye bakıyor. Sorumluluk ileriye bakıyor.
##Manson şöyle diyor: "Hayatında neler olduğu konusunda her zaman kontrolün olmayabilir. Ama o olaylara nasıl tepki verdiğin — bu senin."##
Mağdurluk tuzağı şöyle çalışıyor: "Bu benim suçum değil, o yüzden değiştirmek benim işim değil."
Bu mantıklı görünüyor. Ama güçsüzleştirici.
Sorumluluk yaklaşımı farklı: "Benim suçum olmayabilir. Ama buradan çıkmak benim işim."
Bu özgür kılıcı. Çünkü kontrolü geri alıyor.
Viktor Frankl'dan alıntı yapıyor Manson: Toplama kampında her şeyi elinden alınan Frankl, tepkisini seçme özgürlüğünü kimsenin alamadığını söyledi.
$$Sorumluluk almak güçsüzlük değil — güce giden tek kapıdır.$$
&amp;&amp;Şu an başkasının ya da koşulların sorumluluğunu tuttuğun bir alan var mı? O sorumluluğu geri alsaydın ne değişirdi?&amp;&amp;</x:v>
      </x:c>
      <x:c r="K274" s="37" t="str"/>
      <x:c r="L274" s="37" t="str"/>
      <x:c r="M274" s="37" t="str"/>
      <x:c r="N274" s="37" t="str"/>
      <x:c r="O274" s="37" t="str"/>
    </x:row>
    <x:row r="275" ht="20" customHeight="1">
      <x:c r="A275" s="33" t="n">
        <x:v>1332</x:v>
      </x:c>
      <x:c r="B275" s="34" t="str">
        <x:v>1</x:v>
      </x:c>
      <x:c r="C275" s="34" t="str">
        <x:v>Büyüme</x:v>
      </x:c>
      <x:c r="D275" s="34" t="str">
        <x:v>Kişisel Gelişim</x:v>
      </x:c>
      <x:c r="E275" s="34" t="str">
        <x:v>Özgür Olmak</x:v>
      </x:c>
      <x:c r="F275" s="34" t="str">
        <x:v>Mark Manson</x:v>
      </x:c>
      <x:c r="G275" s="34" t="str">
        <x:v>2016</x:v>
      </x:c>
      <x:c r="H275" s="37" t="str">
        <x:v>Belirsizliği kucaklamak</x:v>
      </x:c>
      <x:c r="I275" s="37" t="str">
        <x:v>Manson, kesinlik ihtiyacının nasıl büyüme, öğrenme ve değişimi engellediğini ve belirsizliği kabul etmenin gerçek özgürlük olduğunu anlatıyor.</x:v>
      </x:c>
      <x:c r="J275" s="37" t="str">
        <x:v>Mark Manson şöyle bir paradoks sunuyor.
Kesinlik istiyoruz. "Bu doğru mu?" "Bu işe yarayacak mı?" "Bu kişi doğru kişi mi?"
Ama Manson şunu söylüyor: Kesinlik peşinde koşmak büyümenin en büyük düşmanı.
Neden? Çünkü kesinlik öğrenmeyi durduruyor. "Bunu biliyorum" dediğinizde, artık soru sormak zorunda hissetmiyorsunuz.
##Manson'ın önerisi: "Yanılıyor olabilirim" ilkesi. Her önemli inancınız için şunu kabul edin: "Bu yanlış olabilir."##
Bu zayıflık değil. Aksine olgunluk.
En katı görüşlere sahip insanlar genellikle en az büyüyen insanlardır. En esnek görüşlere sahip olanlar ise en çok öğreniyor.
Manson şunu da ekliyor: Belirsizlikten kaçmak için kullandığımız mekanizmalar çoğu zaman en büyük sorunları yaratıyor. Alkol, aşırı çalışma, kompülsif ilişkiler — hepsi belirsizliği bastırma girişimleri.
Oysa belirsizliğe oturmayı öğrenmek, tüm bu mekanizmaları gereksiz kılıyor.
$$Yanılıyor olabileceğini kabul etmek, en güçlü büyüme tutumudur.$$
&amp;&amp;Çok sağlam tuttuğun ama belki yanılıyor olabileceğin bir inanç ya da görüş var mı?&amp;&amp;</x:v>
      </x:c>
      <x:c r="K275" s="37" t="str"/>
      <x:c r="L275" s="37" t="str"/>
      <x:c r="M275" s="37" t="str"/>
      <x:c r="N275" s="37" t="str"/>
      <x:c r="O275" s="37" t="str"/>
    </x:row>
    <x:row r="276" ht="20" customHeight="1">
      <x:c r="A276" s="33" t="n">
        <x:v>1333</x:v>
      </x:c>
      <x:c r="B276" s="34" t="str">
        <x:v>1</x:v>
      </x:c>
      <x:c r="C276" s="34" t="str">
        <x:v>Felsefe</x:v>
      </x:c>
      <x:c r="D276" s="34" t="str">
        <x:v>Felsefe</x:v>
      </x:c>
      <x:c r="E276" s="34" t="str">
        <x:v>Her Şey Yolunda</x:v>
      </x:c>
      <x:c r="F276" s="34" t="str">
        <x:v>Mark Manson</x:v>
      </x:c>
      <x:c r="G276" s="34" t="str">
        <x:v>2019</x:v>
      </x:c>
      <x:c r="H276" s="37" t="str">
        <x:v>Umut paradoksu</x:v>
      </x:c>
      <x:c r="I276" s="37" t="str">
        <x:v>Manson, umudun paradoksal biçimde şimdiki anı inkâr ettiğini ve gerçek anlamın geleceğe odaklanmak değil şimdide anlam bulmakla oluştuğunu anlatıyor.</x:v>
      </x:c>
      <x:c r="J276" s="37" t="str">
        <x:v>Mark Manson şöyle bir gözlem yapıyor.
"Daha iyi bir gün gelecek" inancı insanları motive ediyor. Ama aynı zamanda şimdiki anı "yeterli değil" olarak işaret ediyor.
"Daha iyi olacak" derken, "şu an iyi değil" diyoruz.
Manson bunu "umut paradoksu" olarak adlandırıyor.
##Umut şimdiden koparıyor. Ve şimdiden kopuk insan, ne kadar "daha iyi" geleceğe ulaşırsa ulaşsın, tatmin bulamıyor. Çünkü "yeterince iyi" olmayan alışkanlık yerleşti.##
Manson bu fikri derinleştiriyor: Anlam geleceğe ertelenmez. Şimdide, şu anki ilişkilerde, şu anki işte, şu anki zorluklarda bulunur.
"Bu acı geçince anlam bulacağım" değil, "bu acıda zaten anlam var" anlayışı.
Bu naif bir iyimserlik değil. Manson belirsizliği, zorluğu, hatta trajedinin kaçınılmazlığını kabul ediyor. Ama o zorlukların içinde bile anlam bulmanın mümkün olduğunu söylüyor.
$$Anlam gelecekte değil, şimdinin içindedir — onu aramayı bırakın, yaşandığını fark edin.$$
&amp;&amp;"Şunu yapınca mutlu olacağım" dediğin bir şey var mı? O şeyi beklemenin şimdiyi nasıl etkilediğini fark ediyor musun?&amp;&amp;</x:v>
      </x:c>
      <x:c r="K276" s="37" t="str"/>
      <x:c r="L276" s="37" t="str"/>
      <x:c r="M276" s="37" t="str"/>
      <x:c r="N276" s="37" t="str"/>
      <x:c r="O276" s="37" t="str"/>
    </x:row>
    <x:row r="277" ht="20" customHeight="1">
      <x:c r="A277" s="33" t="n">
        <x:v>1334</x:v>
      </x:c>
      <x:c r="B277" s="34" t="str">
        <x:v>1</x:v>
      </x:c>
      <x:c r="C277" s="34" t="str">
        <x:v>Felsefe</x:v>
      </x:c>
      <x:c r="D277" s="34" t="str">
        <x:v>Felsefe</x:v>
      </x:c>
      <x:c r="E277" s="34" t="str">
        <x:v>Her Şey Yolunda</x:v>
      </x:c>
      <x:c r="F277" s="34" t="str">
        <x:v>Mark Manson</x:v>
      </x:c>
      <x:c r="G277" s="34" t="str">
        <x:v>2019</x:v>
      </x:c>
      <x:c r="H277" s="37" t="str">
        <x:v>Ölüm ve anlam arasındaki bağ</x:v>
      </x:c>
      <x:c r="I277" s="37" t="str">
        <x:v>Manson, ölümlülüğümüzün kabul edilmesinin hayatı anlamsızlaştırmak yerine tam tersine derinleştirdiğini ve neyin gerçekten önemli olduğunu netleştirdiğini anlatıyor.</x:v>
      </x:c>
      <x:c r="J277" s="37" t="str">
        <x:v>Mark Manson radikal bir öneri yapıyor: Ölümünüzü düşünün.
Bu karanlık bir fikir gibi görünüyor. Ama Manson şunu söylüyor: Ölüm düşüncesi aslında en güçlü anlam kaynağı.
Çünkü ölümlü olduğumuzu bilmek, neyin gerçekten önemli olduğunu netleştiriyor.
##Manson şöyle diyor: "Ölümden kaçmak yerine onunla yüzleşmek, hayatın en anlamsız kısımlarını temizler."##
Bu fikir Stoacılardan geliyor. "Memento mori" — ölümünü hatırla. Günlük pratik olarak.
Manson bunu daha modern bir dille sunuyor. Her gün ölümünüzü düşündüğünüzde şunları fark ediyorsunuz:
Sosyal medyada geçirdiğiniz zaman gerçekten değer mi? O tartışma gerçekten önemli mi? O korku gerçekten büyük mü?
Ve tam tersine: Sevdiklerinizle geçirilen zaman ne kadar değerli? Gerçekten yaşamak istediğiniz şey nedir?
Ölüm düşüncesi karartmıyor — aydınlatıyor.
$$Ölümlü olduğunuzu bilmek, hangi seçimlerin gerçekten önemli olduğunu gösterir.$$
&amp;&amp;Eğer bugün yalnızca bir yılın kaldığını bilseydin, bu haftaki kararların nasıl değişirdi?&amp;&amp;</x:v>
      </x:c>
      <x:c r="K277" s="37" t="str"/>
      <x:c r="L277" s="37" t="str"/>
      <x:c r="M277" s="37" t="str"/>
      <x:c r="N277" s="37" t="str"/>
      <x:c r="O277" s="37" t="str"/>
    </x:row>
    <x:row r="278" ht="20" customHeight="1">
      <x:c r="A278" s="33" t="n">
        <x:v>1335</x:v>
      </x:c>
      <x:c r="B278" s="34" t="str">
        <x:v>1</x:v>
      </x:c>
      <x:c r="C278" s="34" t="str">
        <x:v>Felsefe</x:v>
      </x:c>
      <x:c r="D278" s="34" t="str">
        <x:v>Felsefe</x:v>
      </x:c>
      <x:c r="E278" s="34" t="str">
        <x:v>Her Şey Yolunda</x:v>
      </x:c>
      <x:c r="F278" s="34" t="str">
        <x:v>Mark Manson</x:v>
      </x:c>
      <x:c r="G278" s="34" t="str">
        <x:v>2019</x:v>
      </x:c>
      <x:c r="H278" s="37" t="str">
        <x:v>Özgürlük ve seçimin bedeli</x:v>
      </x:c>
      <x:c r="I278" s="37" t="str">
        <x:v>Manson, modern dünyada sonsuz seçeneklerin aslında özgürlük değil kaygı ve anlamsızlık yarattığını ve taahhüdün paradoksal biçimde özgürleştirici olduğunu anlatıyor.</x:v>
      </x:c>
      <x:c r="J278" s="37" t="str">
        <x:v>Mark Manson modernliğin tuhaf bir paradoksunu gösteriyor.
Tarihte hiçbir dönemde insanlar bu kadar çok seçeneğe sahip olmadı.
Kariyer, ilişki, yaşam tarzı, inanç, kimlik — her şeyde sonsuz seçenek.
Ve araştırmalar tutarlı biçimde şunu gösteriyor: Daha fazla seçenek, daha az mutluluk.
##Manson şöyle diyor: "Taahhüt özgürlük gibi hissettirmiyor — ama aslında özgürleştiriyor."##
Bir partnerle taahhüt aldığınızda, diğer seçenekleri kapatıyorsunuz. Bu kayıp gibi hissettiriyor. Ama aynı zamanda o ilişkide gerçekten var olmanızı sağlıyor.
Bir kariyer yoluna taahhüt aldığınızda, diğer olasılıkları kapatıyorsunuz. Ama o yolda gerçek derinliğe ulaşabiliyorsunuz.
Seçenekleri açık tutmak özgürlük gibi görünüyor ama çoğu zaman yüzeyselliğe mahkûm ediyor.
Manson'ın sonucu: Anlam seçimde değil, taahhütte oluşuyor. Ve taahhüt kayıp gerektirir. Ama o kayıp, kazancın bedelidir.
$$Seçenekleri açık tutmak özgürlük değil — gerçek özgürlük taahhüdün içinde doğar.$$
&amp;&amp;Seçeneklerini açık tuttuğun için gerçekten var olamadığın, yüzeysel kaldığın bir alan hangisi?&amp;&amp;</x:v>
      </x:c>
      <x:c r="K278" s="37" t="str"/>
      <x:c r="L278" s="37" t="str"/>
      <x:c r="M278" s="37" t="str"/>
      <x:c r="N278" s="37" t="str"/>
      <x:c r="O278" s="37" t="str"/>
    </x:row>
    <x:row r="279" ht="20" customHeight="1">
      <x:c r="A279" s="33" t="n">
        <x:v>1336</x:v>
      </x:c>
      <x:c r="B279" s="34" t="str">
        <x:v>1</x:v>
      </x:c>
      <x:c r="C279" s="34" t="str">
        <x:v>İletişim</x:v>
      </x:c>
      <x:c r="D279" s="34" t="str">
        <x:v>İletişim</x:v>
      </x:c>
      <x:c r="E279" s="34" t="str">
        <x:v>Beden Dili</x:v>
      </x:c>
      <x:c r="F279" s="34" t="str">
        <x:v>Joe Navarro</x:v>
      </x:c>
      <x:c r="G279" s="34" t="str">
        <x:v>2008</x:v>
      </x:c>
      <x:c r="H279" s="37" t="str">
        <x:v>FBI ajanının gözlem sanatı</x:v>
      </x:c>
      <x:c r="I279" s="37" t="str">
        <x:v>Navarro, FBI'da yıllar boyunca yaptığı gözlemlerden öğrendiği beden dili okuma tekniklerini ve bedenin zihnin farkında olmadan nasıl gerçeği açığa çıkardığını anlatıyor.</x:v>
      </x:c>
      <x:c r="J279" s="37" t="str">
        <x:v>Joe Navarro FBI ajanı olarak çalışırken bir şeyi fark etti.
Şüpheliler yalan söyleyebilir. Ama bedenleri çoğu zaman söyleyemez.
Bir sorgulama sırasında şüpheli rahat görünüyordu. Göz teması kuruyordu. Sesi sağlamdı.
Ama Navarro bir şey fark etti: Adam her tehlikeli sorudan önce ayaklarını birbirine doğru çekiyordu.
##"Tehdit hisseden beyin, ayakları koruma moduna alıyor. Adam bilinçsizce hazırlanıyor ya da kaçmaya ya da geçişi kapatmaya."##
Navarro şunu açıklıyor: Beyin iki düzeyde çalışıyor. Bilinçli düzey kelimeleri kontrol edebiliyor. Ama limbik sistem — duygu ve hayatta kalma merkezi — bedene sinyal gönderiyor. Ve bu sinyaller kontrol edilemiyor.
Ayak hareketleri. Boyun kısalması. Göbeği öne uzatmak. Gerçek olmayan gülümsemede göz kaslarının hareketsizliği.
Navarro bu kitabı yalnızca şüpheli sorgulamak için yazmadı. Her türlü insani etkileşimde, bilinçsizce verilen sinyalleri okumak için.
$$Beden sözleri inkâr edebilir, ama hikayeyi söylemeye devam eder.$$
&amp;&amp;Bir konuşmada karşındakinin sözleri ile bedeni çeliştiği bir an yaşadın mı? Ne hissettin?&amp;&amp;</x:v>
      </x:c>
      <x:c r="K279" s="37" t="str"/>
      <x:c r="L279" s="37" t="str"/>
      <x:c r="M279" s="37" t="str"/>
      <x:c r="N279" s="37" t="str"/>
      <x:c r="O279" s="37" t="str"/>
    </x:row>
    <x:row r="280" ht="20" customHeight="1">
      <x:c r="A280" s="33" t="n">
        <x:v>1337</x:v>
      </x:c>
      <x:c r="B280" s="34" t="str">
        <x:v>1</x:v>
      </x:c>
      <x:c r="C280" s="34" t="str">
        <x:v>İletişim</x:v>
      </x:c>
      <x:c r="D280" s="34" t="str">
        <x:v>İletişim</x:v>
      </x:c>
      <x:c r="E280" s="34" t="str">
        <x:v>Beden Dili</x:v>
      </x:c>
      <x:c r="F280" s="34" t="str">
        <x:v>Joe Navarro</x:v>
      </x:c>
      <x:c r="G280" s="34" t="str">
        <x:v>2008</x:v>
      </x:c>
      <x:c r="H280" s="37" t="str">
        <x:v>Rahat ve rahatsız beden — temel çizgi</x:v>
      </x:c>
      <x:c r="I280" s="37" t="str">
        <x:v>Navarro, beden dilini doğru okumak için önce kişinin 'normal' halini tanımanın şart olduğunu ve bu temel çizginin nasıl belirleneceğini anlatıyor.</x:v>
      </x:c>
      <x:c r="J280" s="37" t="str">
        <x:v>Joe Navarro kitabında bir uyarıyla başlıyor.
Beden dili okumak, işaret kitabı ezberleme değil.
"Kollarını kavuşturmak savunmacı demek" — bu doğru değil. Soğuk olduğu için kollarını kavuşturuyor olabilir. Ya da bu onun rahat duruşu.
##Navarro'nun temel ilkesi şu: Her insanın bir "temel çizgisi" var. Onun için normal olan nedir? Bunu bilmeden hiçbir sinyal anlamlı değil.##
Bir kişiyle uzun süre konuştuğunuzda, onun rahat halini görürsünüz. Oradan sapma anlamlı.
Navarro bunu şöyle açıklıyor: "Limbik sistem strese tepki veriyor. Ama stres kişiden kişiye farklı görünüyor."
Biri streslenince durağanlaşıyor. Diğeri hızlanıyor. Biri göz temasını artırıyor. Diğeri kırıyor.
"Stres sinyali nedir?" sorusu yerine "bu kişi için stres sinyali nedir?" sorusu sorulmalı.
Bu da şunu gerektiriyor: Gözlemlemek. Dinlemek. Acele etmemek.
$$Beden dili evrensel değil — her insan kendi sözlüğüyle konuşur.$$
&amp;&amp;Yakın çevrenden birini düşün. Onun "rahat hali" nasıl görünür? Stresliyken ne değişir?&amp;&amp;</x:v>
      </x:c>
      <x:c r="K280" s="37" t="str"/>
      <x:c r="L280" s="37" t="str"/>
      <x:c r="M280" s="37" t="str"/>
      <x:c r="N280" s="37" t="str"/>
      <x:c r="O280" s="37" t="str"/>
    </x:row>
    <x:row r="281" ht="20" customHeight="1">
      <x:c r="A281" s="33" t="n">
        <x:v>1338</x:v>
      </x:c>
      <x:c r="B281" s="34" t="str">
        <x:v>1</x:v>
      </x:c>
      <x:c r="C281" s="34" t="str">
        <x:v>İletişim</x:v>
      </x:c>
      <x:c r="D281" s="34" t="str">
        <x:v>İletişim</x:v>
      </x:c>
      <x:c r="E281" s="34" t="str">
        <x:v>Beden Dili</x:v>
      </x:c>
      <x:c r="F281" s="34" t="str">
        <x:v>Joe Navarro</x:v>
      </x:c>
      <x:c r="G281" s="34" t="str">
        <x:v>2008</x:v>
      </x:c>
      <x:c r="H281" s="37" t="str">
        <x:v>Güven ve otoriteyi yansıtan duruş</x:v>
      </x:c>
      <x:c r="I281" s="37" t="str">
        <x:v>Navarro, duruşun yalnızca başkalarının algısını değil aynı zamanda kişinin kendi kendini hissetme biçimini de etkilediğini araştırmalarla gösteriyor.</x:v>
      </x:c>
      <x:c r="J281" s="37" t="str">
        <x:v>Joe Navarro bir deney anlatıyor.
Katılımcılar iki gruba ayrıldı. Birinci grup güçlü bir duruş aldı — dik, açık, mekânı dolduran. İki dakika.
İkinci grup küçülmüş bir duruş aldı — eğik omuzlar, kollar içe dönük. İki dakika.
Sonra her iki gruptan kortizol (stres hormonu) ve testosteron (güç hormonu) ölçüldü.
##Güçlü duruş alanların testosteronu artmış, kortizolü düşmüştü. Küçülen duruş alanların ise tam tersi.##
Navarro bu bulguyu şöyle yorumluyor: Duruş sadece başkalarına mesaj vermez. Kendinize de mesaj verir.
"Güvenli hissedince güçlü durursunuz" doğru. Ama "güçlü durduğunuzda güvenli hissedebilirsiniz" de doğru.
Önemli bir toplantıdan önce. Zor bir konuşmadan önce. Güçlü bir duruş almak birkaç dakika içinde kimyayı değiştiriyor.
Bu performans değil. Beyin için gerçek bir sinyal.
$$Bedeniniz zihnin aynası değil, onu şekillendiren bir araç da olabilir.$$
&amp;&amp;Önemli bir an öncesinde bedenini bilinçli olarak nasıl konumlandırıyorsun? Bunu hiç denedin mi?&amp;&amp;</x:v>
      </x:c>
      <x:c r="K281" s="37" t="str"/>
      <x:c r="L281" s="37" t="str"/>
      <x:c r="M281" s="37" t="str"/>
      <x:c r="N281" s="37" t="str"/>
      <x:c r="O281" s="37" t="str"/>
    </x:row>
    <x:row r="282" ht="20" customHeight="1">
      <x:c r="A282" s="33" t="n">
        <x:v>1339</x:v>
      </x:c>
      <x:c r="B282" s="34" t="str">
        <x:v>1</x:v>
      </x:c>
      <x:c r="C282" s="34" t="str">
        <x:v>Sağlık</x:v>
      </x:c>
      <x:c r="D282" s="34" t="str">
        <x:v>Sağlık</x:v>
      </x:c>
      <x:c r="E282" s="34" t="str">
        <x:v>Uyku Devrimi</x:v>
      </x:c>
      <x:c r="F282" s="34" t="str">
        <x:v>Arianna Huffington</x:v>
      </x:c>
      <x:c r="G282" s="34" t="str">
        <x:v>2016</x:v>
      </x:c>
      <x:c r="H282" s="37" t="str">
        <x:v>Huffington'ın çöküşü</x:v>
      </x:c>
      <x:c r="I282" s="37" t="str">
        <x:v>Huffington Post'u kurarak başarının zirvesine ulaşan Arianna Huffington, yorgunluktan bayılıp kafasını masaya çarptıktan sonra başarı tanımını ve uyku anlayışını kökten sorguladı.</x:v>
      </x:c>
      <x:c r="J282" s="37" t="str">
        <x:v>2007. Arianna Huffington çalışma masasında baygınlık geçirdi.
Kafasını masaya çarptı. Gözünü açtığında yerde yatıyordu ve yanağından kan akıyordu.
Huffington Post'u kurmuştu. Muazzam bir başarıydı. Ama günde 18 saat çalışıyor, 4-5 saat uyuyordu.
##"Bu başarı mı?" diye sordu kendine. "Eğer başarı böyle görünüyorsa, başarısız olmak nasıl?"##
Bu an Huffington'ın hayatını dönüştürdü. Ve aynı zamanda uyku araştırmalarına derin bir ilgi duymasına yol açtı.
Keşfettiği şey şocktı: Liderler arasında uyku yoksunluğu bir başarı belirtisi olarak kutlanıyordu. "4 saatte uyuyorum" bir gurur kaynağıydı.
Oysa araştırmalar tam tersini söylüyordu. Uyku yoksunluğu karar alma kalitesini, yaratıcılığı, empatiyi ve fiziksel sağlığı dramatik biçimde bozuyordu.
Huffington şöyle diyor: "Üçüncü bir devrime ihtiyacımız var. İş ve teknoloji devrimlerinin yanı sıra, uyku ve iyilik devrimine."
$$Yorgunluğu başarı belirtisi olarak kutlamak, en büyük verimlilik yanılgısıdır.$$
&amp;&amp;Uyku sürenle gurur mu duyuyorsun, yoksa utanç mı? Bu his nereden geliyor?&amp;&amp;</x:v>
      </x:c>
      <x:c r="K282" s="37" t="str"/>
      <x:c r="L282" s="37" t="str"/>
      <x:c r="M282" s="37" t="str"/>
      <x:c r="N282" s="37" t="str"/>
      <x:c r="O282" s="37" t="str"/>
    </x:row>
    <x:row r="283" ht="20" customHeight="1">
      <x:c r="A283" s="33" t="n">
        <x:v>1340</x:v>
      </x:c>
      <x:c r="B283" s="34" t="str">
        <x:v>1</x:v>
      </x:c>
      <x:c r="C283" s="34" t="str">
        <x:v>Sağlık</x:v>
      </x:c>
      <x:c r="D283" s="34" t="str">
        <x:v>Sağlık</x:v>
      </x:c>
      <x:c r="E283" s="34" t="str">
        <x:v>Uyku Devrimi</x:v>
      </x:c>
      <x:c r="F283" s="34" t="str">
        <x:v>Arianna Huffington</x:v>
      </x:c>
      <x:c r="G283" s="34" t="str">
        <x:v>2016</x:v>
      </x:c>
      <x:c r="H283" s="37" t="str">
        <x:v>Uyku ritueli ve ortam tasarımı</x:v>
      </x:c>
      <x:c r="I283" s="37" t="str">
        <x:v>Huffington, yıllar içinde geliştirdiği uyku ritüelini ve araştırmaların desteklediği pratik önerileri paylaşarak uyku kalitesini nasıl dönüştürdüğünü anlatıyor.</x:v>
      </x:c>
      <x:c r="J283" s="37" t="str">
        <x:v>Arianna Huffington uyku devrimini başlattıktan sonra kendi rutinini de değiştirdi.
Şu anda uyguladığı sistemi anlatıyor.
Uyumadan 30 dakika önce: Tüm ekranlar kapatılıyor. Telefon başka odaya gidiyor. "Telefon yatağa girmiyor."
Sıcak bir banyo. Hafif bir kitap. Işıklar kısılıyor.
##"Banyo, gündüz ile gece arasındaki geçiş ritüeli" diyor Huffington. "Beyne 'gün bitti' sinyalini veriyor."##
Araştırmalar bu yaklaşımı destekliyor. Vücut sıcaklığı düşünce uyku hormonu melatonin devreye giriyor. Sıcak banyo vücut sıcaklığını geçici olarak yükseltiyor, sonra hızlı düşüyor — bu düşüş uyku sinyali veriyor.
Ekran ışığı ise melatonini baskılıyor. Mavi ışık beyne "hâlâ gündüz" diyor.
Huffington şunu ekliyor: Uyku kalitesi uyku süresinden daha önemli. Sekiz saat kötü uyku, altı saat derin uykudan daha az faydalı.
Ve kaliteyi belirleyen büyük ölçüde yatağa girmeden önceki bir saattir.
$$Uyku kalitesi yatakta değil, yataktan önceki saatte belirlenir.$$
&amp;&amp;Şu an yatmadan önceki rutinin nasıl? Uyku kalitenizi artırmak için bu hafta değiştirebileceğin tek şey ne?&amp;&amp;</x:v>
      </x:c>
      <x:c r="K283" s="37" t="str"/>
      <x:c r="L283" s="37" t="str"/>
      <x:c r="M283" s="37" t="str"/>
      <x:c r="N283" s="37" t="str"/>
      <x:c r="O283" s="37" t="str"/>
    </x:row>
    <x:row r="284" ht="20" customHeight="1">
      <x:c r="A284" s="33" t="n">
        <x:v>1341</x:v>
      </x:c>
      <x:c r="B284" s="34" t="str">
        <x:v>1</x:v>
      </x:c>
      <x:c r="C284" s="34" t="str">
        <x:v>Sağlık</x:v>
      </x:c>
      <x:c r="D284" s="34" t="str">
        <x:v>Sağlık</x:v>
      </x:c>
      <x:c r="E284" s="34" t="str">
        <x:v>Uyku Devrimi</x:v>
      </x:c>
      <x:c r="F284" s="34" t="str">
        <x:v>Arianna Huffington</x:v>
      </x:c>
      <x:c r="G284" s="34" t="str">
        <x:v>2016</x:v>
      </x:c>
      <x:c r="H284" s="37" t="str">
        <x:v>Başarının yeni tanımı</x:v>
      </x:c>
      <x:c r="I284" s="37" t="str">
        <x:v>Huffington, başarının yalnızca para ve güçten değil refahı, bilgeliği ve merakı da kapsayan daha geniş bir tanımının neden zorunlu olduğunu anlatıyor.</x:v>
      </x:c>
      <x:c r="J284" s="37" t="str">
        <x:v>Arianna Huffington başarıyı yeniden tanımlıyor.
Geleneksel başarı: Para ve güç. İki ayaklı bir dingil.
Huffington şöyle diyor: "İki bacaklı bir tabure üzerinde ne kadar dik durabilirsiniz?"
Üçüncü bir bacak lazım.
##"Refah" diyor Huffington — uyku, sağlık, anlam, bağlantı. Bunlar olmadan para ve güç yalnızca yorgun bir başarı üretiyor.##
Ve dördüncü bacak: Bilgelik. Adım geri atıp büyük resmi görebilmek.
Ve beşinci: Merak. Öğrenmeye, keşfetmeye, büyümeye açık kalmak.
Ve altıncı: Cömertlik. Katkıda bulunmak, sadece almak değil.
Huffington bu genişletilmiş başarı tanımını hem kişisel hem kurumsal düzeye uyguluyor. Çalışanlarının uyku düzenini önemseyen şirketler daha yüksek üretkenlik, daha az hata, daha az devamsızlık raporluyor.
"Çalışanlarının uyku borcuyla çalışmasına izin veren şirket, körelmiş kalemle mektup yazan şirkettir."
$$Başarı para ve güçten ibaret değil — refah, bilgelik ve anlam olmadan tamamlanmaz.$$
&amp;&amp;Şu an tanımladığın "başarı" gerçekten istediğin hayatı mı yaratıyor?&amp;&amp;</x:v>
      </x:c>
      <x:c r="K284" s="37" t="str"/>
      <x:c r="L284" s="37" t="str"/>
      <x:c r="M284" s="37" t="str"/>
      <x:c r="N284" s="37" t="str"/>
      <x:c r="O284" s="37" t="str"/>
    </x:row>
    <x:row r="285" ht="20" customHeight="1">
      <x:c r="A285" s="33" t="n">
        <x:v>1342</x:v>
      </x:c>
      <x:c r="B285" s="34" t="str">
        <x:v>1</x:v>
      </x:c>
      <x:c r="C285" s="34" t="str">
        <x:v>Psikoloji</x:v>
      </x:c>
      <x:c r="D285" s="34" t="str">
        <x:v>Farkındalık</x:v>
      </x:c>
      <x:c r="E285" s="34" t="str">
        <x:v>Meditasyon</x:v>
      </x:c>
      <x:c r="F285" s="34" t="str">
        <x:v>Dan Harris</x:v>
      </x:c>
      <x:c r="G285" s="34" t="str">
        <x:v>2014</x:v>
      </x:c>
      <x:c r="H285" s="37" t="str">
        <x:v>Panik atağından meditasyona</x:v>
      </x:c>
      <x:c r="I285" s="37" t="str">
        <x:v>Harris, yaşadığı canlı yayın panik atağının ardından stres ve kaygıyla başa çıkma yollarını araştırırken meditasyona nasıl şüpheyle yaklaştığını ve sonunda nasıl ikna olduğunu anlatıyor.</x:v>
      </x:c>
      <x:c r="J285" s="37" t="str">
        <x:v>Dan Harris ABC News'te haber sunucusuydu.
2004'te canlı yayında panik atağı geçirdi. Milyonların izlediği ekranda, bir anda kontrolü kaybetti.
O gün hayatını değiştirdi.
Kaygısıyla başa çıkmak için antidepresan kullanmıştı, stresle başa çıkmak için alkol kullanmıştı. Ama hiçbiri gerçek çözüm değildi.
##Araştırırken meditasyonla karşılaştı. Şüphecilikle yaklaştı. "Bu hippilerin, kurumsal motivasyon konuşmacılarının işi" dedi.##
Ama nörobilim araştırmalarına baktı. Ölçülebilir sonuçlar vardı. Beyin görüntülemelerinde değişimler görünüyordu.
Denedi.
"Düşünceler gözlemlendi, akıp gitti" diye tanımladı ilk başarılı seansını. "Ben düşüncelerim değilim. Onları izleyebiliyorum."
Bu küçük bir keşif gibi görünüyor. Ama Harris için devasa bir dönüşümdü. Kaygı ortadan kalkmadı. Ama artık kaygıya kapılmıyordu.
$$Meditasyon düşünceleri durdurmaz — onlarla olan ilişkinizi dönüştürür.$$
&amp;&amp;Zihninizdeki bir düşünceyi "gerçek" olarak mı yoksa "geçici bir olay" olarak mı deneyimliyorsunuz?&amp;&amp;</x:v>
      </x:c>
      <x:c r="K285" s="37" t="str"/>
      <x:c r="L285" s="37" t="str"/>
      <x:c r="M285" s="37" t="str"/>
      <x:c r="N285" s="37" t="str"/>
      <x:c r="O285" s="37" t="str"/>
    </x:row>
    <x:row r="286" ht="20" customHeight="1">
      <x:c r="A286" s="33" t="n">
        <x:v>1343</x:v>
      </x:c>
      <x:c r="B286" s="34" t="str">
        <x:v>1</x:v>
      </x:c>
      <x:c r="C286" s="34" t="str">
        <x:v>Psikoloji</x:v>
      </x:c>
      <x:c r="D286" s="34" t="str">
        <x:v>Farkındalık</x:v>
      </x:c>
      <x:c r="E286" s="34" t="str">
        <x:v>Meditasyon</x:v>
      </x:c>
      <x:c r="F286" s="34" t="str">
        <x:v>Dan Harris</x:v>
      </x:c>
      <x:c r="G286" s="34" t="str">
        <x:v>2014</x:v>
      </x:c>
      <x:c r="H286" s="37" t="str">
        <x:v>Yüzde on daha mutlu</x:v>
      </x:c>
      <x:c r="I286" s="37" t="str">
        <x:v>Harris, meditasyonun mucize bir çözüm olmadığını ama düzenli pratiğin kaygı, odak ve genel refahı anlamlı biçimde iyileştirdiğini araştırmalar ve kendi deneyimiyle aktarıyor.</x:v>
      </x:c>
      <x:c r="J286" s="37" t="str">
        <x:v>Dan Harris kitabına mütevazı bir başlık koydu: "10% Happier."
Yüzde on daha mutlu.
Neden bu kadar mütevazı?
"Çünkü yüzde bin vaat eden her şeyden şüphelenirim" diyor Harris. "Ve meditasyon gerçekçi bir fark yapıyor — muazzam değil, ama gerçek."
##Araştırmalar şunları gösteriyor: Düzenli meditasyon kortizol seviyesini düşürüyor. Prefrontal korteksi güçlendiriyor — karar verme ve duygu düzenleme merkezi. Amigdala reaktivitesini azaltıyor.##
Harris bunu kendi hayatında şöyle görüyor: Daha az anlık tepki. Daha az "patlama" anı. Daha fazla seçim hissi.
"Eskiden bir e-posta beni saatler boyunca sinirli tutabilirdi. Şimdi 20 dakikada geçiyor. Bu büyük bir değişim."
Harris şunu da ekliyor: Meditasyon her sorunu çözmüyor. Çözmesi gerekmiyor.
"Hayat zor olmaya devam ediyor. Ama zor şeylerle baş etme kapasitem arttı."
$$Meditasyon hayatı kolaylaştırmaz — zorlu hayatla başa çıkma kapasiteni geliştirir.$$
&amp;&amp;Zihnini sakinleştirmeye çalıştığında ne oluyor? Sabah 10 dakika deneseydin bu hafta ne değişir miydi?&amp;&amp;</x:v>
      </x:c>
      <x:c r="K286" s="37" t="str"/>
      <x:c r="L286" s="37" t="str"/>
      <x:c r="M286" s="37" t="str"/>
      <x:c r="N286" s="37" t="str"/>
      <x:c r="O286" s="37" t="str"/>
    </x:row>
    <x:row r="287" ht="20" customHeight="1">
      <x:c r="A287" s="33" t="n">
        <x:v>1344</x:v>
      </x:c>
      <x:c r="B287" s="34" t="str">
        <x:v>1</x:v>
      </x:c>
      <x:c r="C287" s="34" t="str">
        <x:v>Psikoloji</x:v>
      </x:c>
      <x:c r="D287" s="34" t="str">
        <x:v>Farkındalık</x:v>
      </x:c>
      <x:c r="E287" s="34" t="str">
        <x:v>Meditasyon</x:v>
      </x:c>
      <x:c r="F287" s="34" t="str">
        <x:v>Dan Harris</x:v>
      </x:c>
      <x:c r="G287" s="34" t="str">
        <x:v>2014</x:v>
      </x:c>
      <x:c r="H287" s="37" t="str">
        <x:v>Egonun sesi ve gözlemci</x:v>
      </x:c>
      <x:c r="I287" s="37" t="str">
        <x:v>Harris, ego'nun sürekli yorumlama ve yargılama yapan iç ses olduğunu ve meditasyonun bu sesle özdeşleşmek yerine onu gözlemlemek için alan açtığını anlatıyor.</x:v>
      </x:c>
      <x:c r="J287" s="37" t="str">
        <x:v>Dan Harris egoya yeni bir tanım getiriyor.
Ego = Sürekli çalışan iç ses.
"Bu iyi mi kötü mü?" "O benden daha başarılı." "Yarın toplantıda ne olur?" "Ben yeterliyim mi?" Bu ses durmadan çalışıyor.
Ve çoğu insan bu sesin kendisi olduğunu sanıyor.
##Harris şöyle diyor: "Meditasyonun en büyük hediyesi şu keşif: Ben o ses değilim. Ben onu duyabilen birisiyim."##
Bu ayrım her şeyi değiştiriyor.
Eğer sen o sesseniz, ses "ben başarısızım" dediğinde gerçekmiş gibi hissediyor. Savunmaya geçiyorsunuz ya da çöküyorsunuz.
Ama eğer o sesi dinleyebilen biriyseniz, o zaman "ah, yine bu düşünce geldi" diyebiliyorsunuz. Ve geçip gitmesini izleyebiliyorsunuz.
Harris bunu kendi kariyer kaygılarına uyguladı. "Yeterince iyi değilim" sesi geldiğinde artık ona inanmak zorunda değil. Onu tanıyor. "Sen eski bir alışkanlıksın" diyor.
$$Sen düşüncelerinizin sahibi değil, onları gözlemleyebilen bilinçsiniz.$$
&amp;&amp;"Ben yeterli değilim" ya da "bu olmayacak" gibi tekrar eden bir düşüncen var mı? Onu "gerçek" olarak mı yoksa "bir ses" olarak mı deneyimliyorsun?&amp;&amp;</x:v>
      </x:c>
      <x:c r="K287" s="37" t="str"/>
      <x:c r="L287" s="37" t="str"/>
      <x:c r="M287" s="37" t="str"/>
      <x:c r="N287" s="37" t="str"/>
      <x:c r="O287" s="37" t="str"/>
    </x:row>
    <x:row r="288" ht="20" customHeight="1">
      <x:c r="A288" s="33" t="n">
        <x:v>1345</x:v>
      </x:c>
      <x:c r="B288" s="34" t="str">
        <x:v>1</x:v>
      </x:c>
      <x:c r="C288" s="34" t="str">
        <x:v>Psikoloji</x:v>
      </x:c>
      <x:c r="D288" s="34" t="str">
        <x:v>Psikoloji</x:v>
      </x:c>
      <x:c r="E288" s="34" t="str">
        <x:v>The Paradox of Choice</x:v>
      </x:c>
      <x:c r="F288" s="34" t="str">
        <x:v>Barry Schwartz</x:v>
      </x:c>
      <x:c r="G288" s="34" t="str">
        <x:v>2004</x:v>
      </x:c>
      <x:c r="H288" s="37" t="str">
        <x:v>Kot pantolon ve felç edici özgürlük</x:v>
      </x:c>
      <x:c r="I288" s="37" t="str">
        <x:v>Schwartz, mağazaya kot almaya giden basit bir deneyimin ona sonsuz seçeneğin neden daha az mutluluk getirdiğini öğrettiğini anlatıyor.</x:v>
      </x:c>
      <x:c r="J288" s="37" t="str">
        <x:v>Barry Schwartz bir gün kot pantolon almaya gitti.
Yıllarca tek model vardı. Gidiyordunuz, alıyordunuz. Beş dakika.
Ama bu seferki mağaza farklıydı. Yüzlerce model. Slim, skinny, relaxed, straight, boot cut, low rise, mid rise...
##Saatlerce denedi. Sonunda bir şey aldı. Ve mutsuz ayrıldı.##
Çok seçenek olmasaydı, ilk denediği mükemmel gelecekti. Ama bu kadar seçenek varken, her ne seçerse seçsin "daha iyisi olabilirdi" hissi gölgeliyor.
Schwartz bunu araştırmasının başlangıç noktası yapıyor.
Sonsuz seçenek üç problem yaratıyor.
Birincisi: Karar felci. Ne seçeceğini bilemiyorsun, hiç karar vermiyorsun.
İkincisi: Azalan tatmin. Seçtikten sonra "diğerlerine ne oldu?" pişmanlığı.
Üçüncüsü: Artan beklenti. Sonsuz seçenek varsa, seçimin mükemmel olması gerekiyor — ki hiçbir şey mükemmel değil.
$$Daha fazla seçenek daha fazla özgürlük değil, daha fazla mutsuzluktur.$$
&amp;&amp;Çok fazla seçeneğin sizi felç ettiği ya da tatminsiz bıraktığı bir durum yaşadınız mı?&amp;&amp;</x:v>
      </x:c>
      <x:c r="K288" s="37" t="str"/>
      <x:c r="L288" s="37" t="str"/>
      <x:c r="M288" s="37" t="str"/>
      <x:c r="N288" s="37" t="str"/>
      <x:c r="O288" s="37" t="str"/>
    </x:row>
    <x:row r="289" ht="20" customHeight="1">
      <x:c r="A289" s="33" t="n">
        <x:v>1346</x:v>
      </x:c>
      <x:c r="B289" s="34" t="str">
        <x:v>1</x:v>
      </x:c>
      <x:c r="C289" s="34" t="str">
        <x:v>Psikoloji</x:v>
      </x:c>
      <x:c r="D289" s="34" t="str">
        <x:v>Psikoloji</x:v>
      </x:c>
      <x:c r="E289" s="34" t="str">
        <x:v>The Paradox of Choice</x:v>
      </x:c>
      <x:c r="F289" s="34" t="str">
        <x:v>Barry Schwartz</x:v>
      </x:c>
      <x:c r="G289" s="34" t="str">
        <x:v>2004</x:v>
      </x:c>
      <x:c r="H289" s="37" t="str">
        <x:v>Maksimizer ve satisficer</x:v>
      </x:c>
      <x:c r="I289" s="37" t="str">
        <x:v>Schwartz, insanları 'en iyiyi bulan' ve 'yeterliye razı olan' olarak ikiye ayırıyor ve şaşırtıcı biçimde ikincilerin çok daha mutlu olduğunu gösteriyor.</x:v>
      </x:c>
      <x:c r="J289" s="37" t="str">
        <x:v>Barry Schwartz iki tip insan tanımlıyor.
Maksimizer: Her kararında en iyi seçeneği arıyor. Restoran menüsünü tamamen okuyor. Her ürünü karşılaştırıyor. En iyi fiyatı, en iyi kaliteyi, en iyi deneyimi arıyor.
Satisficer: "Yeterince iyi" ile razı oluyor. Birkaç seçenek değerlendiriyor, tatmin edici biri bulunca ilerliyor.
##Araştırmalar şaşırtıcı bir şey gösteriyor: Maksimizerlerin kararları genellikle daha iyi. Ama maksimizerlerin mutluluğu çok daha düşük.##
Neden? Çünkü maksimizerin beyni her karar sonrası "daha iyisi olabilirdi" ile meşgul. Kaçırılan fırsatları hayal ediyor. Alternatifleri kafasında döndürüyor.
Satisficer ise kararını verdi, ilerliyor. Mükemmel olmayabilir ama yeterince iyi — ve bu yeterli.
Schwartz bir strateji öneriyor: Önemsiz kararlar için satisficer ol. Gerçekten önemli kararlar için biraz daha araştır. Ama her şeyi maksimize etmeye çalışmak hem imkansız hem de mutsuzluk kaynağı.
$$Mükemmel seçenek arayışı, iyi seçeneklerin tadını çıkarmayı engelliyor.$$
&amp;&amp;Hangi kararlarında maksimizer, hangilerinde satisficer davranıyorsunuz? İkisi size nasıl farklı hissettiriyor?&amp;&amp;</x:v>
      </x:c>
      <x:c r="K289" s="37" t="str"/>
      <x:c r="L289" s="37" t="str"/>
      <x:c r="M289" s="37" t="str"/>
      <x:c r="N289" s="37" t="str"/>
      <x:c r="O289" s="37" t="str"/>
    </x:row>
    <x:row r="290" ht="20" customHeight="1">
      <x:c r="A290" s="33" t="n">
        <x:v>1347</x:v>
      </x:c>
      <x:c r="B290" s="34" t="str">
        <x:v>1</x:v>
      </x:c>
      <x:c r="C290" s="34" t="str">
        <x:v>Psikoloji</x:v>
      </x:c>
      <x:c r="D290" s="34" t="str">
        <x:v>Psikoloji</x:v>
      </x:c>
      <x:c r="E290" s="34" t="str">
        <x:v>The Paradox of Choice</x:v>
      </x:c>
      <x:c r="F290" s="34" t="str">
        <x:v>Barry Schwartz</x:v>
      </x:c>
      <x:c r="G290" s="34" t="str">
        <x:v>2004</x:v>
      </x:c>
      <x:c r="H290" s="37" t="str">
        <x:v>Beklenti ve hayal kırıklığı</x:v>
      </x:c>
      <x:c r="I290" s="37" t="str">
        <x:v>Schwartz, modern çağda hayal kırıklığının artmasının kötü sonuçlardan değil yükselen beklentilerden kaynaklandığını ve beklentiyi yönetmenin mutlulukta belirleyici rol oynadığını anlatıyor.</x:v>
      </x:c>
      <x:c r="J290" s="37" t="str">
        <x:v>Barry Schwartz bir paradoks sunuyor.
Nesnel olarak, insanlar tarihte hiçbir dönemde bu kadar iyi koşullara sahip olmadı. Uzun ömür, sağlık, konfor, güvenlik.
Ama depresyon ve kaygı oranları yükseliyor.
Neden?
##Schwartz şöyle diyor: "Hayal kırıklığı, sonuçlardan değil beklenti-sonuç uçurumundan kaynaklanıyor."##
Sonsuz seçenek, sonsuz beklenti yaratıyor. Eğer bu kadar seçenek varsa, hayatımın mükemmel olması gerekmez mi? Bu kadar olanak varken neden hâlâ mutlu değilim?
Bu düşünce toksik.
Schwartz bir çözüm öneriyor: Standartları kasıtlı olarak düşür. Bazı şeyler için "yeterince iyi" kabul et.
Ve ikincisi: Neyle karşılaştırdığınıza dikkat edin. Sosyal medya, sürekli "en iyi anları" gösteriyor. Gerçek hayatınızı başkasının kurgu hayatıyla kıyaslamak, her zaman hayal kırıklığı üretiyor.
$$Beklentiler gerçeklikten hızlı büyüdüğünde, iyi olan her şey yetersiz hissettirmeye başlar.$$
&amp;&amp;Şu an hayatında "yeterince iyi" olan ama beklentiler yüzünden yetersiz hissettiren bir şey var mı?&amp;&amp;</x:v>
      </x:c>
      <x:c r="K290" s="37" t="str"/>
      <x:c r="L290" s="37" t="str"/>
      <x:c r="M290" s="37" t="str"/>
      <x:c r="N290" s="37" t="str"/>
      <x:c r="O290" s="37" t="str"/>
    </x:row>
    <x:row r="291" ht="20" customHeight="1">
      <x:c r="A291" s="33" t="n">
        <x:v>1348</x:v>
      </x:c>
      <x:c r="B291" s="34" t="str">
        <x:v>1</x:v>
      </x:c>
      <x:c r="C291" s="34" t="str">
        <x:v>Felsefe</x:v>
      </x:c>
      <x:c r="D291" s="34" t="str">
        <x:v>Öğrenme</x:v>
      </x:c>
      <x:c r="E291" s="34" t="str">
        <x:v>Öğrenmeyi Öğrenmek</x:v>
      </x:c>
      <x:c r="F291" s="34" t="str">
        <x:v>Peter Brown</x:v>
      </x:c>
      <x:c r="G291" s="34" t="str">
        <x:v>2014</x:v>
      </x:c>
      <x:c r="H291" s="37" t="str">
        <x:v>Uyku ve hafıza pekiştirme</x:v>
      </x:c>
      <x:c r="I291" s="37" t="str">
        <x:v>Brown, öğrenilen bilgilerin uyku sırasında beyin tarafından pekiştirildiğini ve uyku öncesi çalışmanın sabah çalışmasından çok daha verimli olduğunu anlatıyor.</x:v>
      </x:c>
      <x:c r="J291" s="37" t="str">
        <x:v>Peter Brown ve ekibi hafızayla ilgili şaşırtıcı bir araştırmaya dikkat çekiyor.
Öğrencilere yeni bir materyal öğretildi. İki gruba bölündüler.
Birinci grup sabah çalıştı, test edildi. Sonra tam gün geçti. Akşam tekrar test edildi.
İkinci grup akşam çalıştı, test edildi. Sonra uyudu. Sabah tekrar test edildi.
##Aralarında aynı süre geçmişti: 12 saat. Ama uyuyan grup çok daha iyi hatırladı.##
Neden? Çünkü uyku sırasında beyin öğrenilenleri "sıkıştırıp" uzun dönem hafızaya aktarıyor.
Bu süreç REM ve derin uyku dönemlerinde gerçekleşiyor. Nöronlar arası bağlantılar güçlendiriliyor.
Pratik çıkarım: Öğrenmek istediğiniz bir şey varsa, akşam çalışın ve iyi uyuyun. Sabah sınav öncesi saatlerce çalışmak, o geceyi kaçırmanın yeri tutmuyor.
Brown daha da ileri gidiyor: Bir şeyi öğrendikten sonra biraz ertelemek ve tekrar test etmek, anında tekrardan çok daha güçlü hafıza oluşturuyor.
$$Öğrenme çalışma masasında değil, uyku sırasında tamamlanır.$$
&amp;&amp;Yeni bir şey öğrenirken nasıl çalışıyorsun? Uyku ile öğrenmen arasındaki bağlantıyı fark ettin mi hiç?&amp;&amp;</x:v>
      </x:c>
      <x:c r="K291" s="37" t="str"/>
      <x:c r="L291" s="37" t="str"/>
      <x:c r="M291" s="37" t="str"/>
      <x:c r="N291" s="37" t="str"/>
      <x:c r="O291" s="37" t="str"/>
    </x:row>
    <x:row r="292" ht="20" customHeight="1">
      <x:c r="A292" s="33" t="n">
        <x:v>1349</x:v>
      </x:c>
      <x:c r="B292" s="34" t="str">
        <x:v>1</x:v>
      </x:c>
      <x:c r="C292" s="34" t="str">
        <x:v>Felsefe</x:v>
      </x:c>
      <x:c r="D292" s="34" t="str">
        <x:v>Öğrenme</x:v>
      </x:c>
      <x:c r="E292" s="34" t="str">
        <x:v>Öğrenmeyi Öğrenmek</x:v>
      </x:c>
      <x:c r="F292" s="34" t="str">
        <x:v>Peter Brown</x:v>
      </x:c>
      <x:c r="G292" s="34" t="str">
        <x:v>2014</x:v>
      </x:c>
      <x:c r="H292" s="37" t="str">
        <x:v>Geri çağırma pratiği ve illüzyon bilgisi</x:v>
      </x:c>
      <x:c r="I292" s="37" t="str">
        <x:v>Brown, materyali yeniden okumak yerine kendini test etmenin çok daha kalıcı öğrenme sağladığını ve 'anlıyorum' hissinin çoğu zaman gerçek bilgiyi yansıtmadığını anlatıyor.</x:v>
      </x:c>
      <x:c r="J292" s="37" t="str">
        <x:v>Peter Brown şöyle bir deney anlatıyor.
Öğrenciler bir metni okurlar. Çoğu şeyi anlıyorlar. Tekrar okuyorlar. Hâlâ anlıyorlar.
Sonra test ediliyorlar. Ve şok oluyor: Çok az şey hatırlıyorlar.
##Brown buna "illüzyon bilgisi" diyor. Anlıyor gibi hissetmek ile gerçekten öğrenmiş olmak farklı şeyler.##
Çünkü okurken materyal önünüzde. Beyin "tanıma" modunda çalışıyor. Bu kolay — ve yanıltıcı.
Gerçek öğrenme "geri çağırma" gerektiriyor. Kitabı kapat. Ne hatırlıyorsun? Bunu söyle ya da yaz.
Bu zor. Boşluklar ortaya çıkıyor. Beyin zorlanıyor. Ve tam da bu zorluk, bilginin uzun dönem hafızaya kazınmasını sağlıyor.
Brown araştırmasında şunu buluyor: Bir metni 3 kez okumak yerine 1 kez okuyup 2 kez kendinizi test etmek, çok daha kalıcı öğrenme üretiyor.
Uygulaması basit: Okuduktan sonra kitabı kapat. Ne hatırladın? Sonra bak, boşluklarını doldur.
$$Anlamak öğrenmek değildir — geri çağırabilmek öğrenmektir.$$
&amp;&amp;Son okuduğun ya da öğrendiğin şeyden ne hatırlıyorsun? Kitabı kapatıp test et kendini şimdi.&amp;&amp;</x:v>
      </x:c>
      <x:c r="K292" s="37" t="str"/>
      <x:c r="L292" s="37" t="str"/>
      <x:c r="M292" s="37" t="str"/>
      <x:c r="N292" s="37" t="str"/>
      <x:c r="O292" s="37" t="str"/>
    </x:row>
    <x:row r="293" ht="20" customHeight="1">
      <x:c r="A293" s="33" t="n">
        <x:v>1350</x:v>
      </x:c>
      <x:c r="B293" s="34" t="str">
        <x:v>1</x:v>
      </x:c>
      <x:c r="C293" s="34" t="str">
        <x:v>Felsefe</x:v>
      </x:c>
      <x:c r="D293" s="34" t="str">
        <x:v>Öğrenme</x:v>
      </x:c>
      <x:c r="E293" s="34" t="str">
        <x:v>Öğrenmeyi Öğrenmek</x:v>
      </x:c>
      <x:c r="F293" s="34" t="str">
        <x:v>Peter Brown</x:v>
      </x:c>
      <x:c r="G293" s="34" t="str">
        <x:v>2014</x:v>
      </x:c>
      <x:c r="H293" s="37" t="str">
        <x:v>Aralıklı tekrar ve unutma paradoksu</x:v>
      </x:c>
      <x:c r="I293" s="37" t="str">
        <x:v>Brown, bilginin biraz unutulmaya başlandığı anda tekrar edilmesinin neden sürekli tekrardan çok daha kalıcı öğrenme sağladığını anlatıyor.</x:v>
      </x:c>
      <x:c r="J293" s="37" t="str">
        <x:v>Peter Brown şaşırtıcı bir fikir sunuyor: Biraz unutmak öğrenmeyi güçlendiriyor.
Sezgisel olarak şunu düşünüyoruz: Tekrar et, tekrar et, tekrar et. Hiç unutma.
Ama araştırma farklı bir şey söylüyor.
Eğer bir şeyi öğrendikten hemen sonra tekrar ederseniz, beyin fazla efor harcamıyor. "Zaten biliyorum" modu. Bağlantılar güçlenmez.
Ama biraz zaman geçtikten sonra, bilgi biraz silikleşince tekrar ederseniz — beyin o bilgiyi yeniden bulmak için çalışıyor. Ve bu çalışma, bağlantıyı güçlendiriyor.
##Brown bunu şöyle açıklıyor: "Biraz zorluk iyi bir şeydir. Güçlükle geri çağırılan bilgi, daha derin iz bırakır."##
Pratik uygulama: Aralıklı tekrar uygulamaları (Anki gibi) bu prensibi kullanıyor. Bilgiyi bildiğinizde daha geç, zorlandığınızda daha erken gösteriyor.
Ama basit hali de işe yarıyor: Bugün öğrendiklerinizi yarın tekrar etmeyin. Üç gün sonra test edin. Sonra bir hafta sonra. Sonra bir ay sonra.
$$Kolay tekrar hafızayı yanıltır — zorlukla çağrılan bilgi gerçekten öğrenilmiş demektir.$$
&amp;&amp;Düzenli tekrar ettiğin ama hâlâ aklında kalmayan bir şey var mı? Aralıklı tekrar yöntemi bu durumu nasıl değiştirirdi?&amp;&amp;</x:v>
      </x:c>
      <x:c r="K293" s="37" t="str"/>
      <x:c r="L293" s="37" t="str"/>
      <x:c r="M293" s="37" t="str"/>
      <x:c r="N293" s="37" t="str"/>
      <x:c r="O293" s="37" t="str"/>
    </x:row>
    <x:row r="294" ht="20" customHeight="1">
      <x:c r="A294" s="33" t="n">
        <x:v>1351</x:v>
      </x:c>
      <x:c r="B294" s="34" t="str">
        <x:v>1</x:v>
      </x:c>
      <x:c r="C294" s="34" t="str">
        <x:v>Sağlık</x:v>
      </x:c>
      <x:c r="D294" s="34" t="str">
        <x:v>Alışkanlıklar</x:v>
      </x:c>
      <x:c r="E294" s="34" t="str">
        <x:v>Bir Sonraki Seviye</x:v>
      </x:c>
      <x:c r="F294" s="34" t="str">
        <x:v>Robin Sharma</x:v>
      </x:c>
      <x:c r="G294" s="34" t="str">
        <x:v>2018</x:v>
      </x:c>
      <x:c r="H294" s="37" t="str">
        <x:v>Sabah 5 kulübü ve beynin altın saatleri</x:v>
      </x:c>
      <x:c r="I294" s="37" t="str">
        <x:v>Sharma, sabah 5'te kalkan insanların elde ettiği 'zafer saati' bloğunun neden günün en verimli dönemini oluşturduğunu nörobilimsel araştırmalarla destekliyor.</x:v>
      </x:c>
      <x:c r="J294" s="37" t="str">
        <x:v>Robin Sharma iddialı bir öneri yapıyor: Her sabah saat 5'te kalk.
İlk tepki genellikle direnç. "Bu benim için değil." "Ben gece kuşuyum."
Sharma şöyle yanıtlıyor: "Kimse gece kuşu doğmuyor. Bu bir kültürel alışkanlık."
Ve şunu ekliyor: Sabah 5-8 arası beyin için özel bir dönem.
##Araştırmalar gösteriyor: Kortizol (dikkat ve odak için kritik hormon) sabahın erken saatlerinde pik yapıyor. Dışarıdan gelen talepler henüz yok. Beyin en temiz, en odaklı halinde.##
Sharma buna "zafer saati" diyor. Ve bu üç saati üçe bölüyor.
İlk 20 dakika: Hareket. Egzersiz, yürüyüş, yoga.
İkinci 20 dakika: Yansıma. Günlük, meditasyon, minnet.
Son 20 dakika: Büyüme. Okuma, öğrenme, planlama.
60 dakika. Günde sadece 60 dakika. Ama bu 60 dakika tamamen siz için.
Sharma şöyle diyor: "Bu saatler kimse tarafından çalınmıyor. Çünkü herkes uyuyor."
$$Sabahın erken saatleri başkalarına ait olmadan önce kendinize ait olabilir.$$
&amp;&amp;Sabahları kendinize ayırdığınız zaman var mı? Olmadıysa, yarın sabah yalnızca 20 dakika erken kalksanız ne yapardınız?&amp;&amp;</x:v>
      </x:c>
      <x:c r="K294" s="37" t="str"/>
      <x:c r="L294" s="37" t="str"/>
      <x:c r="M294" s="37" t="str"/>
      <x:c r="N294" s="37" t="str"/>
      <x:c r="O294" s="37" t="str"/>
    </x:row>
    <x:row r="295" ht="20" customHeight="1">
      <x:c r="A295" s="33" t="n">
        <x:v>1352</x:v>
      </x:c>
      <x:c r="B295" s="34" t="str">
        <x:v>1</x:v>
      </x:c>
      <x:c r="C295" s="34" t="str">
        <x:v>Sağlık</x:v>
      </x:c>
      <x:c r="D295" s="34" t="str">
        <x:v>Alışkanlıklar</x:v>
      </x:c>
      <x:c r="E295" s="34" t="str">
        <x:v>Bir Sonraki Seviye</x:v>
      </x:c>
      <x:c r="F295" s="34" t="str">
        <x:v>Robin Sharma</x:v>
      </x:c>
      <x:c r="G295" s="34" t="str">
        <x:v>2018</x:v>
      </x:c>
      <x:c r="H295" s="37" t="str">
        <x:v>1-3-5 kuralı ve günlük odak</x:v>
      </x:c>
      <x:c r="I295" s="37" t="str">
        <x:v>Sharma, en üretken liderlerin her sabah 1 büyük görev, 3 orta görev ve 5 küçük görevden oluşan bir liste yaptığını ve bu yapının odağı nasıl koruduğunu anlatıyor.</x:v>
      </x:c>
      <x:c r="J295" s="37" t="str">
        <x:v>Robin Sharma en verimli liderlerin sabah ritüellerini inceledi.
Ortak bir örüntü buldu.
Her sabah üç şey yazıyorlardı: Bu gün tamamlanması gereken 1 büyük görev. 3 orta öncelikli görev. 5 küçük ama tamamlanması gereken şey.
##Sharma buna "1-3-5 kuralı" diyor ve şunu ekliyor: "Günlük 9 şeyi başaran insan, 50 şeyi listeleyen insandan çok daha fazlasını başarıyor."##
Neden? Çünkü sınır odak yaratıyor.
Sınırsız yapılacaklar listesi bunaltıyor. Her şey eşit önemde görünüyor. Beyni sürekli "ne yapayım?" döngüsüne giriyor.
Ama 1 büyük, 3 orta, 5 küçük dediğinizde — öncelik açık. Büyük önce. Ortalar sonra. Küçükler boş anlarda.
Ve gün sonunda 9 şeyi tamamlayan insan, gerçek bir başarı hissiyle yatıyor.
Sharma şunu da ekliyor: Sabah bu listeyi yapmak, günü reaktif değil proaktif geçirmenizi sağlıyor. Siz gündemi belirliyorsunuz — başkaları değil.
$$Sınır odak yaratır — sınırsız liste her şeyi eşit önemsiz kılar.$$
&amp;&amp;Bu sabah ya da yarın sabah 1-3-5 listesi yapsaydın, o 1 büyük görevin ne olurdu?&amp;&amp;</x:v>
      </x:c>
      <x:c r="K295" s="37" t="str"/>
      <x:c r="L295" s="37" t="str"/>
      <x:c r="M295" s="37" t="str"/>
      <x:c r="N295" s="37" t="str"/>
      <x:c r="O295" s="37" t="str"/>
    </x:row>
    <x:row r="296" ht="20" customHeight="1">
      <x:c r="A296" s="33" t="n">
        <x:v>1353</x:v>
      </x:c>
      <x:c r="B296" s="34" t="str">
        <x:v>1</x:v>
      </x:c>
      <x:c r="C296" s="34" t="str">
        <x:v>Sağlık</x:v>
      </x:c>
      <x:c r="D296" s="34" t="str">
        <x:v>Alışkanlıklar</x:v>
      </x:c>
      <x:c r="E296" s="34" t="str">
        <x:v>Bir Sonraki Seviye</x:v>
      </x:c>
      <x:c r="F296" s="34" t="str">
        <x:v>Robin Sharma</x:v>
      </x:c>
      <x:c r="G296" s="34" t="str">
        <x:v>2018</x:v>
      </x:c>
      <x:c r="H296" s="37" t="str">
        <x:v>İkiz döngüsü — kazanma ve öğrenme</x:v>
      </x:c>
      <x:c r="I296" s="37" t="str">
        <x:v>Sharma, en başarılı insanların her günü hem kazanmak hem öğrenmek için tasarladığını ve bu iki döngünün birbirini nasıl beslediğini anlatıyor.</x:v>
      </x:c>
      <x:c r="J296" s="37" t="str">
        <x:v>Robin Sharma en iyi liderlerin günlük rutinini incelerken bir örüntü görüyor.
Onlar her günü iki döngüde değerlendiriyor.
Birinci döngü: Kazanma. Bugün ne ürettim? Hangi hedeflere ilerledim? Somut, ölçülebilir çıktılar.
İkinci döngü: Öğrenme. Bugün ne öğrendim? Hangi hata bana ne öğretti? Büyüme ve içgörü.
##Sharma şöyle diyor: "Kazanma sizi ilerletiyor. Öğrenme sizi büyütüyor. İkisi olmadan yarım kalıyorsunuz."##
Çoğu başarılı insan kazanmayı iyi yapıyor. Ama öğrenme döngüsünü ihmal ediyor.
Her gün bitiminde 5 dakika şunu sor: "Bugün ne öğrendim?" Mesleki bir ders olabilir. Kişisel bir farkındalık olabilir. Bir ilişkiden alınan bir ders.
Bu 5 dakika zamanla devasa bir birikim oluşturuyor. Bir yıl sonra 365 öğrenme noktası. Beş yıl sonra 1.825.
Öğrenmeyi sistematik hale getiren insan, tesadüfe bırakandan çok daha hızlı büyüyor.
$$Kazanmak sizi başarılı yapar; öğrenmek sizi bilge.$$
&amp;&amp;Bu akşam "bugün ne öğrendim?" sorusunu sorsaydın, cevabın ne olurdu?&amp;&amp;</x:v>
      </x:c>
      <x:c r="K296" s="37" t="str"/>
      <x:c r="L296" s="37" t="str"/>
      <x:c r="M296" s="37" t="str"/>
      <x:c r="N296" s="37" t="str"/>
      <x:c r="O296" s="37" t="str"/>
    </x:row>
    <x:row r="297" ht="20" customHeight="1">
      <x:c r="A297" s="33" t="n">
        <x:v>1354</x:v>
      </x:c>
      <x:c r="B297" s="34" t="str">
        <x:v>1</x:v>
      </x:c>
      <x:c r="C297" s="34" t="str">
        <x:v>Büyüme</x:v>
      </x:c>
      <x:c r="D297" s="34" t="str">
        <x:v>İlham</x:v>
      </x:c>
      <x:c r="E297" s="34" t="str">
        <x:v>Lider Yok Köle Yok</x:v>
      </x:c>
      <x:c r="F297" s="34" t="str">
        <x:v>Robin Sharma</x:v>
      </x:c>
      <x:c r="G297" s="34" t="str">
        <x:v>1997</x:v>
      </x:c>
      <x:c r="H297" s="37" t="str">
        <x:v>Ferrari sahibinin manastır ziyareti</x:v>
      </x:c>
      <x:c r="I297" s="37" t="str">
        <x:v>Sharma, başarının zirvesindeyken her şeyini bırakan ve Himalaya manastırında bilgelik arayan bir hukuk avukatının dönüşüm hikayesini kitabının merkezine koyuyor.</x:v>
      </x:c>
      <x:c r="J297" s="37" t="str">
        <x:v>Julian Mantle parlak bir kariyer yaşıyordu.
En iyi avukatlardan biriydi. Ferrari'si vardı. Kalabalık sosyal çevresi vardı. Dünya onun gözünde mükemmeldi.
Sonra bir gün mahkemede kalp krizi geçirdi.
Hayatında bir şeylerin derin biçimde yanlış olduğunu fark etti. Başarı var, anlam yok. Başarı var, sağlık yok. Başarı var, huzur yok.
##Julian her şeyi bıraktı. Himalaya'daki bir manastıra gitti. Yıllarca kaldı.##
Robin Sharma bu kurgu hikayeyi gerçek bir felsefi çerçeveye taşıyor: Julian manastırda yalnızca bilgelik değil, başarı ile anlam arasındaki denge dersi öğreniyor.
Geri döndüğünde değişmiş. Ama bu sefer dışarıdan gelen başarı değil, içeriden gelen güç.
Sharma'nın mesajı: Gerçek liderlik kendinize önderlik etmekle başlıyor. Dışarıdaki dünyayı değiştirmeden önce, içeridekileri dönüştürmek gerekiyor.
$$Gerçek liderlik başkalarına değil, önce kendinize önderlik etmektir.$$
&amp;&amp;Hayatında her şey "doğru" görünürken içeride bir şeylerin eksik hissettirdiği bir dönem oldu mu?&amp;&amp;</x:v>
      </x:c>
      <x:c r="K297" s="37" t="str"/>
      <x:c r="L297" s="37" t="str"/>
      <x:c r="M297" s="37" t="str"/>
      <x:c r="N297" s="37" t="str"/>
      <x:c r="O297" s="37" t="str"/>
    </x:row>
    <x:row r="298" ht="20" customHeight="1">
      <x:c r="A298" s="33" t="n">
        <x:v>1355</x:v>
      </x:c>
      <x:c r="B298" s="34" t="str">
        <x:v>1</x:v>
      </x:c>
      <x:c r="C298" s="34" t="str">
        <x:v>Büyüme</x:v>
      </x:c>
      <x:c r="D298" s="34" t="str">
        <x:v>İlham</x:v>
      </x:c>
      <x:c r="E298" s="34" t="str">
        <x:v>Lider Yok Köle Yok</x:v>
      </x:c>
      <x:c r="F298" s="34" t="str">
        <x:v>Robin Sharma</x:v>
      </x:c>
      <x:c r="G298" s="34" t="str">
        <x:v>1997</x:v>
      </x:c>
      <x:c r="H298" s="37" t="str">
        <x:v>Beş büyük pişmanlık</x:v>
      </x:c>
      <x:c r="I298" s="37" t="str">
        <x:v>Sharma, Himalaya bilgelerinin öğretisini aktarırken ölüm döşeğindeki insanların en büyük pişmanlıklarını ve bu pişmanlıkları önlemenin yollarını anlatıyor.</x:v>
      </x:c>
      <x:c r="J298" s="37" t="str">
        <x:v>Robin Sharma bir araştırmadan bahsediyor.
Ölüm döşeğindeki insanlara soru sorulmuş: "En büyük pişmanlıklarınız neler?"
Pişmanlıkların listesi tutarlı çıkıyor. "Başkalarının beklentilerini değil, kendi hayalimi yaşasaydım" diyor biri.
"Daha az çalışıp daha fazla yaşasaydım" diyor bir diğeri.
"Duygularımı ifade etmek için cesaret gösterseyim" deniyor.
"Arkadaşlarımla daha fazla vakit geçirseydim."
"Kendimi daha mutlu olmaya izin verseydim."
##Sharma'nın tespiti: Bu pişmanlıkların hiçbiri "keşke daha büyük bir ev alsaydım" ya da "keşke daha çok para kazansaydım" değil.##
Ve daha çarpıcı olanı: Bu pişmanlıklar öngörülebilir. Yani önlenebilir.
Bugün ne yaparsak, ölüm döşeğinde ne söyleriz? Bu soru, bugünkü kararlarımıza farklı bir perspektif katıyor.
Sharma bunu şöyle özetliyor: En iyi an her zaman şimdiki andır.
$$Ölüm döşeğindeki pişmanlıklar tahmin edilebilir — bu tahmin bugünkü seçimleri değiştirir.$$
&amp;&amp;Şu anki hayatın devam etse, ilerleyen yıllarda en çok neye pişman olursun? Bu pişmanlığı önlemek için bugün ne yapabilirsin?&amp;&amp;</x:v>
      </x:c>
      <x:c r="K298" s="37" t="str"/>
      <x:c r="L298" s="37" t="str"/>
      <x:c r="M298" s="37" t="str"/>
      <x:c r="N298" s="37" t="str"/>
      <x:c r="O298" s="37" t="str"/>
    </x:row>
    <x:row r="299" ht="20" customHeight="1">
      <x:c r="A299" s="33" t="n">
        <x:v>1356</x:v>
      </x:c>
      <x:c r="B299" s="34" t="str">
        <x:v>1</x:v>
      </x:c>
      <x:c r="C299" s="34" t="str">
        <x:v>Büyüme</x:v>
      </x:c>
      <x:c r="D299" s="34" t="str">
        <x:v>İlham</x:v>
      </x:c>
      <x:c r="E299" s="34" t="str">
        <x:v>Lider Yok Köle Yok</x:v>
      </x:c>
      <x:c r="F299" s="34" t="str">
        <x:v>Robin Sharma</x:v>
      </x:c>
      <x:c r="G299" s="34" t="str">
        <x:v>1997</x:v>
      </x:c>
      <x:c r="H299" s="37" t="str">
        <x:v>Kaizen ilkesi ve sürekli küçük iyileştirme</x:v>
      </x:c>
      <x:c r="I299" s="37" t="str">
        <x:v>Sharma, Japon kaizen felsefesinden yola çıkarak her gün yüzde bir daha iyi olmanın yıllar içinde nasıl devrimsel bir dönüşüm yarattığını anlatıyor.</x:v>
      </x:c>
      <x:c r="J299" s="37" t="str">
        <x:v>Robin Sharma Japonların kaizen felsefesini aktarıyor.
Kaizen: Sürekli küçük iyileştirme.
Toyota fabrikalarında uygulandığında şöyle görünüyor: Her çalışan her gün bir şeyi biraz daha iyi yapmayı deniyor. Küçük. Belki bir dakika tasarrufu sağlayan küçük bir değişim.
Ama fabrika genelinde, yıl boyunca — bu küçük değişimler birikerek devrimsel iyileşmelere dönüşüyor.
##Sharma bunu bireysel büyümeye uyguluyor: "Eğer her gün yüzde bir daha iyi olursanız, bir yıl sonra bugünkünüzden yüzde otuz yedi daha iyi olursunuz."##
Bu matematiksel olarak doğru. Bileşik büyüme.
Ama pratik anlamı daha derin.
Yüzde bir iyileşme bugün gözükemiyor. Çok küçük. Ama beyin "ben büyüyorum" sinyali alıyor. Ve bu his devam etmeyi kolaylaştırıyor.
Sharma şöyle diyor: "Devrim değil, evrim. Devrim tek bir gün oluyor. Evrim her gün oluyor."
$$Yüzde bir her gün küçük, ama yüzde otuz yedi bir yıl devrimsel.$$
&amp;&amp;Bu hafta hayatının bir alanında yüzde bir daha iyi olmak için yapabileceğin en küçük şey nedir?&amp;&amp;</x:v>
      </x:c>
      <x:c r="K299" s="37" t="str"/>
      <x:c r="L299" s="37" t="str"/>
      <x:c r="M299" s="37" t="str"/>
      <x:c r="N299" s="37" t="str"/>
      <x:c r="O299" s="37" t="str"/>
    </x:row>
    <x:row r="300" ht="20" customHeight="1">
      <x:c r="A300" s="33" t="n">
        <x:v>1357</x:v>
      </x:c>
      <x:c r="B300" s="34" t="str">
        <x:v>1</x:v>
      </x:c>
      <x:c r="C300" s="34" t="str">
        <x:v>Finans</x:v>
      </x:c>
      <x:c r="D300" s="34" t="str">
        <x:v>Pazarlama</x:v>
      </x:c>
      <x:c r="E300" s="34" t="str">
        <x:v>Unutulmaz Markalar</x:v>
      </x:c>
      <x:c r="F300" s="34" t="str">
        <x:v>Seth Godin</x:v>
      </x:c>
      <x:c r="G300" s="34" t="str">
        <x:v>2018</x:v>
      </x:c>
      <x:c r="H300" s="37" t="str">
        <x:v>Müşteri kim sorusu</x:v>
      </x:c>
      <x:c r="I300" s="37" t="str">
        <x:v>Godin, etkili pazarlamanın herkese hitap etmek değil en küçük uygulanabilir kitleyi bulmak ve onları gerçekten dönüştürmek olduğunu anlatıyor.</x:v>
      </x:c>
      <x:c r="J300" s="37" t="str">
        <x:v>Seth Godin şu soruyu soruyor: "Kim için yaptın bunu?"
Çoğu girişimci ve pazarlamacının cevabı: "Herkes için."
Godin başını sallıyor ve şöyle diyor: "O zaman kimse için değil."
##"Herkes için" olan şey, kimsenin şampiyonluğunu üstlenemeyeceği şeydir. Kimse 'bunu kesinlikle bulmalısın' demiyor.##
Godin tersini öneriyor: En küçük uygulanabilir kitleyi bul.
Bu küçük, spesifik, tutkulu bir grup. Senin bakış açını paylaşan insanlar. Değerlerini anlayan insanlar. Ürününe ihtiyaç duyan insanlar.
Bu gruba gerçekten hizmet et. Onlara öyle güçlü bir değer ver ki, başkalarına söylemekten kendilerini alamasınlar.
Godin buna "en küçük uygulanabilir kitle" diyor. Ve şunu söylüyor: Bu kitlenin sizi aşk seviyesinde sevmesi, büyük bir kitlenin sizi beğenmesinden çok daha değerli.
Çünkü aşk yayılıyor. Beğeni ise hayatta kalıyor.
$$Herkese ulaşmaya çalışmak kimseye ulaşamamaktır — en küçük kitleyi derin biçimde etkile.$$
&amp;&amp;Şu an yaptığın işi en çok kim anlıyor ve değer veriyor? O kişiye daha çok odaklansaydın ne olurdu?&amp;&amp;</x:v>
      </x:c>
      <x:c r="K300" s="37" t="str"/>
      <x:c r="L300" s="37" t="str"/>
      <x:c r="M300" s="37" t="str"/>
      <x:c r="N300" s="37" t="str"/>
      <x:c r="O300" s="37" t="str"/>
    </x:row>
    <x:row r="301" ht="20" customHeight="1">
      <x:c r="A301" s="33" t="n">
        <x:v>1358</x:v>
      </x:c>
      <x:c r="B301" s="34" t="str">
        <x:v>1</x:v>
      </x:c>
      <x:c r="C301" s="34" t="str">
        <x:v>Finans</x:v>
      </x:c>
      <x:c r="D301" s="34" t="str">
        <x:v>Pazarlama</x:v>
      </x:c>
      <x:c r="E301" s="34" t="str">
        <x:v>Unutulmaz Markalar</x:v>
      </x:c>
      <x:c r="F301" s="34" t="str">
        <x:v>Seth Godin</x:v>
      </x:c>
      <x:c r="G301" s="34" t="str">
        <x:v>2018</x:v>
      </x:c>
      <x:c r="H301" s="37" t="str">
        <x:v>Kabile ve liderlik</x:v>
      </x:c>
      <x:c r="I301" s="37" t="str">
        <x:v>Godin, internetin insanları ortak ilgi ve değerler etrafında bir araya getirdiğini ve bugün herkesin bir kabile kurabileceğini anlatıyor.</x:v>
      </x:c>
      <x:c r="J301" s="37" t="str">
        <x:v>Seth Godin tarihin her döneminde insanların kabileler halinde yaşadığını söylüyor.
Kabile: Ortak bir şeye, birbiriyle ve bir liderle bağlı insan grubu.
İnternet öncesinde kabileler coğrafyayla sınırlıydı. Mahalleniz, kilisenis, işyeriniz.
##İnternet coğrafi sınırı kaldırdı. Artık ortak değerler etrafında, dünyanın her yerinden insanlardan kabile kurulabiliyor.##
Godin şunu söylüyor: Bugün herkes bir kabile kurabilir. Ama çoğu insan bunu yapmaktan kaçıyor.
Neden? Çünkü öne çıkmak risk almak demek. Eleştiri gelebilir. Reddedilebilirsiniz.
Ama Godin'e göre asıl risk öne çıkmamak.
"İnsanlar bir lider arıyor. Birini takip etmek istiyorlar. Ama takip edecekleri biri yok çünkü herkes bekliyor."
Kabile kurmak büyük bir prodüksiyon gerektirmiyor. Bir bakış açısı, bir tutarlı ses, gerçekten önem verdiğiniz bir şey. Ve zamanla, sizin bakış açınızı paylaşan insanlar sizi buluyor.
$$Liderlik bir unvan değil — ortak bir amaca doğru insanları harekete geçirmek.$$
&amp;&amp;Etrafında toplamak istediğin, ortak değerleri paylaştığın insanlar kim? Bu topluluğu oluşturmak için bugün atılabilecek ilk adım ne?&amp;&amp;</x:v>
      </x:c>
      <x:c r="K301" s="37" t="str"/>
      <x:c r="L301" s="37" t="str"/>
      <x:c r="M301" s="37" t="str"/>
      <x:c r="N301" s="37" t="str"/>
      <x:c r="O301" s="37" t="str"/>
    </x:row>
    <x:row r="302" ht="20" customHeight="1">
      <x:c r="A302" s="33" t="n">
        <x:v>1359</x:v>
      </x:c>
      <x:c r="B302" s="34" t="str">
        <x:v>1</x:v>
      </x:c>
      <x:c r="C302" s="34" t="str">
        <x:v>Finans</x:v>
      </x:c>
      <x:c r="D302" s="34" t="str">
        <x:v>Pazarlama</x:v>
      </x:c>
      <x:c r="E302" s="34" t="str">
        <x:v>Unutulmaz Markalar</x:v>
      </x:c>
      <x:c r="F302" s="34" t="str">
        <x:v>Seth Godin</x:v>
      </x:c>
      <x:c r="G302" s="34" t="str">
        <x:v>2018</x:v>
      </x:c>
      <x:c r="H302" s="37" t="str">
        <x:v>Pazarlama empati işidir</x:v>
      </x:c>
      <x:c r="I302" s="37" t="str">
        <x:v>Godin, pazarlamanın manipülasyon değil empati olduğunu ve müşteriyi içinde bulunduğu dünyayı anlayarak ona gerçekten değer vermenin nasıl mümkün olduğunu anlatıyor.</x:v>
      </x:c>
      <x:c r="J302" s="37" t="str">
        <x:v>Seth Godin pazarlamayı yeniden tanımlıyor.
Geleneksel pazarlama: İnsanları satın almaya ikna et. Reklam, baskı, manipülasyon.
Godin'in pazarlaması: "Bu ürünü kim için yapıyorum? O kişi ne istiyor? Onun dünyasında ne eksik?"
##Pazarlama bir söz vermektir. Ve o sözü yerine getirmektir.##
Godin şöyle devam ediyor: Empatisiz pazarlama gürültü. Empatiyle yapılan pazarlama ise bir armağan.
Müşterinin uyanırken neyi düşündüğünü, ne konuda endişelendiğini, hangi hayalleri olduğunu anlayan biri — o kişinin ihtiyacını karşılayan bir ürün veya hizmet sunduğunda — bu pazarlama değil, gerçek yardım oluyor.
Ve insanlar gerçek yardımı paylaşıyor. Çünkü bulduklarını başkalarına söyleme içgüdüsü insanda var.
Godin'in pazarlama reçetesi: Müşterin için neyin önemli olduğunu anla. Bunu karşıla. Söz ver. Sözünü tut. Ve bekle — insanlar bunu bulacak.
$$Pazarlama ikna etmek değil, doğru insanın aradığı şeyi sunmaktır.$$
&amp;&amp;Şu an sunduğun değer gerçekten kimin neyi çözdüğünü, kime nasıl hizmet ettiğini net olarak anlıyor musun?&amp;&amp;</x:v>
      </x:c>
      <x:c r="K302" s="37" t="str"/>
      <x:c r="L302" s="37" t="str"/>
      <x:c r="M302" s="37" t="str"/>
      <x:c r="N302" s="37" t="str"/>
      <x:c r="O302" s="37" t="str"/>
    </x:row>
    <x:row r="303" ht="20" customHeight="1">
      <x:c r="A303" s="33" t="n">
        <x:v>1360</x:v>
      </x:c>
      <x:c r="B303" s="34" t="str">
        <x:v>1</x:v>
      </x:c>
      <x:c r="C303" s="34" t="str">
        <x:v>Psikoloji</x:v>
      </x:c>
      <x:c r="D303" s="34" t="str">
        <x:v>Farkındalık</x:v>
      </x:c>
      <x:c r="E303" s="34" t="str">
        <x:v>Niyet</x:v>
      </x:c>
      <x:c r="F303" s="34" t="str">
        <x:v>Lynne McTaggart</x:v>
      </x:c>
      <x:c r="G303" s="34" t="str">
        <x:v>2007</x:v>
      </x:c>
      <x:c r="H303" s="37" t="str">
        <x:v>Princeton mühendislik anomalileri</x:v>
      </x:c>
      <x:c r="I303" s="37" t="str">
        <x:v>McTaggart, Princeton Üniversitesi'nde on yıllar boyunca yapılan rastgele sayı üreteci deneylerinin insan niyetinin fiziksel süreçlere nasıl etki edebildiğini ortaya koyduğunu aktarıyor.</x:v>
      </x:c>
      <x:c r="J303" s="37" t="str">
        <x:v>Princeton Üniversitesi'nde garip bir araştırma başladı.
Rastgele sayı üretecileri kuruldu. Bu makineler teorik olarak tamamen rastgele 0 ve 1 üretiyor. Tamamen rassal.
Araştırmacılar insanları bu makinelerin önüne oturttular. Tek görevleri: Makinenin daha çok 1 üretmesini niyet etmek. Hiçbir fiziksel temas yok.
##Yüzlerce deney boyunca, binlerce katılımcıyla sonuçlar tutarlıydı: İstatistiksel olarak anlamlı sapmalar oluşuyordu. Makine gerçekten biraz daha çok 1 üretiyordu.##
Lynne McTaggart bu araştırmaları "Niyet Deneyi"nin temeline koyuyor.
Sonuç küçük görünüyor. Ama istatistiksel olarak anlamlı. Ve tekrarlanabilir.
McTaggart bunun anlamını şöyle açıklıyor: Bilinç yalnızca pasif bir gözlemci değil. Çevresiyle etkileşime giriyor.
Bu ruhsallık değil — araştırmacılar titiz bilimsel metodoloji kullandı. Ama sonuçlar klasik fizik anlayışını zorluyor.
$$Bilinç düşündüğümüzden çok daha geniş bir alanda etki yaratıyor olabilir.$$
&amp;&amp;Güçlü bir niyet taşıdığında ya da bir şeyi gerçekten odaklanarak istediğinde, sonuçlar rastgele olmayan bir şekilde mi şekillendi?&amp;&amp;</x:v>
      </x:c>
      <x:c r="K303" s="37" t="str"/>
      <x:c r="L303" s="37" t="str"/>
      <x:c r="M303" s="37" t="str"/>
      <x:c r="N303" s="37" t="str"/>
      <x:c r="O303" s="37" t="str"/>
    </x:row>
    <x:row r="304" ht="20" customHeight="1">
      <x:c r="A304" s="33" t="n">
        <x:v>1361</x:v>
      </x:c>
      <x:c r="B304" s="34" t="str">
        <x:v>1</x:v>
      </x:c>
      <x:c r="C304" s="34" t="str">
        <x:v>Psikoloji</x:v>
      </x:c>
      <x:c r="D304" s="34" t="str">
        <x:v>Farkındalık</x:v>
      </x:c>
      <x:c r="E304" s="34" t="str">
        <x:v>Niyet</x:v>
      </x:c>
      <x:c r="F304" s="34" t="str">
        <x:v>Lynne McTaggart</x:v>
      </x:c>
      <x:c r="G304" s="34" t="str">
        <x:v>2007</x:v>
      </x:c>
      <x:c r="H304" s="37" t="str">
        <x:v>Uzak iyileşme deneyleri</x:v>
      </x:c>
      <x:c r="I304" s="37" t="str">
        <x:v>McTaggart, kontrollü koşullarda yapılan uzak iyileşme araştırmalarının çarpıcı sonuçlarını ve bunların niyet ve bilinç anlayışımızı nasıl genişlettiğini anlatıyor.</x:v>
      </x:c>
      <x:c r="J304" s="37" t="str">
        <x:v>Lynne McTaggart tıp tarihinin alışılmadık bir sayfasına açıyor kapıyı.
Uzaktan iyileşme araştırmaları. Kontrollü, körlü, bilimsel.
Bir araştırmada kardiyak yoğun bakım hastaları iki gruba ayrıldı. İkinci grubun haberdar olmadan, isim listesiyle dua eden ve iyi niyet gönderen gönüllüler atandı.
##İstatistiksel analiz: Niyet grubundaki hastalar daha az komplikasyon yaşadı ve daha kısa sürede taburcu oldu.##
McTaggart bu araştırma kategorisini kapsamlı biçimde inceliyor.
Sonuçlar tutarsız değil. Birden fazla araştırma, farklı koşullarda benzer bulgular gösteriyor.
McTaggart bilim insanlarına ve okuyuculara şunu söylüyor: Bu bulguları "inanç" meselesi olarak değerlendirmek, gerçeği kaçırmak. Veriler var. Metodoloji var. Tekrarlanabilirlik var.
"Açıklaması zor" ile "gerçek değil" aynı şey değil.
Niyet'in anlamı genişliyor: Kendi sağlığınız için, sevdikleriniz için, toplum için taşıdığınız niyet — belki düşündüğünüzden daha fazla şey yapıyor.
$$Bilimin sınırları, gerçekliğin sınırları değildir.$$
&amp;&amp;Birisine gerçekten iyi niyetle odaklandığında ya da dua ettiğinde, o kişinin hayatında bir değişim fark ettin mi hiç?&amp;&amp;</x:v>
      </x:c>
      <x:c r="K304" s="37" t="str"/>
      <x:c r="L304" s="37" t="str"/>
      <x:c r="M304" s="37" t="str"/>
      <x:c r="N304" s="37" t="str"/>
      <x:c r="O304" s="37" t="str"/>
    </x:row>
    <x:row r="305" ht="20" customHeight="1">
      <x:c r="A305" s="33" t="n">
        <x:v>1362</x:v>
      </x:c>
      <x:c r="B305" s="34" t="str">
        <x:v>1</x:v>
      </x:c>
      <x:c r="C305" s="34" t="str">
        <x:v>Psikoloji</x:v>
      </x:c>
      <x:c r="D305" s="34" t="str">
        <x:v>Farkındalık</x:v>
      </x:c>
      <x:c r="E305" s="34" t="str">
        <x:v>Niyet</x:v>
      </x:c>
      <x:c r="F305" s="34" t="str">
        <x:v>Lynne McTaggart</x:v>
      </x:c>
      <x:c r="G305" s="34" t="str">
        <x:v>2007</x:v>
      </x:c>
      <x:c r="H305" s="37" t="str">
        <x:v>Topluluk niyeti ve dalgalanma etkisi</x:v>
      </x:c>
      <x:c r="I305" s="37" t="str">
        <x:v>McTaggart, birden fazla insanın aynı anda aynı niyetle odaklandığında yaratılan etkinin bireysel niyetten çok daha güçlü olduğunu gösteriyor.</x:v>
      </x:c>
      <x:c r="J305" s="37" t="str">
        <x:v>Lynne McTaggart bir adım daha ileri gidiyor.
Bireysel niyet etkileyici. Ama topluluk niyeti?
Deney: Binlerce kişi aynı anda aynı hedef için niyet gönderiyor. Bir bitkinin büyümesi. Bakterinin aktivitesinin değişmesi. Su kristallerinin yapısının dönüşmesi.
##McTaggart şunu buluyor: Topluluk niyeti, bireysel niyetin toplamından büyük bir etki yaratıyor.##
Bu sadece niyet araştırması değil. Bizi birbirimizle bağlayan bir şeye işaret ediyor.
McTaggart bunu "alan" kavramıyla açıklıyor. Bireyler birbirlerini etkileyen bir alanda var oluyor. Ve aynı anda aynı yönde odaklanan bireyler, o alanı güçlendiriyor.
Pratik bir öneri sunuyor: Sevdiklerinizle ya da topluluğunuzla belirli anlarda ortak bir iyilik niyeti taşıyın. Küçük bir şey. Ama kasıtlı. Ve birlikte.
"Tesadüf" gibi görünen şeyler belki o kadar tesadüf olmayabilir.
$$Tek başına taşınan niyet güçlüdür; birlikte taşınan niyet dönüştürücüdür.$$
&amp;&amp;Yakın bir topluluğunuzla — aile, arkadaşlar, iş arkadaşları — ortak iyi bir niyet taşımayı hiç denediniz?&amp;&amp;</x:v>
      </x:c>
      <x:c r="K305" s="37" t="str"/>
      <x:c r="L305" s="37" t="str"/>
      <x:c r="M305" s="37" t="str"/>
      <x:c r="N305" s="37" t="str"/>
      <x:c r="O305" s="37" t="str"/>
    </x:row>
    <x:row r="306" ht="20" customHeight="1">
      <x:c r="A306" s="33" t="n">
        <x:v>1363</x:v>
      </x:c>
      <x:c r="B306" s="34" t="str">
        <x:v>1</x:v>
      </x:c>
      <x:c r="C306" s="34" t="str">
        <x:v>Büyüme</x:v>
      </x:c>
      <x:c r="D306" s="34" t="str">
        <x:v>Dayanıklılık</x:v>
      </x:c>
      <x:c r="E306" s="34" t="str">
        <x:v>Zihinsel Dayanıklılık</x:v>
      </x:c>
      <x:c r="F306" s="34" t="str">
        <x:v>Sheryl Sandberg</x:v>
      </x:c>
      <x:c r="G306" s="34" t="str">
        <x:v>2017</x:v>
      </x:c>
      <x:c r="H306" s="37" t="str">
        <x:v>Dave Goldberg'i kaybetmek</x:v>
      </x:c>
      <x:c r="I306" s="37" t="str">
        <x:v>Sheryl Sandberg, Facebook COO'su olarak dünyanın en güçlü kadınlarından biri olarak tanınırken eşini aniden kaybetmesinin ardından dayanıklılık üzerine yazdığı kitabın doğuşunu anlatıyor.</x:v>
      </x:c>
      <x:c r="J306" s="37" t="str">
        <x:v>2015. Sheryl Sandberg tatildeydi.
Facebook COO'suydu. "Lean In" kitabıyla kadın liderliğini değiştirmişti. Her şey mükemmeldi.
Sonra eşi Dave Goldberg, jimnastik salonundaki bir kaza sonucu hayatını kaybetti.
Otuz yıllık evliliğin ortasında. İki küçük çocukla. Beklenmedik bir an.
Sandberg şunu yazdı: "Acının bu kadar ağır olabileceğini bilmiyordum. Nefes almak bu kadar zor olabilir mi?"
##Ama birkaç ay içinde şunu da keşfetti: "Kırılmak ile yok olmak arasında bir fark var."##
Sandberg bu deneyimi araştırmacı Adam Grant ile paylaştı. Birlikte psikoloji literatürünü taradılar.
"Option B" kitabı doğdu: Hayatta en iyi senaryo her zaman mümkün olmaz. Ama elimizdeki en iyi seçenekle devam edebiliriz.
Sandberg'in keşfi: Dayanıklılık sabit bir özellik değil. Geliştirilmesi gereken bir beceri. Ve onu geliştirmek için önce acıyı tanımak, kabullenmek ve büyümeye izin vermek gerekiyor.
$$Dayanıklılık acıyı hissetmemek değil — acının içinde büyümeyi seçmektir.$$
&amp;&amp;Hayatında beklenmedik bir kayıp ya da kırılma yaşadığında, seni ayakta tutan ne oldu?&amp;&amp;</x:v>
      </x:c>
      <x:c r="K306" s="37" t="str"/>
      <x:c r="L306" s="37" t="str"/>
      <x:c r="M306" s="37" t="str"/>
      <x:c r="N306" s="37" t="str"/>
      <x:c r="O306" s="37" t="str"/>
    </x:row>
    <x:row r="307" ht="20" customHeight="1">
      <x:c r="A307" s="33" t="n">
        <x:v>1364</x:v>
      </x:c>
      <x:c r="B307" s="34" t="str">
        <x:v>1</x:v>
      </x:c>
      <x:c r="C307" s="34" t="str">
        <x:v>Büyüme</x:v>
      </x:c>
      <x:c r="D307" s="34" t="str">
        <x:v>Dayanıklılık</x:v>
      </x:c>
      <x:c r="E307" s="34" t="str">
        <x:v>Zihinsel Dayanıklılık</x:v>
      </x:c>
      <x:c r="F307" s="34" t="str">
        <x:v>Sheryl Sandberg</x:v>
      </x:c>
      <x:c r="G307" s="34" t="str">
        <x:v>2017</x:v>
      </x:c>
      <x:c r="H307" s="37" t="str">
        <x:v>3P tuzağı — kalıcılık, yaygınlık, kişiselleştirme</x:v>
      </x:c>
      <x:c r="I307" s="37" t="str">
        <x:v>Sandberg ve Grant, zorluklarla karşılaşınca insanların içine düştüğü üç bilişsel tuzağı ve bunların nasıl aşılabileceğini anlatıyor.</x:v>
      </x:c>
      <x:c r="J307" s="37" t="str">
        <x:v>Adam Grant Sheryl Sandberg'e psikolojiyi anlattı.
Travma sonrası insanlar üç zararlı düşünce örüntüsüne düşüyor.
Birincisi kalıcılık: "Bu acı hiç geçmeyecek." Oysa araştırmalar gösteriyor ki duygular geçici. "Şu an böyle hissediyorum" çok farklı bir cümle.
İkincisi yaygınlık: "Bu acı hayatımın her alanını mahvetti." Oysa zorlu bir alan, her alanı kapsamak zorunda değil.
##Üçüncüsü kişiselleştirme: "Bu benim hatam. Ben buna neden oldum."##
Sandberg şunu fark etti: Eşini kaybettiğinde bu üç tuzağa da düşmüştü.
"Acım hiç geçmez" diyordu. "Artık iyi bir anne, iyi bir yönetici olamam" diyordu. "Bir şekilde benim suçum" diyordu.
Grant şunu öğretti: Bu tuzakları tanımak, onlardan çıkmanın ilk adımı.
Kalıcı değil, geçici. Yaygın değil, belirli bir alan. Kişisel değil, koşulların sonucu.
Bu üç değişim bazen saatlerce süren kara düşünce döngüsünü kırıyor.
$$3P tuzağını tanımak — kalıcılık, yaygınlık, kişiselleştirme — acının gücünü kırmaya başlar.$$
&amp;&amp;Zor bir dönemde bu üç tuzaktan birine ya da birkaçına düştüğünü fark ettin mi? Hangisi seni en çok etkiliyor?&amp;&amp;</x:v>
      </x:c>
      <x:c r="K307" s="37" t="str"/>
      <x:c r="L307" s="37" t="str"/>
      <x:c r="M307" s="37" t="str"/>
      <x:c r="N307" s="37" t="str"/>
      <x:c r="O307" s="37" t="str"/>
    </x:row>
    <x:row r="308" ht="20" customHeight="1">
      <x:c r="A308" s="33" t="n">
        <x:v>1365</x:v>
      </x:c>
      <x:c r="B308" s="34" t="str">
        <x:v>1</x:v>
      </x:c>
      <x:c r="C308" s="34" t="str">
        <x:v>Büyüme</x:v>
      </x:c>
      <x:c r="D308" s="34" t="str">
        <x:v>Dayanıklılık</x:v>
      </x:c>
      <x:c r="E308" s="34" t="str">
        <x:v>Zihinsel Dayanıklılık</x:v>
      </x:c>
      <x:c r="F308" s="34" t="str">
        <x:v>Sheryl Sandberg</x:v>
      </x:c>
      <x:c r="G308" s="34" t="str">
        <x:v>2017</x:v>
      </x:c>
      <x:c r="H308" s="37" t="str">
        <x:v>Travma sonrası büyüme</x:v>
      </x:c>
      <x:c r="I308" s="37" t="str">
        <x:v>Sandberg, zorluklardan yalnızca iyileşmek değil onlar aracılığıyla büyümenin mümkün olduğunu gösteren araştırmaları aktarıyor.</x:v>
      </x:c>
      <x:c r="J308" s="37" t="str">
        <x:v>Sheryl Sandberg ve Adam Grant'ın bulguları şaşırtıcı.
Travmatik deneyim yaşayan insanların büyük çoğunluğu yalnızca iyileşmekle kalmıyor — bazıları o deneyimden önce asla ulaşamayacakları bir noktaya ulaşıyor.
Araştırmacılar buna "travma sonrası büyüme" diyor.
Bu büyüme beş alanda görünüyor: Kişisel güç, yeni olasılıklar, başkalarıyla ilişki, yaşamın değerini hissetme ve ruhsal-varoluşsal değişim.
##Sandberg şöyle yazıyor: "Dave'i kaybetmek bana hiç öğrenemeyeceğim şeyleri öğretti. Onu geri istiyorum. Ama bu büyümeden vazgeçemem."##
Bu paradoksal. Acı istemiyoruz. Ama acı bizi dönüştürüyor.
Sandberg şunu ekliyor: Büyüme otomatik değil. Acıyı inkâr etmek büyümeyi engelliyor. Acıyı tanımak, kabullenmek ve onunla aktif biçimde çalışmak gerekiyor.
Grant şunu söylüyor: "Travma sonrası büyüme bir teselli ödülü değil. Acı gerçek, ama dönüşüm de gerçek."
$$Zorlu deneyimler sizi kırmak için değil, daha derin bir şeye açmak için de gelebilir.$$
&amp;&amp;Yaşadığın en zor dönem sana ne kazandırdı — o dönem olmadan asla sahip olamayacağın bir şey?&amp;&amp;</x:v>
      </x:c>
      <x:c r="K308" s="37" t="str"/>
      <x:c r="L308" s="37" t="str"/>
      <x:c r="M308" s="37" t="str"/>
      <x:c r="N308" s="37" t="str"/>
      <x:c r="O308" s="37" t="str"/>
    </x:row>
    <x:row r="309" ht="20" customHeight="1">
      <x:c r="A309" s="33" t="n">
        <x:v>1366</x:v>
      </x:c>
      <x:c r="B309" s="34" t="str">
        <x:v>1</x:v>
      </x:c>
      <x:c r="C309" s="34" t="str">
        <x:v>Verimlilik</x:v>
      </x:c>
      <x:c r="D309" s="34" t="str">
        <x:v>Girişimcilik</x:v>
      </x:c>
      <x:c r="E309" s="34" t="str">
        <x:v>Kendi Patronun Ol</x:v>
      </x:c>
      <x:c r="F309" s="34" t="str">
        <x:v>Paul Jarvis</x:v>
      </x:c>
      <x:c r="G309" s="34" t="str">
        <x:v>2019</x:v>
      </x:c>
      <x:c r="H309" s="37" t="str">
        <x:v>Freelancer'ın fatura şoku</x:v>
      </x:c>
      <x:c r="I309" s="37" t="str">
        <x:v>Jarvis, yüksek gelirli bir freelancer olarak daha fazla müşteri almanın daha fazla para kazandırmadığını, aksine daha çok mutsuzluk yarattığını keşfettiğinde şirketi küçültme kararı aldığını anlatıyor.</x:v>
      </x:c>
      <x:c r="J309" s="37" t="str">
        <x:v>Paul Jarvis başarılı bir web tasarımcısıydı.
Büyüme efsanesine inanıyordu. Daha fazla müşteri, daha fazla gelir, daha büyük şirket.
Sürekli büyüdü. Daha fazla müşteri aldı. Daha fazla personel tuttu.
Ve bir gün fark etti: Tasarım yapmıyordu artık. Toplantı yapıyordu. E-posta yazıyordu. İnsan kaynakları sorunları çözüyordu.
##Yıllık geliri büyümüştü. Ama sevdiği işi yapmak için ayırdığı süre sıfıra inmişti.##
Jarvis radikal bir karar aldı: Şirketi küçülttü. Personeli bıraktı. Tek kişiye döndü.
Geliri düştü. Ama tatmini patladı.
Bu deneyim "Company of One" kitabını doğurdu: Büyüme bir zorunluluk değil, bir seçim. Ve bazen en iyi seçim büyümemek.
Jarvis'in sorusu şu: Neden büyüyorsunuz? Büyüme kendi başına bir hedef mi, yoksa bir araç mı?
Eğer büyüme sizi sevdiğiniz işten, ailenizden, sağlığınızdan uzaklaştırıyorsa — bu nasıl bir büyüme?
$$Büyümek bir başarı ölçütü değil, bir araçtır — araç amacı öldürdüğünde sorgulanmalıdır.$$
&amp;&amp;İşinde ya da hayatında "büyüme" adına vazgeçtiğin ama aslında çok değer verdiğin bir şey var mı?&amp;&amp;</x:v>
      </x:c>
      <x:c r="K309" s="37" t="str"/>
      <x:c r="L309" s="37" t="str"/>
      <x:c r="M309" s="37" t="str"/>
      <x:c r="N309" s="37" t="str"/>
      <x:c r="O309" s="37" t="str"/>
    </x:row>
    <x:row r="310" ht="20" customHeight="1">
      <x:c r="A310" s="33" t="n">
        <x:v>1367</x:v>
      </x:c>
      <x:c r="B310" s="34" t="str">
        <x:v>1</x:v>
      </x:c>
      <x:c r="C310" s="34" t="str">
        <x:v>Verimlilik</x:v>
      </x:c>
      <x:c r="D310" s="34" t="str">
        <x:v>Girişimcilik</x:v>
      </x:c>
      <x:c r="E310" s="34" t="str">
        <x:v>Kendi Patronun Ol</x:v>
      </x:c>
      <x:c r="F310" s="34" t="str">
        <x:v>Paul Jarvis</x:v>
      </x:c>
      <x:c r="G310" s="34" t="str">
        <x:v>2019</x:v>
      </x:c>
      <x:c r="H310" s="37" t="str">
        <x:v>Tek kişilik şirketin gücü</x:v>
      </x:c>
      <x:c r="I310" s="37" t="str">
        <x:v>Jarvis, tek kişilik ya da küçük ölçekli işletmelerin büyük şirketlere kıyasla çok daha esnek, kârlı ve tatmin edici olabileceğini örneklerle gösteriyor.</x:v>
      </x:c>
      <x:c r="J310" s="37" t="str">
        <x:v>Paul Jarvis araştırmasında şaşırtıcı bir veri buldu.
Büyük şirketler büyük kâr ediyor — ama kâr marjları küçük işletmelerden çoğu zaman daha düşük.
Neden? Çünkü büyüklük maliyet getiriyor. Personel, ofis, yönetim, koordinasyon. Gelir artıyor ama harcama daha hızlı artıyor.
Tek kişilik ya da küçük bir şirket ise sabit maliyetleri düşük. Karar anında. Müşteriyle doğrudan ilişki. Ve kâr büyük oranda sahibe kalıyor.
##Jarvis şunu söylüyor: "Ölçeklendirmeden önce optimize et. Büyümeden önce mükemmelleştir."##
Jarvis'in tanımladığı "Company of One" büyümeden kaçınan değil, büyümeyi sorgulamasını bilen. Bazen büyüme doğru cevap. Ama her zaman değil.
Gerçekten tatmin edici bir iş modeli şöyle görünüyor: Yeterince gelir. Sevdiğin işi yapacak zaman. Büyüme için değil, sürdürülebilirlik için tasarlanmış bir sistem.
Bu sıradan görünüyor ama pratikte nadir. Çünkü kültür sürekli "daha fazla"yı ödüllendiriyor.
$$Yeterlinin gücü: Daha fazla değil, tam ihtiyacın kadar ve en iyi biçimde.$$
&amp;&amp;Şu an yaptığın işte "yeterli" sana ne demek? O eşiği gerçekten tanımlıyor musun?&amp;&amp;</x:v>
      </x:c>
      <x:c r="K310" s="37" t="str"/>
      <x:c r="L310" s="37" t="str"/>
      <x:c r="M310" s="37" t="str"/>
      <x:c r="N310" s="37" t="str"/>
      <x:c r="O310" s="37" t="str"/>
    </x:row>
    <x:row r="311" ht="20" customHeight="1">
      <x:c r="A311" s="33" t="n">
        <x:v>1368</x:v>
      </x:c>
      <x:c r="B311" s="34" t="str">
        <x:v>1</x:v>
      </x:c>
      <x:c r="C311" s="34" t="str">
        <x:v>Verimlilik</x:v>
      </x:c>
      <x:c r="D311" s="34" t="str">
        <x:v>Girişimcilik</x:v>
      </x:c>
      <x:c r="E311" s="34" t="str">
        <x:v>Kendi Patronun Ol</x:v>
      </x:c>
      <x:c r="F311" s="34" t="str">
        <x:v>Paul Jarvis</x:v>
      </x:c>
      <x:c r="G311" s="34" t="str">
        <x:v>2019</x:v>
      </x:c>
      <x:c r="H311" s="37" t="str">
        <x:v>Direnç ve yavaş büyümenin avantajı</x:v>
      </x:c>
      <x:c r="I311" s="37" t="str">
        <x:v>Jarvis, hızlı büyümenin kırılganlık yaratırken yavaş ve sağlıklı büyümenin kalıcı ve sürdürülebilir bir iş inşa ettiğini örneklerle gösteriyor.</x:v>
      </x:c>
      <x:c r="J311" s="37" t="str">
        <x:v>Paul Jarvis startup kültürünü eleştiriyor.
"Hızlı büyü, pazar payını al, kârlılık sonra gelir."
Bu model bazen işe yarıyor. Ama büyük çoğunlukla çöküyor.
Jarvis'in gözlemi: Yavaş büyüyen işletmeler çok daha dayanıklı. Neden?
##Çünkü her adımı kendi gelirleriyle finanse ediyorlar. Yatırımcı baskısı yok. Müşteriyi memnun etmek zorundalar — çünkü para oradan geliyor.##
Jarvis bir ağaç metaforu kullanıyor. Hızlı büyüyen ağaçlar gövdeleri zayıf. İlk fırtınada yıkılıyorlar. Yavaş büyüyen ağaçlar ise kökler derin, gövde sağlam.
Jarvis'in kendi işi bunun kanıtı. Yavaş büyüdü. Hiç yatırım almadı. Bugün on yılı aşkın bir süredir istikrarlı şekilde çalışıyor.
Ve en önemlisi: Hâlâ sevdiği işi yapıyor.
Jarvis şunu soruyor: Büyümek neden hedef? Para için mi? O zaman para başka yollarla da kazanılabilir. Etki için mi? Küçük bir kitle üzerinde derin etki, büyük bir kitle üzerinde yüzeysel etkiden daha değerli olabilir.
$$Hız kırılganlık yaratır; sağlam temeller kalıcı büyümeyi mümkün kılar.$$
&amp;&amp;İşinde ya da hayatında hızlı ilerlediğin ama temeli sağlam olmadığı için sallandığın bir dönem oldu mu?&amp;&amp;</x:v>
      </x:c>
      <x:c r="K311" s="37" t="str"/>
      <x:c r="L311" s="37" t="str"/>
      <x:c r="M311" s="37" t="str"/>
      <x:c r="N311" s="37" t="str"/>
      <x:c r="O311" s="37" t="str"/>
    </x:row>
    <x:row r="312" ht="20" customHeight="1">
      <x:c r="A312" s="33" t="n">
        <x:v>1369</x:v>
      </x:c>
      <x:c r="B312" s="34" t="str">
        <x:v>1</x:v>
      </x:c>
      <x:c r="C312" s="34" t="str">
        <x:v>İletişim</x:v>
      </x:c>
      <x:c r="D312" s="34" t="str">
        <x:v>Müzakere</x:v>
      </x:c>
      <x:c r="E312" s="34" t="str">
        <x:v>İnsanı Anlamak</x:v>
      </x:c>
      <x:c r="F312" s="34" t="str">
        <x:v>Chris Voss</x:v>
      </x:c>
      <x:c r="G312" s="34" t="str">
        <x:v>2016</x:v>
      </x:c>
      <x:c r="H312" s="37" t="str">
        <x:v>FBI rehine müzakeresi</x:v>
      </x:c>
      <x:c r="I312" s="37" t="str">
        <x:v>Voss, FBI'ın 1990'larda kullandığı mantık tabanlı müzakere yönteminin yetersizliğini fark etmesini ve duygusal empati tabanlı yeni yaklaşımın nasıl hayat kurtardığını anlatıyor.</x:v>
      </x:c>
      <x:c r="J312" s="37" t="str">
        <x:v>1990'ların başı. FBI bir müzakere krizi yaşıyordu.
Geleneksel yöntem şuydu: Mantıklı teklifler sun. Karşı tarafın çıkarlarını analiz et. Rasyonel bir uzlaşıya var.
Ama gerçek krizlerde bu çalışmıyordu.
Banka soyguncusu rehineleri tutuyordu. FBI müzakereciler "makul teklifler" sunuyordu. Soyguncu dinlemiyordu. Çünkü o anda makul değildi. Korkmuştu. Çaresizdi. Öfkeliydi.
##Chris Voss şunu fark etti: "İnsanlar mantıkla değil duygularla karar veriyor. Ve duyguları görmezden gelen müzakere işe yaramıyor."##
Voss yeni bir yaklaşım geliştirdi: Taktiksel empati.
Karşı tarafın duygularını yansıt. Adını koy. Anladığını göster. Güven oluştur. Sonra konuş.
Bu yumuşak görünüyor. Ama test edildi. Ve işe yaradı.
Voss'un en önemli keşfi: İnsanlar anlaşıldıklarını hissettiklerinde, savunma duvarları düşüyor. Ve savunma duvarı düşünce, gerçek müzakere başlıyor.
$$Anlaşma akılla değil, önce anlaşıldığını hissettirmekle başlar.$$
&amp;&amp;Hayatında zor bir müzakerede ya da çatışmada, karşı tarafı anladığını göstermek sonucu nasıl değiştirdi?&amp;&amp;</x:v>
      </x:c>
      <x:c r="K312" s="37" t="str"/>
      <x:c r="L312" s="37" t="str"/>
      <x:c r="M312" s="37" t="str"/>
      <x:c r="N312" s="37" t="str"/>
      <x:c r="O312" s="37" t="str"/>
    </x:row>
    <x:row r="313" ht="20" customHeight="1">
      <x:c r="A313" s="33" t="n">
        <x:v>1370</x:v>
      </x:c>
      <x:c r="B313" s="34" t="str">
        <x:v>1</x:v>
      </x:c>
      <x:c r="C313" s="34" t="str">
        <x:v>İletişim</x:v>
      </x:c>
      <x:c r="D313" s="34" t="str">
        <x:v>Müzakere</x:v>
      </x:c>
      <x:c r="E313" s="34" t="str">
        <x:v>İnsanı Anlamak</x:v>
      </x:c>
      <x:c r="F313" s="34" t="str">
        <x:v>Chris Voss</x:v>
      </x:c>
      <x:c r="G313" s="34" t="str">
        <x:v>2016</x:v>
      </x:c>
      <x:c r="H313" s="37" t="str">
        <x:v>Hayır'ın gücü</x:v>
      </x:c>
      <x:c r="I313" s="37" t="str">
        <x:v>Voss, müzakerelerde 'evet' almanın değil 'hayır' dedirtmenin karşı tarafı güçlü hissettirdiğini ve bu yüzden çok daha iyi sonuçlar ürettiğini anlatıyor.</x:v>
      </x:c>
      <x:c r="J313" s="37" t="str">
        <x:v>Chris Voss karşı sezgisel bir fikir sunuyor.
"Evet almaya çalışmayın."
Çoğu müzakereci "evet" peşinde. "Bunu anladınız değil mi?" "Bu mantıklı değil mi?" Evet, evet, evet.
Voss şunu keşfetti: Bu sizi güçsüz yapıyor.
Çünkü "evet" zorla alınıyor gibi hissettiriyor. Karşı taraf kaldıraç kaybettiğini hissediyor. Direniyor.
##Ama "hayır" söylemek insanı güçlü hissettiriyor. Kontrol hissi veriyor.##
Voss'un tekniği: Hayır dedirtin. "Bu size adil gelmiyor mu?" sorusu genellikle "hayır" getiriyor. Ve o "hayır"la birlikte karşı taraf anlatmaya başlıyor. Neden adil değil? Ne istiyorlar?
İşte gerçek bilgi oradan geliyor.
Ya da başka bir taktik: "Bununla ilgilenmek istemediğinizi anlıyorum" diyorsunuz. Eğer ilgileniyorlarsa, "hayır, bekleyin" diyorlar. Ve konuşma başlıyor.
Voss'un özeti: "Evet" kapanış, "hayır" açılış.
$$Müzakereden 'evet' değil, anlayış isteyin — geri kalanı kendiliğinden gelir.$$
&amp;&amp;Bir müzakerede ya da ikna sürecinde karşı tarafa 'hayır' dedirtmenin avantajlı olduğu bir durum hayal edebilir misin?&amp;&amp;</x:v>
      </x:c>
      <x:c r="K313" s="37" t="str"/>
      <x:c r="L313" s="37" t="str"/>
      <x:c r="M313" s="37" t="str"/>
      <x:c r="N313" s="37" t="str"/>
      <x:c r="O313" s="37" t="str"/>
    </x:row>
    <x:row r="314" ht="20" customHeight="1">
      <x:c r="A314" s="33" t="n">
        <x:v>1371</x:v>
      </x:c>
      <x:c r="B314" s="34" t="str">
        <x:v>1</x:v>
      </x:c>
      <x:c r="C314" s="34" t="str">
        <x:v>İletişim</x:v>
      </x:c>
      <x:c r="D314" s="34" t="str">
        <x:v>Müzakere</x:v>
      </x:c>
      <x:c r="E314" s="34" t="str">
        <x:v>İnsanı Anlamak</x:v>
      </x:c>
      <x:c r="F314" s="34" t="str">
        <x:v>Chris Voss</x:v>
      </x:c>
      <x:c r="G314" s="34" t="str">
        <x:v>2016</x:v>
      </x:c>
      <x:c r="H314" s="37" t="str">
        <x:v>Yansıtma ve derin dinleme</x:v>
      </x:c>
      <x:c r="I314" s="37" t="str">
        <x:v>Voss, FBI'da öğrendiği basit bir yansıtma tekniğinin karşı tarafı konuşturmak ve güven inşa etmek için en güçlü araçlardan biri olduğunu anlatıyor.</x:v>
      </x:c>
      <x:c r="J314" s="37" t="str">
        <x:v>Chris Voss en basit ama en güçlü müzakere tekniğini anlatıyor.
Yansıtma. Sadece son üç kelimeyi ya da önemli kelimeleri tekrarla.
"Bu fiyat çok yüksek."
"Çok yüksek?"
"Bunu anlayamıyorum."
"Anlayamıyorsunuz?"
##Voss şöyle diyor: "Bu aptalca görünüyor. Ama işe yarıyor. Çünkü insanlara anlaşıldıklarını hissettiriyor ve devam etmelerini teşvik ediyor."##
Neden bu kadar güçlü?
Çünkü insanlar konuşmak istiyor. Anlaşılmak istiyor. Ve çoğu müzakereci dinlemek yerine konuşmayı bekliyor.
Yansıtma ise tam tersi mesajı veriyor: "Seni duyuyorum. Devam et."
Ve insanlar devam ettikçe, daha fazla bilgi paylaşıyorlar. Gerçek ihtiyaçları, korkuları, arzuları ortaya çıkıyor.
Voss şunu söylüyor: "En iyi müzakereci en çok konuşan değil, en çok dinleyendir."
Yansıtma bu dinlemeyi görünür kılıyor.
$$Dinlemek pasif bir eylem değil — karşı tarafı konuşturan en aktif araçtır.$$
&amp;&amp;Bir sonraki önemli konuşmanda "yansıtma" tekniğini deneseydin, nasıl görünürdü?&amp;&amp;</x:v>
      </x:c>
      <x:c r="K314" s="37" t="str"/>
      <x:c r="L314" s="37" t="str"/>
      <x:c r="M314" s="37" t="str"/>
      <x:c r="N314" s="37" t="str"/>
      <x:c r="O314" s="37" t="str"/>
    </x:row>
    <x:row r="315" ht="20" customHeight="1">
      <x:c r="A315" s="33" t="n">
        <x:v>1372</x:v>
      </x:c>
      <x:c r="B315" s="34" t="str">
        <x:v>1</x:v>
      </x:c>
      <x:c r="C315" s="34" t="str">
        <x:v>Felsefe</x:v>
      </x:c>
      <x:c r="D315" s="34" t="str">
        <x:v>Yaşam</x:v>
      </x:c>
      <x:c r="E315" s="34" t="str">
        <x:v>The Life-Changing Magic of Tidying Up</x:v>
      </x:c>
      <x:c r="F315" s="34" t="str">
        <x:v>Marie Kondo</x:v>
      </x:c>
      <x:c r="G315" s="34" t="str">
        <x:v>2011</x:v>
      </x:c>
      <x:c r="H315" s="37" t="str">
        <x:v>Neşe tetikleyici yöntemi</x:v>
      </x:c>
      <x:c r="I315" s="37" t="str">
        <x:v>Kondo, eşyaların tutulup tutulmayacağına karar verirken 'bu bana neşe veriyor mu?' sorusunu sormayı öneriyor ve bu basit filtrenin insanların hayatlarını nasıl dönüştürdüğünü anlatıyor.</x:v>
      </x:c>
      <x:c r="J315" s="37" t="str">
        <x:v>Marie Kondo şöyle bir an tanımlıyor.
Müşterisi elinde bir bluz tutuyor. "Bu eski ama iyi durumda. Atsam mı?"
Kondo şunu soruyor: "Onu tuttuğunuzda neşe hissediyor musunuz?"
Müşteri düşünüyor. "Hayır, aslında değil. Sadece para ödemişim diye tutuyorum."
##"O zaman teşekkür edin ve bırakın" diyor Kondo.##
Bu basit görünüyor. Ama aylarca süren danışmanlıkta Kondo tekrar tekrar görüyor: İnsanların evleri "iyi durumda ama neşe vermeyen" şeylerle dolu.
Her şeyin bir gerekçesi var: "Hediyeydi." "Pahalıydı." "Bir gün lazım olabilir."
Ama neşe vermiyor.
Kondo'nun yöntemi şu: Her eşyayı eline al. Bedeninle hisset. Bu sana enerji veriyor mu, alıyor mu?
Neşe veren şeyler kalıyor. Vermeyenler gidiyor.
Bu yalnızca temizlik değil. Hayatınızda neyin gerçekten sizi mutlu ettiğine dair bir netleşme egzersizi.
$$Etrafınızdaki her nesne ya enerji veriyor ya alıyor — neye yer verdiğiniz önemlidir.$$
&amp;&amp;Evinizde ya da hayatınızda neşe vermediği halde tuttuğunuz şeyler var mı? Onları tutmanızın gerçek nedeni ne?&amp;&amp;</x:v>
      </x:c>
      <x:c r="K315" s="37" t="str"/>
      <x:c r="L315" s="37" t="str"/>
      <x:c r="M315" s="37" t="str"/>
      <x:c r="N315" s="37" t="str"/>
      <x:c r="O315" s="37" t="str"/>
    </x:row>
    <x:row r="316" ht="20" customHeight="1">
      <x:c r="A316" s="33" t="n">
        <x:v>1373</x:v>
      </x:c>
      <x:c r="B316" s="34" t="str">
        <x:v>1</x:v>
      </x:c>
      <x:c r="C316" s="34" t="str">
        <x:v>Felsefe</x:v>
      </x:c>
      <x:c r="D316" s="34" t="str">
        <x:v>Yaşam</x:v>
      </x:c>
      <x:c r="E316" s="34" t="str">
        <x:v>The Life-Changing Magic of Tidying Up</x:v>
      </x:c>
      <x:c r="F316" s="34" t="str">
        <x:v>Marie Kondo</x:v>
      </x:c>
      <x:c r="G316" s="34" t="str">
        <x:v>2011</x:v>
      </x:c>
      <x:c r="H316" s="37" t="str">
        <x:v>Kategori sırasının önemi</x:v>
      </x:c>
      <x:c r="I316" s="37" t="str">
        <x:v>Kondo, temizliğin yer bazlı değil kategori bazlı yapılması gerektiğini ve kıyafetten başlayıp anılara doğru gidilmesinin neden bu denli önemli olduğunu açıklıyor.</x:v>
      </x:c>
      <x:c r="J316" s="37" t="str">
        <x:v>Marie Kondo'nun yöntemi geleneksel temizliğin tam tersi.
Çoğu insan oda oda temizliyor. Bugün yatak odası. Yarın mutfak.
Kondo şunu söylüyor: Bu çalışmıyor. Çünkü aynı kategorideki eşyalar farklı odalara dağılmış durumda. Yatak odasını topladınız, mutfaktaki kıyafetleri unuttunuz.
##Kategori bazlı temizle. Önce tüm kıyafetleri bir araya topla. Sonra kitaplar. Sonra kağıtlar. Sonra diğer eşyalar. En son anılar.##
Neden bu sıra?
Çünkü karar verme kası güçlenmelidir. Kıyafetler en kolay. Anılar en zor.
Anılardan başlarsanız, her fotoğraf on dakika götürüyor. Gün bitiyor, temizlik bitmemiş.
Ama kıyafetlerle başlayınca, "bu bana neşe veriyor mu?" sorusunu yüzlerce kez soruyorsunuz. Karar verme kapasitesi güçleniyor. Anılara geldiğinizde daha hazırsınız.
Kondo şunu da söylüyor: Bu bir kez yapıldığında kalıcı olmalı. Temizliği rutine değil, hayat organizasyonuna dönüştürmek gerekiyor.
$$Dağınıklık nesne fazlasından değil, karar verme ertelemesinden kaynaklanır.$$
&amp;&amp;Etrafınızdaki dağınıklık size ne söylüyor? Hangi karar ertelenmiş durumda?&amp;&amp;</x:v>
      </x:c>
      <x:c r="K316" s="37" t="str"/>
      <x:c r="L316" s="37" t="str"/>
      <x:c r="M316" s="37" t="str"/>
      <x:c r="N316" s="37" t="str"/>
      <x:c r="O316" s="37" t="str"/>
    </x:row>
    <x:row r="317" ht="20" customHeight="1">
      <x:c r="A317" s="33" t="n">
        <x:v>1374</x:v>
      </x:c>
      <x:c r="B317" s="34" t="str">
        <x:v>1</x:v>
      </x:c>
      <x:c r="C317" s="34" t="str">
        <x:v>Felsefe</x:v>
      </x:c>
      <x:c r="D317" s="34" t="str">
        <x:v>Yaşam</x:v>
      </x:c>
      <x:c r="E317" s="34" t="str">
        <x:v>The Life-Changing Magic of Tidying Up</x:v>
      </x:c>
      <x:c r="F317" s="34" t="str">
        <x:v>Marie Kondo</x:v>
      </x:c>
      <x:c r="G317" s="34" t="str">
        <x:v>2011</x:v>
      </x:c>
      <x:c r="H317" s="37" t="str">
        <x:v>Eşyaların enerjisi ve ev farkındalığı</x:v>
      </x:c>
      <x:c r="I317" s="37" t="str">
        <x:v>Kondo, eşyaları canlı varlıklar gibi ele aldığında insanların hem evleriyle hem de nesneleriyle çok daha bilinçli bir ilişki kurduğunu anlatıyor.</x:v>
      </x:c>
      <x:c r="J317" s="37" t="str">
        <x:v>Marie Kondo Japon Shinto geleneğinden ilham alıyor.
Her nesnenin bir ruhu var. Onlara saygı göstermek gerekiyor.
Bu Batılı mantığa garip geliyor. Ama pratikte güçlü bir şey yapıyor.
Kondo müşterilerine şöyle diyor: "Çantanıza girerken teşekkür edin. Bıraktığınız kıyafete teşekkür edin."
##Bu ritüel bir şeyi değiştiriyor: Nesnelere sahip değil, yönetici gözüyle bakıyorsunuz.##
"Bu benim hizmetimi yapıyor mu?" Yapıyorsa, içeride. Yapmıyorsa, teşekkür edip dışarı.
Ve bu bakış açısı yalnızca eşyalarla kalmıyor. Zamanla ilişkilere, alışkanlıklara, işlere de yayılıyor.
"Bu ilişki bana neşe veriyor mu?"
"Bu iş rutini bana enerji veriyor mu?"
Kondo'nun metodunun asıl derinliği burada. Kıyafetin tutulup tutulmayacağına karar vermek görünürde. Ama aslında hayatınızda neyin kalmasını istediğinize karar vermeyi pratik hale getiriyor.
$$Temizlik bir pratik değil, neyin hayatınıza girmeye değer olduğuna karar verme pratiğidir.$$
&amp;&amp;Şu an hayatınızda — işinizde, ilişkilerinizde, alışkanlıklarınızda — size neşe vermeyen neler var?&amp;&amp;</x:v>
      </x:c>
      <x:c r="K317" s="37" t="str"/>
      <x:c r="L317" s="37" t="str"/>
      <x:c r="M317" s="37" t="str"/>
      <x:c r="N317" s="37" t="str"/>
      <x:c r="O317" s="37" t="str"/>
    </x:row>
    <x:row r="318" ht="20" customHeight="1">
      <x:c r="A318" s="33" t="n">
        <x:v>1375</x:v>
      </x:c>
      <x:c r="B318" s="34" t="str">
        <x:v>1</x:v>
      </x:c>
      <x:c r="C318" s="34" t="str">
        <x:v>Felsefe</x:v>
      </x:c>
      <x:c r="D318" s="34" t="str">
        <x:v>Felsefe</x:v>
      </x:c>
      <x:c r="E318" s="34" t="str">
        <x:v>Stoacılık</x:v>
      </x:c>
      <x:c r="F318" s="34" t="str">
        <x:v>Marcus Aurelius</x:v>
      </x:c>
      <x:c r="G318" s="34" t="str">
        <x:v>180</x:v>
      </x:c>
      <x:c r="H318" s="37" t="str">
        <x:v>Marcus Aurelius'un gizli günlüğü</x:v>
      </x:c>
      <x:c r="I318" s="37" t="str">
        <x:v>Düşünceler kitabının hiç yayımlanmak üzere yazılmadığını, imparatorun kendisiyle hesaplaşmak için tuttuğu kişisel notlardan oluştuğunu ve bu yüzden Stoacılığın en içten sesi olduğunu anlatıyor.</x:v>
      </x:c>
      <x:c r="J318" s="37" t="str">
        <x:v>Marcus Aurelius Roma İmparatoru'ydu.
Ama yazdığı notlar imparatorca değildi.
"Sabah kalkamıyorum. Yatakta kalmak çok cazip."
"Biri beni kızdırdı. Tepkimi kontrol etmekte zorlandım."
"Ölüm her an gelebilir. Bugün önemli olan ne?"
##Bu notlar bugün "Düşünceler" adıyla biliniyor. Ama Marcus onları yayımlamak için yazmamıştı. Kendisi için yazıyordu.##
Bugünkü deyişle: günlük.
Bu bilgi kitabı bambaşka kılıyor. Dünyanın en güçlü adamının, imparatorluğun tepesindeyken yazdığı kişisel notlar. Kimseye göstermeyecekti. Performans değildi.
Bu yüzden çok dürüst. Çok insani. Çok savunmasız.
Marcus mükemmel bir Stoacı değildi. Olmaya çalışıyordu. Her gün, yeniden, hatalar yaparak, sorgulanarak.
Ve bu çaba, 1800 yıl sonra hâlâ güncel.
$$Filozoflar öğretmek için değil, anlamaya çalışmak için yazarlar — Marcus'un en büyük dersi bu tutarlılıktı.$$
&amp;&amp;Kendinize dürüst olduğunuz, kimseye göstermediğiniz notlar tutuyor musunuz? O dürüstlük size ne öğretiyor?&amp;&amp;</x:v>
      </x:c>
      <x:c r="K318" s="37" t="str"/>
      <x:c r="L318" s="37" t="str"/>
      <x:c r="M318" s="37" t="str"/>
      <x:c r="N318" s="37" t="str"/>
      <x:c r="O318" s="37" t="str"/>
    </x:row>
    <x:row r="319" ht="20" customHeight="1">
      <x:c r="A319" s="33" t="n">
        <x:v>1376</x:v>
      </x:c>
      <x:c r="B319" s="34" t="str">
        <x:v>1</x:v>
      </x:c>
      <x:c r="C319" s="34" t="str">
        <x:v>Felsefe</x:v>
      </x:c>
      <x:c r="D319" s="34" t="str">
        <x:v>Felsefe</x:v>
      </x:c>
      <x:c r="E319" s="34" t="str">
        <x:v>Stoacılık</x:v>
      </x:c>
      <x:c r="F319" s="34" t="str">
        <x:v>Marcus Aurelius</x:v>
      </x:c>
      <x:c r="G319" s="34" t="str">
        <x:v>180</x:v>
      </x:c>
      <x:c r="H319" s="37" t="str">
        <x:v>Kontrol edilebilen ve edilemeyen</x:v>
      </x:c>
      <x:c r="I319" s="37" t="str">
        <x:v>Marcus Aurelius'un her gün kendinize hatırlatması gereken temel Stoacı ayrımı: kontrolünüzdeki şeyler ile kontrolünüz dışındakiler — ve mutluluğun yalnızca birincisine bağlı olduğu.</x:v>
      </x:c>
      <x:c r="J319" s="37" t="str">
        <x:v>Marcus Aurelius her sabah kendine aynı soruyu soruyordu.
"Bugün kontrolümde olan ne, olmayan ne?"
Stoacılığın temel ayrımı bu.
Kontrolümde olan: Düşüncelerim. Tepkilerim. Değerlerim. Çabam.
Kontrolümde olmayan: Hava. Başkalarının davranışları. Hastalık. Ölüm. Servetin gidip gelmesi.
##Marcus şöyle yazıyor: "İrade dışındaki şeyler ne iyi ne kötüdür. İyi ve kötü olan şey yalnızca irademizin içindedir."##
Bu radikal bir fikir. Çünkü şunu söylüyor: Dış koşullar mutluluğunuzu belirleyemez. Yalnızca onlara verdiğiniz tepki belirleyebilir.
Marcus bu fikri günlük olarak pratiğe döküyordu. İmparatorluk sorunları, isyanlar, salgınlar, kişisel kayıplar — hepsinin ortasında şunu soruyordu: "Bu benim kontrolümde mi? Değilse, enerji harcamam."
Bu pasiflik değil. Aksine en saf enerji tasarrufu ve en derin aksiyon odağı.
Kontrolünüzdeki şeylere maksimum enerji. Kontrolünüz dışındakilere sıfır.
$$Kontrolünüzdeki şeylere odaklanmak özgürlük, kontrolünüz dışındakilere odaklanmak ise hapishane.$$
&amp;&amp;Şu an en çok hangi şey üzerinde enerji harcıyorsunuz? Gerçekten kontrolünüzde mi?&amp;&amp;</x:v>
      </x:c>
      <x:c r="K319" s="37" t="str"/>
      <x:c r="L319" s="37" t="str"/>
      <x:c r="M319" s="37" t="str"/>
      <x:c r="N319" s="37" t="str"/>
      <x:c r="O319" s="37" t="str"/>
    </x:row>
    <x:row r="320" ht="20" customHeight="1">
      <x:c r="A320" s="33" t="n">
        <x:v>1377</x:v>
      </x:c>
      <x:c r="B320" s="34" t="str">
        <x:v>1</x:v>
      </x:c>
      <x:c r="C320" s="34" t="str">
        <x:v>Felsefe</x:v>
      </x:c>
      <x:c r="D320" s="34" t="str">
        <x:v>Felsefe</x:v>
      </x:c>
      <x:c r="E320" s="34" t="str">
        <x:v>Stoacılık</x:v>
      </x:c>
      <x:c r="F320" s="34" t="str">
        <x:v>Marcus Aurelius</x:v>
      </x:c>
      <x:c r="G320" s="34" t="str">
        <x:v>180</x:v>
      </x:c>
      <x:c r="H320" s="37" t="str">
        <x:v>Olumsuz görselleştirme — en kötüyü hayal etmek</x:v>
      </x:c>
      <x:c r="I320" s="37" t="str">
        <x:v>Marcus Aurelius ve Stoacıların 'premeditatio malorum' pratiğini — en kötü senaryoyu önceden hayal etmeyi — ve bu pratiğin hem korku hem de minnet konusunda nasıl dönüştürücü olduğunu anlatıyor.</x:v>
      </x:c>
      <x:c r="J320" s="37" t="str">
        <x:v>Marcus Aurelius her gün alışılmadık bir egzersiz yapıyordu.
Sevdiklerini kaybetmeyi hayal ediyordu. Sağlığını kaybetmeyi. İmparatorluğunu kaybetmeyi.
Kulağa üzücü geliyor. Ama Marcus için tam tersi bir işlev görüyordu.
##"Sevdiğin biri öldüğünde değil, onunla birlikteyken 'bu bana bırakılmış bir emanet' de."##
Stoacılar buna "premeditatio malorum" diyordu. Kötülüğün ön meditasyonu.
Bugün sahip olduklarınızı yarın olmayabilirmiş gibi deneyimleyin. Eşiniz. Sağlığınız. İşiniz. Güvenlik hissiniz.
Bu kaygıyı artırmıyor. Tersine iki şey yapıyor.
Birincisi: Korku azalıyor. En kötüyü zaten hayal ettiniz. Kafanızda gerçekleştirdiniz. Artık o belirsiz dehşet hissi yerine somut bir senaryo var.
İkincisi: Minnet artıyor. "Hâlâ burada" gerçekliği daha derin hissettiriyor. Kahvenizi içerken "bu belki de son fincandır" değil ama "bu gerçekten burada" farkındalığı.
$$En kötüyü hayal etmek kaygı değil, şimdikinin derinliğini açar.$$
&amp;&amp;Sahip olduğunuz ama değerini gerçekten hissetmediğiniz bir şeyi düşünün. Onu kaybettiğinizi hayal edin. Şimdi nasıl bakıyorsunuz?&amp;&amp;</x:v>
      </x:c>
      <x:c r="K320" s="37" t="str"/>
      <x:c r="L320" s="37" t="str"/>
      <x:c r="M320" s="37" t="str"/>
      <x:c r="N320" s="37" t="str"/>
      <x:c r="O320" s="37" t="str"/>
    </x:row>
    <x:row r="321" ht="20" customHeight="1">
      <x:c r="A321" s="33" t="n">
        <x:v>1378</x:v>
      </x:c>
      <x:c r="B321" s="34" t="str">
        <x:v>1</x:v>
      </x:c>
      <x:c r="C321" s="34" t="str">
        <x:v>Psikoloji</x:v>
      </x:c>
      <x:c r="D321" s="34" t="str">
        <x:v>Psikoloji</x:v>
      </x:c>
      <x:c r="E321" s="34" t="str">
        <x:v>İyimserlik Öğrenmek</x:v>
      </x:c>
      <x:c r="F321" s="34" t="str">
        <x:v>Martin Seligman</x:v>
      </x:c>
      <x:c r="G321" s="34" t="str">
        <x:v>1990</x:v>
      </x:c>
      <x:c r="H321" s="37" t="str">
        <x:v>Öğrenilmiş çaresizlik deneyi</x:v>
      </x:c>
      <x:c r="I321" s="37" t="str">
        <x:v>Seligman, köpeklerle yaptığı ünlü deneyden öğrenilmiş çaresizlik kavramını nasıl keşfettiğini ve bunun insan depresyonunun temelini açıkladığını anlatıyor.</x:v>
      </x:c>
      <x:c r="J321" s="37" t="str">
        <x:v>Martin Seligman 1967'de bir deney yapıyordu.
Köpekler üç gruba ayrıldı. Birinci grup elektrik şoku aldı ama kurtulabiliyordu. İkinci grup şok aldı ama çıkış yoktu. Üçüncü grup hiç şok almadı.
Sonra tüm köpekler kaçabilecekleri bir ortama konuldu.
Birinci ve üçüncü grup kaçtı. Ama ikinci grup...
##İkinci grup yerde yattı. Kaçmaya bile çalışmadı. Çünkü kaçışın imkansız olduğunu "öğrenmişti."##
Seligman bu fenomeni "öğrenilmiş çaresizlik" olarak adlandırdı.
Ve sonra insanlara baktı. Aynı örüntü.
İnsanlar da tekrar tekrar kontrol edemedikleri durumlarla karşılaştığında, zamanla "hiçbir şey yapamam" inancını öğreniyor. Ve sonraki durumlarda, çıkış olsa bile harekete geçmiyorlar.
Seligman bu keşfin depresyonla derin bir bağlantısı olduğunu gördü. Depresyon çoğu zaman kimyasal bir sorun değil — öğrenilmiş bir çaresizlik.
Ve öğrenilmiş olan, yeniden öğrenilebilir.
$$Çaresizlik öğrenilen bir inançtır — ve öğrenilenler yeniden öğrenilebilir.$$
&amp;&amp;Hayatında "ne yapsam fark etmez" diye vazgeçtiğin ama aslında hâlâ çıkış olabilecek bir alan var mı?&amp;&amp;</x:v>
      </x:c>
      <x:c r="K321" s="37" t="str"/>
      <x:c r="L321" s="37" t="str"/>
      <x:c r="M321" s="37" t="str"/>
      <x:c r="N321" s="37" t="str"/>
      <x:c r="O321" s="37" t="str"/>
    </x:row>
    <x:row r="322" ht="20" customHeight="1">
      <x:c r="A322" s="33" t="n">
        <x:v>1379</x:v>
      </x:c>
      <x:c r="B322" s="34" t="str">
        <x:v>1</x:v>
      </x:c>
      <x:c r="C322" s="34" t="str">
        <x:v>Psikoloji</x:v>
      </x:c>
      <x:c r="D322" s="34" t="str">
        <x:v>Psikoloji</x:v>
      </x:c>
      <x:c r="E322" s="34" t="str">
        <x:v>İyimserlik Öğrenmek</x:v>
      </x:c>
      <x:c r="F322" s="34" t="str">
        <x:v>Martin Seligman</x:v>
      </x:c>
      <x:c r="G322" s="34" t="str">
        <x:v>1990</x:v>
      </x:c>
      <x:c r="H322" s="37" t="str">
        <x:v>Açıklama tarzı ve geleceğin şekli</x:v>
      </x:c>
      <x:c r="I322" s="37" t="str">
        <x:v>Seligman, iyimserler ve kötümserlerin aynı olayları nasıl farklı açıkladığını ve bu açıklama tarzının geleceği nasıl şekillendirdiğini anlatıyor.</x:v>
      </x:c>
      <x:c r="J322" s="37" t="str">
        <x:v>Martin Seligman bir soruyu araştırdı: İyimserler ve kötümserler ne zaman ayrışıyor?
Cevap şaşırtıcı: Olaylar değil, açıklama tarzı ayrıştırıyor.
Aynı başarısızlık. İki farklı açıklama.
Kötümser: "Bu hep böyle. Her şeyimde böyle. Bu benim suçum."
İyimser: "Bu sefer böyle oldu. Bu alanda böyle. Koşullar böyleydi."
##Seligman üç boyut tanımlıyor: Kalıcılık (her zaman mı, bu sefer mi?), Yaygınlık (her şey mi, bu alan mı?) ve Kişiselleştirme (benim suçum mu, koşulların mı?).##
İyimserler geçici, belirli ve dışsal açıklama yapıyor. "Bu sefer, bu alanda, koşullar nedeniyle."
Kötümserler kalıcı, yaygın ve içsel. "Hep, her şey, benim yüzümden."
Ve daha çarpıcı olan şu: Bu tarz öğrenilebilir.
Seligman buna "öğrenilmiş iyimserlik" diyor. Olayları daha doğru ve daha yapıcı biçimde açıklamayı öğrenmek.
Bu kör iyimserlik değil. Gerçekçi ama esneklik veren bir bakış.
$$Başarısızlığı nasıl açıkladığınız, bir sonraki girişiminizin zeminini belirler.$$
&amp;&amp;Son başarısızlığını nasıl açıkladın? "Hep böyle, her şeyimde böyle" mi yoksa "bu sefer, bu alanda" mı?&amp;&amp;</x:v>
      </x:c>
      <x:c r="K322" s="37" t="str"/>
      <x:c r="L322" s="37" t="str"/>
      <x:c r="M322" s="37" t="str"/>
      <x:c r="N322" s="37" t="str"/>
      <x:c r="O322" s="37" t="str"/>
    </x:row>
    <x:row r="323" ht="20" customHeight="1">
      <x:c r="A323" s="33" t="n">
        <x:v>1380</x:v>
      </x:c>
      <x:c r="B323" s="34" t="str">
        <x:v>1</x:v>
      </x:c>
      <x:c r="C323" s="34" t="str">
        <x:v>Psikoloji</x:v>
      </x:c>
      <x:c r="D323" s="34" t="str">
        <x:v>Psikoloji</x:v>
      </x:c>
      <x:c r="E323" s="34" t="str">
        <x:v>İyimserlik Öğrenmek</x:v>
      </x:c>
      <x:c r="F323" s="34" t="str">
        <x:v>Martin Seligman</x:v>
      </x:c>
      <x:c r="G323" s="34" t="str">
        <x:v>1990</x:v>
      </x:c>
      <x:c r="H323" s="37" t="str">
        <x:v>ABCDE modeli — düşünceyi yeniden yapılandırma</x:v>
      </x:c>
      <x:c r="I323" s="37" t="str">
        <x:v>Seligman, kötümser düşünce kalıplarını kırmak için geliştirdiği pratik ABCDE modelini ve bu tekniğin insanları nasıl daha dirençli ve iyimser kıldığını anlatıyor.</x:v>
      </x:c>
      <x:c r="J323" s="37" t="str">
        <x:v>Martin Seligman pratik bir araç geliştirdi.
ABCDE modeli.
A — Adversity (Zorluk): Ne oldu?
B — Belief (İnanç): Bu olaya dair ne düşündün?
C — Consequence (Sonuç): Bu düşünce ne hissettirdi?
D — Disputation (İtiraz): O inanca itiraz et. Gerçekten doğru mu?
E — Energization (Enerji): İtirazın ardından ne hissettin?
##Seligman şöyle açıklıyor: "Çoğu insan A'dan C'ye atlıyor. Oysa B — inanç — filtresini fark etmek her şeyi değiştiriyor."##
Örnek: İş görüşmesinde reddedildim (A). "Ben yetersizim, hiçbir şeye layık değilim" (B). Çöktüm, bir hafta hiçbir şey yapamadım (C).
Ama B'ye itiraz etsem: "Gerçekten böyle mi? Bu şirkete layık değilim yoksa bu pozisyon bana uymadı mı? Başka işverenler de aynı şeyi söyler miydi?" (D).
Cevap: "Hayır, bu tek bir deneyim" (D). Ve bu itirazın ardından tekrar enerji geliyor (E).
Model meditasyon değil. Düşüncelerle aktif tartışma.
$$Kötümser inanç itiraz edilmeden güçlenir — onu sorgulamak gücünü kırar.$$
&amp;&amp;Sizi en çok kısıtlayan bir inancı düşünün. O inanca beş dakika itiraz etseydiniz, hangi karşı kanıtları bulurdunuz?&amp;&amp;</x:v>
      </x:c>
      <x:c r="K323" s="37" t="str"/>
      <x:c r="L323" s="37" t="str"/>
      <x:c r="M323" s="37" t="str"/>
      <x:c r="N323" s="37" t="str"/>
      <x:c r="O323" s="37" t="str"/>
    </x:row>
    <x:row r="324" ht="20" customHeight="1">
      <x:c r="A324" s="33" t="n">
        <x:v>1381</x:v>
      </x:c>
      <x:c r="B324" s="34" t="str">
        <x:v>1</x:v>
      </x:c>
      <x:c r="C324" s="34" t="str">
        <x:v>Psikoloji</x:v>
      </x:c>
      <x:c r="D324" s="34" t="str">
        <x:v>Mutluluk</x:v>
      </x:c>
      <x:c r="E324" s="34" t="str">
        <x:v>Mutluluğun Peşinde</x:v>
      </x:c>
      <x:c r="F324" s="34" t="str">
        <x:v>Shawn Achor</x:v>
      </x:c>
      <x:c r="G324" s="34" t="str">
        <x:v>2010</x:v>
      </x:c>
      <x:c r="H324" s="37" t="str">
        <x:v>Tetris etkisi ve beyin yeniden programlama</x:v>
      </x:c>
      <x:c r="I324" s="37" t="str">
        <x:v>Achor, Tetris oynayan insanların her yerde Tetris parçaları gördüğü gibi beynin odaklandığı kalıpları her yerde arama eğiliminde olduğunu ve bunun hem mutsuzluk hem mutluluk için geçerli olduğunu anlatıyor.</x:v>
      </x:c>
      <x:c r="J324" s="37" t="str">
        <x:v>1990'ların başında bir araştırma yapıldı.
Katılımcılar günlerce Tetris oynadı. Binlerce saat.
Oyunun ardından garip bir şey oldu. Katılımcılar mağazalarda raflardaki kutuların nasıl istiflenebileceğini düşünmeye başladılar. Yolda arabaların park yerlerine nasıl sığabileceğini hayal ettiler.
Beyin Tetris kalıplarını her yere uygulamaya başlamıştı.
##Shawn Achor buna "Tetris Etkisi" diyor. Beyin neye odaklanırsa, onu her yerde aramaya başlıyor.##
Ve bu hem olumlu hem olumsuz yönde çalışıyor.
Sürekli sorun arayan beyin her yerde sorun buluyor. Sürekli hata arayan beyin her yerde hata buluyor.
Ama tersine çevrilebilir. Sürekli şükran arayan beyin her yerde şükran nedeni buluyor. Sürekli fırsat arayan beyin her yerde fırsat buluyor.
Achor bunun nöroplastisiteyle desteklendiğini söylüyor. Beyin kullandığı yolları güçlendiriyor.
Çözüm: Her gün beş dakika, üç şükran nedeni yaz. Beyin "olumlu kalıp" aramasını öğreniyor.
$$Beyin neyi ararsa bulur — aramayı programlayabilirsiniz.$$
&amp;&amp;Şu an beyniniz ne arıyor — sorunlar mı, fırsatlar mı? Bu aramayı değiştirmek için bugün ne yapabilirsiniz?&amp;&amp;</x:v>
      </x:c>
      <x:c r="K324" s="37" t="str"/>
      <x:c r="L324" s="37" t="str"/>
      <x:c r="M324" s="37" t="str"/>
      <x:c r="N324" s="37" t="str"/>
      <x:c r="O324" s="37" t="str"/>
    </x:row>
    <x:row r="325" ht="20" customHeight="1">
      <x:c r="A325" s="33" t="n">
        <x:v>1382</x:v>
      </x:c>
      <x:c r="B325" s="34" t="str">
        <x:v>1</x:v>
      </x:c>
      <x:c r="C325" s="34" t="str">
        <x:v>Psikoloji</x:v>
      </x:c>
      <x:c r="D325" s="34" t="str">
        <x:v>Mutluluk</x:v>
      </x:c>
      <x:c r="E325" s="34" t="str">
        <x:v>Mutluluğun Peşinde</x:v>
      </x:c>
      <x:c r="F325" s="34" t="str">
        <x:v>Shawn Achor</x:v>
      </x:c>
      <x:c r="G325" s="34" t="str">
        <x:v>2010</x:v>
      </x:c>
      <x:c r="H325" s="37" t="str">
        <x:v>Sosyal yatırım ve bağlantı kalkanı</x:v>
      </x:c>
      <x:c r="I325" s="37" t="str">
        <x:v>Achor, zor dönemlerde başarısız olanların içe kapandığını, başarılı olanların ise tam tersine sosyal bağlarına yatırım yaptığını gösteren araştırmayı aktarıyor.</x:v>
      </x:c>
      <x:c r="J325" s="37" t="str">
        <x:v>Shawn Achor Harvard'daki stres araştırmasında ilginç bir ayrışma fark etti.
Aynı stres düzeyinde iki grup vardı.
Bir grup stresle başa çıkmakta zorlanıyordu: İçe kapanıyordu. Yalnız çalışıyordu. Sosyal bağlantıları azalıyordu.
Diğer grup ise tam tersi: Stresli olduğunda daha fazla sosyal bağlantı kuruyordu. Arkadaşlara ulaşıyordu.
##İkinci grubun hem mutluluğu hem de performansı çok daha yüksekti.##
Achor buna "sosyal yatırım" diyor. Ve şunu söylüyor: Stresli dönemlerde sosyal ilişkileri kısıtlamak içgüdüsel görünüyor — "kimseye yük olmak istemiyorum." Ama araştırmalar tam tersi söylüyor.
Bağlantı bir zevk değil, bir ihtiyaç. Ve bağlantı kaldırıldığında, stresle başa çıkma kapasitesi dramatik biçimde düşüyor.
Sosyal bağlantı oksitosini artırıyor. Kortizolü düşürüyor. Beyin öğrenme kapasitesi açılıyor.
Achor'ın önerisi: En zor dönemlerde bile haftada bir kez birine ulaş. Kısa bir mesaj bile olsa.
$$Stresli dönemde bağlantıyı kesmek değil, derinleştirmek — en güçlü dayanıklılık stratejisi.$$
&amp;&amp;En zor dönemlerinizde başkalarından uzaklaşıyor musunuz, yoksa onlara mı yaklaşıyorsunuz? Bu tercih size nasıl hissettiriyor?&amp;&amp;</x:v>
      </x:c>
      <x:c r="K325" s="37" t="str"/>
      <x:c r="L325" s="37" t="str"/>
      <x:c r="M325" s="37" t="str"/>
      <x:c r="N325" s="37" t="str"/>
      <x:c r="O325" s="37" t="str"/>
    </x:row>
    <x:row r="326" ht="20" customHeight="1">
      <x:c r="A326" s="33" t="n">
        <x:v>1383</x:v>
      </x:c>
      <x:c r="B326" s="34" t="str">
        <x:v>1</x:v>
      </x:c>
      <x:c r="C326" s="34" t="str">
        <x:v>Psikoloji</x:v>
      </x:c>
      <x:c r="D326" s="34" t="str">
        <x:v>Mutluluk</x:v>
      </x:c>
      <x:c r="E326" s="34" t="str">
        <x:v>Mutluluğun Peşinde</x:v>
      </x:c>
      <x:c r="F326" s="34" t="str">
        <x:v>Shawn Achor</x:v>
      </x:c>
      <x:c r="G326" s="34" t="str">
        <x:v>2010</x:v>
      </x:c>
      <x:c r="H326" s="37" t="str">
        <x:v>Başarı mutluluğu getirmez — tersine çalışır</x:v>
      </x:c>
      <x:c r="I326" s="37" t="str">
        <x:v>Achor, geleneksel 'önce başarı sonra mutluluk' formülünün tersine çalıştığını ve mutluluğun başarının nedeni olduğunu gösteren çarpıcı araştırmaları anlatıyor.</x:v>
      </x:c>
      <x:c r="J326" s="37" t="str">
        <x:v>Shawn Achor bir formülü sorguluyor.
"Çok çalış, başarılı ol, sonra mutlu ol."
Çoğu insan böyle düşünüyor. Hedefi yakala, o zaman mutlu olursun.
Ama Achor'ın araştırması bunun tersinin doğru olduğunu gösteriyor.
##"Mutluluk başarının ödülü değil — başarının yakıtıdır."##
Araştırmalar şunu gösteriyor: Mutlu insanlar daha yaratıcı. Daha üretken. Daha iyi kararlar alıyor. Daha uzun yaşıyor. Hastalıklara karşı daha dirençli.
Mutluluk beyin kimyasını değiştiriyor. Dopamin hem "iyi hissettiriyor" hem de öğrenme, problem çözme ve adaptasyon için kritik.
Yani mutlu beyin, performans açısından stresli beyinden çok daha iyi çalışıyor.
Ve pratik sonuç şu: Başarıyı beklemeyin mutlu olmak için. Şimdi mutluluğu seçin — küçük olsa bile. Bu seçim, başarıya giden yolu güçlendiriyor.
Achor'ın tavsiyesi: Gün içinde küçük anlarda mutluluk yaratın. Bir teşekkür. Kısa bir yürüyüş. Bağlantı anları. Bunlar küçük ama birikimli.
$$Başarıyı bekleyerek mutluluğu ertelemek, tam tersi yönde bir yatırım.$$
&amp;&amp;Şu an mutluluğu ertelediğiniz bir "önce şunu başarırsam" beklentiniz var mı?&amp;&amp;</x:v>
      </x:c>
      <x:c r="K326" s="37" t="str"/>
      <x:c r="L326" s="37" t="str"/>
      <x:c r="M326" s="37" t="str"/>
      <x:c r="N326" s="37" t="str"/>
      <x:c r="O326" s="37" t="str"/>
    </x:row>
    <x:row r="327" ht="20" customHeight="1">
      <x:c r="A327" s="33" t="n">
        <x:v>1384</x:v>
      </x:c>
      <x:c r="B327" s="34" t="str">
        <x:v>1</x:v>
      </x:c>
      <x:c r="C327" s="34" t="str">
        <x:v>Sağlık</x:v>
      </x:c>
      <x:c r="D327" s="34" t="str">
        <x:v>Sağlık</x:v>
      </x:c>
      <x:c r="E327" s="34" t="str">
        <x:v>Sağlıklı Olmak</x:v>
      </x:c>
      <x:c r="F327" s="34" t="str">
        <x:v>James Clear</x:v>
      </x:c>
      <x:c r="G327" s="34" t="str">
        <x:v>2019</x:v>
      </x:c>
      <x:c r="H327" s="37" t="str">
        <x:v>Küçük sağlık kazanımlarının bileşimi</x:v>
      </x:c>
      <x:c r="I327" s="37" t="str">
        <x:v>Clear'ın alışkanlık ilkelerini sağlığa uygulayan bu kitap, egzersiz ve beslenme alışkanlıklarının da tıpkı diğer alışkanlıklar gibi küçük adımlarla inşa edildiğini gösteriyor.</x:v>
      </x:c>
      <x:c r="J327" s="37" t="str">
        <x:v>Atomik Alışkanlıklar'ın sağlık versiyonunu düşünün.
James Clear'ın temel ilkesi burada da geçerli: Her gün yüzde bir daha iyi.
Bir kişi sağlıklı beslenmeye karar verdi. Ama "sağlıklı beslenme" çok büyük bir hedef. Nereden başlamalı?
Clear'ın yaklaşımı: Tek bir küçük değişiklik seç. Sadece bir şey.
##"Her gün bir bardak su daha iç." Bu kadar. Bir ay sonra bak.##
Bu gülünç derecede küçük görünüyor. Ama işe yarıyor. Çünkü beyin başarı kaydediyor. Ve her başarı bir sonrakini mümkün kılıyor.
Sağlık alışkanlıkları da kimlik meselesi. "Sağlıklı olmaya çalışıyorum" ile "sağlıklı biriyim" arasındaki fark.
Her sağlıklı seçim "sağlıklı biri" kimliğine bir oy. Yeterince oy birikince, kimlik değişiyor. Ve kimlik değişince, davranış değişmek zorunda kalmıyor — doğal geliyor.
$$Sağlık bir program değil, küçük seçimlerin birikiminden oluşan bir kimlik.$$
&amp;&amp;Sağlıkla ilgili hayatınıza eklemek istediğiniz tek, küçük bir alışkanlık nedir? Yarın başlamak için ne gerekiyor?&amp;&amp;</x:v>
      </x:c>
      <x:c r="K327" s="37" t="str"/>
      <x:c r="L327" s="37" t="str"/>
      <x:c r="M327" s="37" t="str"/>
      <x:c r="N327" s="37" t="str"/>
      <x:c r="O327" s="37" t="str"/>
    </x:row>
    <x:row r="328" ht="20" customHeight="1">
      <x:c r="A328" s="33" t="n">
        <x:v>1385</x:v>
      </x:c>
      <x:c r="B328" s="34" t="str">
        <x:v>1</x:v>
      </x:c>
      <x:c r="C328" s="34" t="str">
        <x:v>Sağlık</x:v>
      </x:c>
      <x:c r="D328" s="34" t="str">
        <x:v>Sağlık</x:v>
      </x:c>
      <x:c r="E328" s="34" t="str">
        <x:v>Sağlıklı Olmak</x:v>
      </x:c>
      <x:c r="F328" s="34" t="str">
        <x:v>James Clear</x:v>
      </x:c>
      <x:c r="G328" s="34" t="str">
        <x:v>2019</x:v>
      </x:c>
      <x:c r="H328" s="37" t="str">
        <x:v>Çevre ve sağlık kararları</x:v>
      </x:c>
      <x:c r="I328" s="37" t="str">
        <x:v>Clear'ın çevre tasarımı ilkesini sağlığa uygulayan bu hikaye, sağlıklı seçimleri otomatik hale getirmenin iradenin ötesinde nasıl mümkün olduğunu gösteriyor.</x:v>
      </x:c>
      <x:c r="J328" s="37" t="str">
        <x:v>Stanford Üniversitesi yemekhane araştırması.
Yemekhanede meyve ve sebzeler kasaların yanına konuldu. Sağlıklı seçimler daha görünür, daha erişilebilir yapıldı.
Başka hiçbir şey değişmedi. Fiyatlar aynı. Menü aynı. Kimseye "sağlıklı ye" denilmedi.
##Sağlıklı yemek tüketimi yüzde on sekiz arttı.##
James Clear bunu şöyle açıklıyor: En iyi sağlık kararı, hiç karar vermek zorunda kalmadan otomatik olarak doğru seçimi yapmaktır.
Çevre tasarlamak bu yüzden güçlü. İrade gücü sınırlı. Her karar onu tüketiyor.
Ama ortam tasarlandığında, irade devreye girmeden sağlıklı seçim mümkün oluyor.
Evde: Meyveyi göz hizasına koy, atıştırmalıkları az erişilebilir yere. Spor kıyafetini gece yatmadan hazırla. Suyu her odada görünür yerde tut.
Bu küçük ayarlamalar, gün içindeki onlarca küçük kararı daha sağlıklı yöne çekiyor.
$$İrade gücüne güvenme — ortamını tasarla.$$
&amp;&amp;Evinizde ya da iş yerinizde sağlıklı seçimleri daha kolay hale getirebileceğiniz bir düzenleme nedir?&amp;&amp;</x:v>
      </x:c>
      <x:c r="K328" s="37" t="str"/>
      <x:c r="L328" s="37" t="str"/>
      <x:c r="M328" s="37" t="str"/>
      <x:c r="N328" s="37" t="str"/>
      <x:c r="O328" s="37" t="str"/>
    </x:row>
    <x:row r="329" ht="20" customHeight="1">
      <x:c r="A329" s="33" t="n">
        <x:v>1386</x:v>
      </x:c>
      <x:c r="B329" s="34" t="str">
        <x:v>1</x:v>
      </x:c>
      <x:c r="C329" s="34" t="str">
        <x:v>Sağlık</x:v>
      </x:c>
      <x:c r="D329" s="34" t="str">
        <x:v>Sağlık</x:v>
      </x:c>
      <x:c r="E329" s="34" t="str">
        <x:v>Sağlıklı Olmak</x:v>
      </x:c>
      <x:c r="F329" s="34" t="str">
        <x:v>James Clear</x:v>
      </x:c>
      <x:c r="G329" s="34" t="str">
        <x:v>2019</x:v>
      </x:c>
      <x:c r="H329" s="37" t="str">
        <x:v>Hiçbir zaman iki gün üst üste atla</x:v>
      </x:c>
      <x:c r="I329" s="37" t="str">
        <x:v>Clear'ın 'hiçbir zaman iki kez kaçırma' kuralının neden sağlık alışkanlıklarında yüzde yüz tutarlılıktan daha önemli olduğunu açıklayan hikaye.</x:v>
      </x:c>
      <x:c r="J329" s="37" t="str">
        <x:v>Bir araştırma sorusu: Sağlık alışkanlığı kurmak için yüzde kaç tutarlılık gerekiyor?
Sezgisel cevap: Yüzde yüz. Hiç kaçırma.
Ama araştırma farklı bir şey söylüyor.
Bir gün kaçırmak alışkanlığa zarar vermiyor. İki gün üst üste kaçırmak ise yeni bir kalıp oluşturuyor.
##James Clear bu bulgudan bir kural çıkardı: "Hiçbir zaman iki kez kaçırma."##
Neden bu kadar önemli?
Bir gün kaçırıldığında beyin "bu bir istisna" olarak kodluyor. İki gün kaçırıldığında "bu yeni norm" olarak kodlamaya başlıyor.
Bu kural aynı zamanda mükemmeliyetçilik tuzağını ortadan kaldırıyor. "Bir günü kaçırdım, artık olmaz" düşüncesi alışkanlığı öldüren en yaygın sabotaj.
Clear şöyle diyor: "Kötü bir antreman, hiç antrenman yapmamaktan her zaman daha iyidir. 10 dakika, 5 dakika, 1 dakika bile olsa — alışkanlık devam ediyor."
Önemli olan mükemmel olma değil, kesintisiz olma. Ve bir kez kırıldığında, iki kez kırılmamasını seçme.
$$Mükemmel alışkanlık yok — ama "iki kez kaçırma" kural her alışkanlığı yaşatır.$$
&amp;&amp;Bırakmak üzere olduğunuz bir alışkanlık var mı? "Yalnızca yarın da yaparsam vazgeçerim" diyebilir misiniz?&amp;&amp;</x:v>
      </x:c>
      <x:c r="K329" s="37" t="str"/>
      <x:c r="L329" s="37" t="str"/>
      <x:c r="M329" s="37" t="str"/>
      <x:c r="N329" s="37" t="str"/>
      <x:c r="O329" s="37" t="str"/>
    </x:row>
    <x:row r="330" ht="20" customHeight="1">
      <x:c r="A330" s="33" t="n">
        <x:v>1387</x:v>
      </x:c>
      <x:c r="B330" s="34" t="str">
        <x:v>1</x:v>
      </x:c>
      <x:c r="C330" s="34" t="str">
        <x:v>Büyüme</x:v>
      </x:c>
      <x:c r="D330" s="34" t="str">
        <x:v>Motivasyon</x:v>
      </x:c>
      <x:c r="E330" s="34" t="str">
        <x:v>İçsel Güç</x:v>
      </x:c>
      <x:c r="F330" s="34" t="str">
        <x:v>Tony Robbins</x:v>
      </x:c>
      <x:c r="G330" s="34" t="str">
        <x:v>1991</x:v>
      </x:c>
      <x:c r="H330" s="37" t="str">
        <x:v>Ateş üzerinde yürümek</x:v>
      </x:c>
      <x:c r="I330" s="37" t="str">
        <x:v>Robbins, on binlerce insanı kor ateş üzerinde yürütmesinin nasıl işe yaradığını ve bu deneyimin imkansız sınırlarını nasıl yeniden çizdiğini anlatıyor.</x:v>
      </x:c>
      <x:c r="J330" s="37" t="str">
        <x:v>Tony Robbins seminerlerinde binlerce insana aynı şeyi yaptırıyor.
Kor ateş üzerinde yürümek.
Ortalama 800 derece Celsius. Yalın ayak.
İnsanlar korku içinde geliyor. "Bunu yapamam." "Bu imkansız."
##Ve büyük çoğunluğu yapıyor.##
Robbins bunu sihir olarak sunmuyor. Fizik bilimiyle açıklıyor: Kömür iyi ısı iletmez. Hızlı geçildiğinde, yeterince ısı transfer olmaz.
Ama asıl öğretisi bu değil.
Öğretisi şu: O ateşe adım atmadan önce zihninizde bir sınır vardı. "Bu benim için değil. Bu imkansız."
Ateşi geçtikten sonra o sınır değişiyor. "O kadar imkansız sanmıştım şeyi yaptım — başka ne yapabilirim?"
Robbins buna "referans deneyimi" diyor. Zihninizin "mümkün" sınırını genişleten her deneyim, diğer her şeyin sınırını da genişletiyor.
$$Bir imkansızı aştığınızda, diğer imkansızlar da sorgulanmaya başlar.$$
&amp;&amp;Kendiniz hakkında "imkansız" dediğiniz ama aslında hiç gerçekten denemediğiniz bir şey var mı?&amp;&amp;</x:v>
      </x:c>
      <x:c r="K330" s="37" t="str"/>
      <x:c r="L330" s="37" t="str"/>
      <x:c r="M330" s="37" t="str"/>
      <x:c r="N330" s="37" t="str"/>
      <x:c r="O330" s="37" t="str"/>
    </x:row>
    <x:row r="331" ht="20" customHeight="1">
      <x:c r="A331" s="33" t="n">
        <x:v>1388</x:v>
      </x:c>
      <x:c r="B331" s="34" t="str">
        <x:v>1</x:v>
      </x:c>
      <x:c r="C331" s="34" t="str">
        <x:v>Büyüme</x:v>
      </x:c>
      <x:c r="D331" s="34" t="str">
        <x:v>Motivasyon</x:v>
      </x:c>
      <x:c r="E331" s="34" t="str">
        <x:v>İçsel Güç</x:v>
      </x:c>
      <x:c r="F331" s="34" t="str">
        <x:v>Tony Robbins</x:v>
      </x:c>
      <x:c r="G331" s="34" t="str">
        <x:v>1991</x:v>
      </x:c>
      <x:c r="H331" s="37" t="str">
        <x:v>Altı insan ihtiyacı</x:v>
      </x:c>
      <x:c r="I331" s="37" t="str">
        <x:v>Robbins, her insan davranışının altında yatan altı temel ihtiyacı — kesinlik, çeşitlilik, önem, bağlantı, büyüme ve katkı — keşfetmesinin insanları anlamak için nasıl evrensel bir çerçeve sunduğunu anlatıyor.</x:v>
      </x:c>
      <x:c r="J331" s="37" t="str">
        <x:v>Tony Robbins on yıllarca insanlarla çalıştıktan sonra bir şey fark etti.
Davranışlar farklı. Ama altta yatan ihtiyaçlar aynı.
Her insan altı temel ihtiyacı karşılamak için hareket ediyor.
Kesinlik: Güvenlik, öngörülebilirlik, kontrol.
Çeşitlilik: Yenilik, macera, değişim.
Önem: Benzersizlik, değer, saygı.
Bağlantı: Sevgi, aidiyet, yakınlık.
Büyüme: Gelişim, öğrenme, ilerleme.
Katkı: Bir şeye hizmet etmek, anlam.
##Robbins şöyle diyor: "Her davranış — ne kadar yıkıcı görünürse görünsün — bir ya da birden fazla ihtiyacı karşılıyor."##
Sigara içen biri: Kesinlik (rahatlatıyor) ve sosyal bağlantı (arkadaşlarla yapıyor) karşılanıyor.
Bu iki ihtiyacı başka yollarla karşılasaydı, sigarayı bırakmak çok daha kolay olurdu.
Robbins'in değer biçtiği bu çerçeve: Davranışı değil, altta yatan ihtiyacı gör. Ve o ihtiyacı daha sağlıklı yollarla karşıla.
$$Her davranışın arkasında bir ihtiyaç var — ihtiyacı anlarsanız, davranışı değiştirebilirsiniz.$$
&amp;&amp;Değiştirmek istediğiniz bir alışkanlığı düşünün. Bu alışkanlık altı ihtiyaçtan hangisini karşılıyor?&amp;&amp;</x:v>
      </x:c>
      <x:c r="K331" s="37" t="str"/>
      <x:c r="L331" s="37" t="str"/>
      <x:c r="M331" s="37" t="str"/>
      <x:c r="N331" s="37" t="str"/>
      <x:c r="O331" s="37" t="str"/>
    </x:row>
    <x:row r="332" ht="20" customHeight="1">
      <x:c r="A332" s="33" t="n">
        <x:v>1389</x:v>
      </x:c>
      <x:c r="B332" s="34" t="str">
        <x:v>1</x:v>
      </x:c>
      <x:c r="C332" s="34" t="str">
        <x:v>Büyüme</x:v>
      </x:c>
      <x:c r="D332" s="34" t="str">
        <x:v>Motivasyon</x:v>
      </x:c>
      <x:c r="E332" s="34" t="str">
        <x:v>İçsel Güç</x:v>
      </x:c>
      <x:c r="F332" s="34" t="str">
        <x:v>Tony Robbins</x:v>
      </x:c>
      <x:c r="G332" s="34" t="str">
        <x:v>1991</x:v>
      </x:c>
      <x:c r="H332" s="37" t="str">
        <x:v>Kaynak durumu ve performans zirvesi</x:v>
      </x:c>
      <x:c r="I332" s="37" t="str">
        <x:v>Robbins, zihinsel ve duygusal durumun performansı nasıl doğrudan etkilediğini ve istenen durumu kasıtlı olarak yaratmanın mümkün olduğunu anlatıyor.</x:v>
      </x:c>
      <x:c r="J332" s="37" t="str">
        <x:v>Tony Robbins şöyle bir gözlem yapıyor.
Aynı insan, farklı günlerde tamamen farklı performans sergiliyor. Aynı bilgi, aynı yetenek, aynı çevre.
Fark ne?
"Durum" diyor Robbins.
##"Bilgi güç değildir. Harekete geçirilen bilgi güçtür. Ve harekete geçirmek için doğru durumda olmak gerekiyor."##
Düşük enerji, düşük güven, yüksek kaygı durumunda — aynı kişi en iyi performansını veremiyor.
Ama durum seçilebilir mi?
Robbins'in cevabı: Evet. Ve yol vücuttan geçiyor.
Fizyoloji duyguyu belirliyor. Omuzlar öne eğik, nefes sığ, baş aşağı — bu beden dili beyne "düşük enerji modu" sinyali veriyor.
Ama tersi de çalışıyor: Dik dur, derin nefes al, güçlü bir yürüyüş yap. Beyin sinyali alıyor: "Hazırım."
Robbins buna "kaynak durumu" diyor. Her önemli etkinlik öncesinde kendinizi aktif olarak o duruma taşıyın.
$$Davranışı değiştirmek istiyorsanız, önce durumu değiştirin.$$
&amp;&amp;Önemli bir an öncesinde zihninizi ve bedeninizi nasıl hazırlıyorsunuz? Bu hazırlık sonucu nasıl etkiliyor?&amp;&amp;</x:v>
      </x:c>
      <x:c r="K332" s="37" t="str"/>
      <x:c r="L332" s="37" t="str"/>
      <x:c r="M332" s="37" t="str"/>
      <x:c r="N332" s="37" t="str"/>
      <x:c r="O332" s="37" t="str"/>
    </x:row>
    <x:row r="333" ht="20" customHeight="1">
      <x:c r="A333" s="33" t="n">
        <x:v>1390</x:v>
      </x:c>
      <x:c r="B333" s="34" t="str">
        <x:v>1</x:v>
      </x:c>
      <x:c r="C333" s="34" t="str">
        <x:v>Liderlik</x:v>
      </x:c>
      <x:c r="D333" s="34" t="str">
        <x:v>Hedefler</x:v>
      </x:c>
      <x:c r="E333" s="34" t="str">
        <x:v>Hedeflere Ulaşmak</x:v>
      </x:c>
      <x:c r="F333" s="34" t="str">
        <x:v>Brian Tracy</x:v>
      </x:c>
      <x:c r="G333" s="34" t="str">
        <x:v>2003</x:v>
      </x:c>
      <x:c r="H333" s="37" t="str">
        <x:v>Hedefin netliği ve beyin aktivasyonu</x:v>
      </x:c>
      <x:c r="I333" s="37" t="str">
        <x:v>Tracy, net yazılı hedeflerin beynin retikular aktivasyon sistemini nasıl programladığını ve bu programlamanın neden fırsatları görünür kıldığını anlatıyor.</x:v>
      </x:c>
      <x:c r="J333" s="37" t="str">
        <x:v>Brian Tracy bir araştırmayı aktarıyor.
Üniversite mezunlarının yalnızca yüzde üçü hedeflerini yazıya dökmüştü. Yüzde on üç sözel hedefleri vardı. Yüzde seksen dördünün net hedefi yoktu.
On yıl sonra takip araştırması yapıldı.
Yüzde on üç, yüzde seksen dördünden iki kat daha fazla kazanıyordu.
##Ama asıl şok: Yüzde üç — yazılı hedefleri olanlar — diğer yüzde doksan yedinin toplamından on kat daha fazla kazanıyordu.##
Tracy bu fenomeni şöyle açıklıyor: Beyin ağ aktivasyon sistemi (RAS), odaklandığınız şeyleri fark etmek için programlanmış bir filtredir.
Yazılı hedef, bu filtreyi kalibre ediyor. "Bu hedefe uygun her şeyi bana göster" diyorsunuz beyne.
Ve beyin gösteriyor. Her zaman orada olan fırsatları, kaynakları, insanları şimdi fark ediyorsunuz.
Hedef yazmadan önce — görmezden geliniyordu. Hedef yazıldıktan sonra — her yerde görünür.
$$Yazılı hedef beyne bir arama komutu verir — yazmadığınız hedef hiç aranmaz.$$
&amp;&amp;Bu yıl için en önemli üç hedefiniz yazılı mı? Yazılı değilse, bugün yazmak için beş dakika ayırabilir misiniz?&amp;&amp;</x:v>
      </x:c>
      <x:c r="K333" s="37" t="str"/>
      <x:c r="L333" s="37" t="str"/>
      <x:c r="M333" s="37" t="str"/>
      <x:c r="N333" s="37" t="str"/>
      <x:c r="O333" s="37" t="str"/>
    </x:row>
    <x:row r="334" ht="20" customHeight="1">
      <x:c r="A334" s="33" t="n">
        <x:v>1391</x:v>
      </x:c>
      <x:c r="B334" s="34" t="str">
        <x:v>1</x:v>
      </x:c>
      <x:c r="C334" s="34" t="str">
        <x:v>Liderlik</x:v>
      </x:c>
      <x:c r="D334" s="34" t="str">
        <x:v>Hedefler</x:v>
      </x:c>
      <x:c r="E334" s="34" t="str">
        <x:v>Hedeflere Ulaşmak</x:v>
      </x:c>
      <x:c r="F334" s="34" t="str">
        <x:v>Brian Tracy</x:v>
      </x:c>
      <x:c r="G334" s="34" t="str">
        <x:v>2003</x:v>
      </x:c>
      <x:c r="H334" s="37" t="str">
        <x:v>Hedefin altı P'si</x:v>
      </x:c>
      <x:c r="I334" s="37" t="str">
        <x:v>Tracy, güçlü bir hedefin sahip olması gereken altı özelliği anlatıyor ve bu özelliklerin her birinin hedef başarısında neden kritik rol oynadığını gösteriyor.</x:v>
      </x:c>
      <x:c r="J334" s="37" t="str">
        <x:v>Brian Tracy hedef koymanın bir bilim olduğunu söylüyor.
Ve bu bilimin altı P'si var.
Positive — Pozitif: Hedef ne istediğinizi söylemeli, ne istemediğinizi değil. "Sigara içmeyeceğim" değil, "sağlıklı yaşayacağım."
Present tense — Şimdiki zaman: "Kazanacağım" değil, "kazanıyorum." Beyin şimdiki zamanda yaşıyor.
Personal — Kişisel: "Biz" değil, "ben." Hedef sizin olmalı.
##Precise — Kesin: Tarih ve rakam içermeli. "Daha fazla para kazanmak" değil, "31 Aralık'a kadar aylık 10.000 dolar kazanmak."##
Positive emotion — Pozitif duygu: Hedefi her düşündüğünüzde heyecan hissedebilmelisiniz. Heyecan yoksa, bu gerçekten istediğiniz hedef değil.
Persistent — Kalıcı: Her gün gözden geçirmelisiniz. Unutulan hedef gerçekleşmez.
Tracy bunu şöyle özetliyor: Bu altı özelliği taşıyan bir hedef, beynin onu gerçekleştirmeye yönelmesini neredeyse kaçınılmaz kılıyor.
$$Hedef ne kadar net ve kişisel, beyin o kadar güçlü programlanır.$$
&amp;&amp;En önemli hedefinizi Tracy'nin altı P'siyle yeniden yazın. Nasıl değişti?&amp;&amp;</x:v>
      </x:c>
      <x:c r="K334" s="37" t="str"/>
      <x:c r="L334" s="37" t="str"/>
      <x:c r="M334" s="37" t="str"/>
      <x:c r="N334" s="37" t="str"/>
      <x:c r="O334" s="37" t="str"/>
    </x:row>
    <x:row r="335" ht="20" customHeight="1">
      <x:c r="A335" s="33" t="n">
        <x:v>1392</x:v>
      </x:c>
      <x:c r="B335" s="34" t="str">
        <x:v>1</x:v>
      </x:c>
      <x:c r="C335" s="34" t="str">
        <x:v>Liderlik</x:v>
      </x:c>
      <x:c r="D335" s="34" t="str">
        <x:v>Hedefler</x:v>
      </x:c>
      <x:c r="E335" s="34" t="str">
        <x:v>Hedeflere Ulaşmak</x:v>
      </x:c>
      <x:c r="F335" s="34" t="str">
        <x:v>Brian Tracy</x:v>
      </x:c>
      <x:c r="G335" s="34" t="str">
        <x:v>2003</x:v>
      </x:c>
      <x:c r="H335" s="37" t="str">
        <x:v>En büyük hedef ve günlük adım</x:v>
      </x:c>
      <x:c r="I335" s="37" t="str">
        <x:v>Tracy, en büyük hedeflere bile her gün atılan küçük adımların nasıl ulaştırdığını ve bu adımlar ile büyük hedef arasındaki köprüyü nasıl kurduğunu anlatıyor.</x:v>
      </x:c>
      <x:c r="J335" s="37" t="str">
        <x:v>Brian Tracy şu soruyu soruyor: "Eğer başarabileceğinizden kesinlikle emin olsaydınız, hayatınızda en çok ne yapmak isterdiniz?"
Bu soru insanlara kilitlenmiş kapıları açıyor. Çünkü çoğu hedef "imkansız" görüldüğü için hiç düşünülmüyor bile.
Ama soru sınırı kaldırıyor.
Ve Tracy şöyle devam ediyor: O büyük hedefi buldunuz. Şimdi tek soru şu: Bugün, bu hedefe doğru atabileceğiniz en küçük adım nedir?
##"Fil yemek gibi" diyor Tracy. "Nasıl fil yersiniz? Bir seferinde bir ısırık."##
Büyük hedefler sizi felç etmez — eğer her gün küçük bir adım atıyorsanız.
Her gün bir adım. 365 gün. Bir yıl sonra büyük hedefin yüzde yüz mü uzağındasınız? Hayır. Çünkü adımlar birikti. Momentum oluştu. Beyin "ilerliyor" moduna girdi.
Tracy şunu söylüyor: "Büyük başarıların sırrı, olağanüstü şeyler yapmak değil. Her gün sıradan şeyleri olağanüstü biçimde yapmak."
$$Büyük hedefler küçük günlük adımların birikmesinden doğar — tek bir adım her zaman mümkündür.$$
&amp;&amp;Bugün, en büyük hedefinize doğru atabileceğiniz tek, küçük adım nedir? Onu bugün yapabilir misiniz?&amp;&amp;</x:v>
      </x:c>
      <x:c r="K335" s="37" t="str"/>
      <x:c r="L335" s="37" t="str"/>
      <x:c r="M335" s="37" t="str"/>
      <x:c r="N335" s="37" t="str"/>
      <x:c r="O335" s="37" t="str"/>
    </x:row>
    <x:row r="336" ht="20" customHeight="1">
      <x:c r="A336" s="33" t="n">
        <x:v>1393</x:v>
      </x:c>
      <x:c r="B336" s="34" t="str">
        <x:v>1</x:v>
      </x:c>
      <x:c r="C336" s="34" t="str">
        <x:v>Verimlilik</x:v>
      </x:c>
      <x:c r="D336" s="34" t="str">
        <x:v>Verimlilik</x:v>
      </x:c>
      <x:c r="E336" s="34" t="str">
        <x:v>Yeme Bozukluğu</x:v>
      </x:c>
      <x:c r="F336" s="34" t="str">
        <x:v>Brian Tracy</x:v>
      </x:c>
      <x:c r="G336" s="34" t="str">
        <x:v>2001</x:v>
      </x:c>
      <x:c r="H336" s="37" t="str">
        <x:v>Kurbağayı sabah yemek</x:v>
      </x:c>
      <x:c r="I336" s="37" t="str">
        <x:v>Tracy, Mark Twain'in meşhur kurbağa sözünden yola çıkarak sabah ilk iş olarak en zor ve en önemli görevi yapmanın günü nasıl dönüştürdüğünü anlatıyor.</x:v>
      </x:c>
      <x:c r="J336" s="37" t="str">
        <x:v>Mark Twain'in bir sözü var: "Her sabah canlı bir kurbağa yersen, günün geri kalanında başına gelebilecek en kötü şey geçmiş demektir."
Brian Tracy bu sözü verimlilik felsefesinin merkezine koydu.
"Kurbağan" o gün yapmak zorunda olduğun ama yapmaktan en çok kaçındığın görev. Ertelenen vergi beyannamesi. Zor müşteri araması. Uzun süredir bekleyen kritik karar.
##Tracy şunu keşfetti: O görevi sabah ilk iş olarak yapanlar, tüm günü çok daha üretken geçiriyor.##
Neden?
Çünkü o görev bilinçaltında çalışıyor. "Bunu yapmam lazım" sesi arka planda çınlıyor. Enerji tüketiyor. Odağı dağıtıyor.
Sabah ilk yapıldığında: Ses kesilir. Zihin ferahlar. Günün geri kalanı hafif geçer.
Ama çoğumuz tam tersini yapıyor. Sabah kolay işlerle başlıyoruz. Kurbağa büyüyor. Akşam yorgun ve mahcupla yatıyoruz — kurbağa hâlâ orada.
Tracy'nin kuralı basit: Gece yatmadan yarının kurbağasını belirle. Sabah kalktığında başka hiçbir şey yapmadan onu yap.
$$Günün en zor görevini sabah ilk yapın — gün boyu zihninizi işgal etmesini engelleyin.$$
&amp;&amp;Bugünkü "kurbağanız" hangisi? Şu an onu yapmanın önündeki engel gerçekten ne?&amp;&amp;</x:v>
      </x:c>
      <x:c r="K336" s="37" t="str"/>
      <x:c r="L336" s="37" t="str"/>
      <x:c r="M336" s="37" t="str"/>
      <x:c r="N336" s="37" t="str"/>
      <x:c r="O336" s="37" t="str"/>
    </x:row>
    <x:row r="337" ht="20" customHeight="1">
      <x:c r="A337" s="33" t="n">
        <x:v>1394</x:v>
      </x:c>
      <x:c r="B337" s="34" t="str">
        <x:v>1</x:v>
      </x:c>
      <x:c r="C337" s="34" t="str">
        <x:v>Verimlilik</x:v>
      </x:c>
      <x:c r="D337" s="34" t="str">
        <x:v>Verimlilik</x:v>
      </x:c>
      <x:c r="E337" s="34" t="str">
        <x:v>Yeme Bozukluğu</x:v>
      </x:c>
      <x:c r="F337" s="34" t="str">
        <x:v>Brian Tracy</x:v>
      </x:c>
      <x:c r="G337" s="34" t="str">
        <x:v>2001</x:v>
      </x:c>
      <x:c r="H337" s="37" t="str">
        <x:v>80/20 ve kritik görevler</x:v>
      </x:c>
      <x:c r="I337" s="37" t="str">
        <x:v>Tracy, Pareto İlkesi'ni görev listesine uygulayarak görevlerin yüzde yirmisinin sonuçların yüzde seksenini ürettiğini ve kritik göreve odaklanmanın nasıl verimliliği katladığını anlatıyor.</x:v>
      </x:c>
      <x:c r="J337" s="37" t="str">
        <x:v>Brian Tracy her sabah şunu yapıyor.
Yapılacaklar listesine bakıyor. Ve kendine soruyor: "Eğer bugün yalnızca bir şey yapabilseydim, en büyük farkı yaratacak olan neydi?"
Bu soru listeyi temizliyor.
Çünkü Tracy şunu biliyor: Yapılacaklar listesinin yüzde yirmisi, sonuçların yüzde seksenini üretiyor.
Ama o yüzde yirmiyi bulmak için önce bakmak lazım.
##Tracy'nin aracı ABCDE listesi. A: Mutlaka yapılmalı. B: Yapılmalı ama sonuçları A kadar kritik değil. C: İyi olur. D: Devret. E: Ele.##
Pek çok insan günü C ve D görevleriyle geçiriyor. Hissettirdiği için verimlilik var. Ama gerçek sonuç yok.
A görevi zor. Çünkü önemli. Ve önemli şeyler genellikle rahatsız edici.
Ama Tracy şunu söylüyor: A görevini tamamlayan bir günün ne kadar az ya da çok yapılmış olduğu önemli değil. O gün başarılı bir gündür.
$$Çok şey yapmak değil, doğru şeyi yapmak — asıl verimlilik bu.$$
&amp;&amp;Bu hafta listenizde duran ama sürekli ertelediğiniz tek bir "A görevi" var mı?&amp;&amp;</x:v>
      </x:c>
      <x:c r="K337" s="37" t="str"/>
      <x:c r="L337" s="37" t="str"/>
      <x:c r="M337" s="37" t="str"/>
      <x:c r="N337" s="37" t="str"/>
      <x:c r="O337" s="37" t="str"/>
    </x:row>
    <x:row r="338" ht="20" customHeight="1">
      <x:c r="A338" s="33" t="n">
        <x:v>1395</x:v>
      </x:c>
      <x:c r="B338" s="34" t="str">
        <x:v>1</x:v>
      </x:c>
      <x:c r="C338" s="34" t="str">
        <x:v>Verimlilik</x:v>
      </x:c>
      <x:c r="D338" s="34" t="str">
        <x:v>Verimlilik</x:v>
      </x:c>
      <x:c r="E338" s="34" t="str">
        <x:v>Yeme Bozukluğu</x:v>
      </x:c>
      <x:c r="F338" s="34" t="str">
        <x:v>Brian Tracy</x:v>
      </x:c>
      <x:c r="G338" s="34" t="str">
        <x:v>2001</x:v>
      </x:c>
      <x:c r="H338" s="37" t="str">
        <x:v>Odaklanma ve tek görev ilkesi</x:v>
      </x:c>
      <x:c r="I338" s="37" t="str">
        <x:v>Tracy, çoklu görev yapmanın verimliliği nasıl düşürdüğünü ve tek bir göreve tam odaklanmanın nasıl hem kaliteyi hem hızı artırdığını araştırmalarla gösteriyor.</x:v>
      </x:c>
      <x:c r="J338" s="37" t="str">
        <x:v>Brian Tracy çoklu görev efsanesini yıkıyor.
"Aynı anda birden fazla şey yapabiliyorum." Çoğu insan buna inanıyor.
Araştırmalar bunu yanlışlıyor.
Beyin gerçekte aynı anda iki görevi işleyemiyor. Bunun yerine hızla geçişler yapıyor: görev A, görev B, görev A, görev B...
Her geçiş "bağlam değiştirme maliyeti" yaratıyor. Yeniden odaklanmak zaman alıyor. Ve dikkat her geçişte biraz kayboluyor.
##Tracy bir araştırmayı aktarıyor: Görevler arasında kesintisiz geçiş yapanların verimliliği, tek göreve odaklananlara kıyasla yüzde kırk daha düşük.##
Ve dahası: Kalite de düşüyor. Dikkat dağıtık yapılan iş hem daha yavaş hem daha hatalı.
Tracy'nin çözümü: Tek görev blokları.
Belirli bir süre — 25, 45, 90 dakika — yalnızca bir göreve odaklan. Telefon kapalı. Bildirimler kapalı. Tek pencere açık.
O süreyi tamamla. Sonra mola.
Bu basit. Ama pratikte nadir. Çünkü her şey dikkatinizi çekmeye tasarlanmış.
$$Birden fazla şeye yarım odaklanmak yerine tek şeye tam odaklanın — sonuçlar dramatik biçimde farklılaşır.$$
&amp;&amp;Bugün işinizde tam odaklanarak, kesintisiz geçirdiğiniz süre ne kadar? Bu süreyi artırmak için ne değiştirebilirsiniz?&amp;&amp;</x:v>
      </x:c>
      <x:c r="K338" s="37" t="str"/>
      <x:c r="L338" s="37" t="str"/>
      <x:c r="M338" s="37" t="str"/>
      <x:c r="N338" s="37" t="str"/>
      <x:c r="O338" s="37" t="str"/>
    </x:row>
    <x:row r="339" ht="20" customHeight="1">
      <x:c r="A339" s="33" t="n">
        <x:v>1396</x:v>
      </x:c>
      <x:c r="B339" s="34" t="str">
        <x:v>1</x:v>
      </x:c>
      <x:c r="C339" s="34" t="str">
        <x:v>Liderlik</x:v>
      </x:c>
      <x:c r="D339" s="34" t="str">
        <x:v>Strateji</x:v>
      </x:c>
      <x:c r="E339" s="34" t="str">
        <x:v>Sonsuz Oyun</x:v>
      </x:c>
      <x:c r="F339" s="34" t="str">
        <x:v>Simon Sinek</x:v>
      </x:c>
      <x:c r="G339" s="34" t="str">
        <x:v>2019</x:v>
      </x:c>
      <x:c r="H339" s="37" t="str">
        <x:v>Sonsuz ve sonlu oyun farkı</x:v>
      </x:c>
      <x:c r="I339" s="37" t="str">
        <x:v>Sinek, James Carse'ın oyun teorisinden yola çıkarak şirketlerin ve liderlerin çoğunlukla sonsuz bir oyunda sonlu oyuncular gibi davrandığını ve bunun nasıl yıkıcı olduğunu anlatıyor.</x:v>
      </x:c>
      <x:c r="J339" s="37" t="str">
        <x:v>Simon Sinek James Carse'ın bir fikriyle karşılaştı ve her şey değişti.
Carse iki tür oyun tanımlıyor.
Sonlu oyun: Bilinen oyuncular, sabit kurallar, kimin kazandığı belli olan bir son. Futbol, satranç.
Sonsuz oyun: Bilinen ve bilinmeyen oyuncular, değişen kurallar, kazanmak değil devam etmek amacı. İş dünyası, siyaset, hayat.
##Sinek şunu fark etti: Çoğu şirket sonsuz bir oyunda sonlu stratejilerle oynuyor.##
"Rakibimizi geçeceğiz." "Bu çeyrekte birinci olacağız." "Onları ezeceğiz."
Ama iş dünyasında "birinci olmak" geçici. Rakipler değişiyor. Piyasa değişiyor. Teknoloji değişiyor.
Sonsuz oyunun amacı kazanmak değil, devam etmek. Güçlü kalmak. Uyum sağlamak. Büyümek.
Sinek'in gözlemi: Sonsuz zihniyete sahip şirketler — Apple, Disney, Amazon — onlarca yıl boyunca ayakta kalan ve dönüşen şirketler. Sonlu zihniyetle çalışanlar ise kısa vadeli kazançların ardından çöküyor.
$$Oyunun kuralları sürekli değişiyor — kazanmayı değil, devam etmeyi hedefleyin.$$
&amp;&amp;Kendiniz ya da işiniz açısından "kazanmak" mı, yoksa "devam etmek ve büyümek" mi hedefliyorsunuz? Bu iki yaklaşım nasıl farklı kararlar üretiyor?&amp;&amp;</x:v>
      </x:c>
      <x:c r="K339" s="37" t="str"/>
      <x:c r="L339" s="37" t="str"/>
      <x:c r="M339" s="37" t="str"/>
      <x:c r="N339" s="37" t="str"/>
      <x:c r="O339" s="37" t="str"/>
    </x:row>
    <x:row r="340" ht="20" customHeight="1">
      <x:c r="A340" s="33" t="n">
        <x:v>1397</x:v>
      </x:c>
      <x:c r="B340" s="34" t="str">
        <x:v>1</x:v>
      </x:c>
      <x:c r="C340" s="34" t="str">
        <x:v>Liderlik</x:v>
      </x:c>
      <x:c r="D340" s="34" t="str">
        <x:v>Strateji</x:v>
      </x:c>
      <x:c r="E340" s="34" t="str">
        <x:v>Sonsuz Oyun</x:v>
      </x:c>
      <x:c r="F340" s="34" t="str">
        <x:v>Simon Sinek</x:v>
      </x:c>
      <x:c r="G340" s="34" t="str">
        <x:v>2019</x:v>
      </x:c>
      <x:c r="H340" s="37" t="str">
        <x:v>Sadık rakip — öğreten düşman</x:v>
      </x:c>
      <x:c r="I340" s="37" t="str">
        <x:v>Sinek, sonsuz oyuncuların güçlü rakipleri yok etmek değil onlardan öğrenmek ve kendi vizyonlarını güçlendirmek için kullandıklarını Apple ve Microsoft örneğiyle anlatıyor.</x:v>
      </x:c>
      <x:c r="J340" s="37" t="str">
        <x:v>Simon Sinek Apple ve Microsoft'un ilişkisine bakıyor.
İki dev rakip. Onlarca yıl boyunca sürdürülen bir rekabet.
Ama Sinek ilginç bir fark fark ediyor.
Apple'ın reklamları uzun yıllar boyunca Microsoft'a saldırıyordu. "Mac vs PC" reklamları bunu simgeleyen en belirgin örnekti.
Sonra bir şey değişti. Apple büyüdü. Ve konuşması değişti. Artık Microsoft'tan konuşmuyordu. Kendi vizyonundan konuşuyordu.
##Sinek şöyle diyor: "Sonlu oyuncu rakibini takip eder. Sonsuz oyuncu kendi vizyonunu takip eder."##
Sonsuz oyuncunun güçlü rakibi olması iyi. Neden? Çünkü güçlü rakip sizi motive ediyor. Daha iyi olmaya zorluyor. Complacency'i önlüyor.
Sinek buna "sadık rakip" diyor. Sizi ikinci sıraya itmeye çalışan, ama bu yüzden sizi daha güçlü yapan biri.
Ama sadık rakibinizin sizi tanımlamasına izin vermemeniz lazım. Onların peşinden koşmak sizi reaktif yapıyor. Kendi vizyonunuzu takip etmek sizi proaktif.
$$Rakiplerinizden öğrenin ama onlar tarafından tanımlanmayın.$$
&amp;&amp;İş ya da kişisel hayatınızda sizi güçlendiren bir "sadık rakibiniz" var mı? Ondan ne öğreniyorsunuz?&amp;&amp;</x:v>
      </x:c>
      <x:c r="K340" s="37" t="str"/>
      <x:c r="L340" s="37" t="str"/>
      <x:c r="M340" s="37" t="str"/>
      <x:c r="N340" s="37" t="str"/>
      <x:c r="O340" s="37" t="str"/>
    </x:row>
    <x:row r="341" ht="20" customHeight="1">
      <x:c r="A341" s="33" t="n">
        <x:v>1398</x:v>
      </x:c>
      <x:c r="B341" s="34" t="str">
        <x:v>1</x:v>
      </x:c>
      <x:c r="C341" s="34" t="str">
        <x:v>Liderlik</x:v>
      </x:c>
      <x:c r="D341" s="34" t="str">
        <x:v>Strateji</x:v>
      </x:c>
      <x:c r="E341" s="34" t="str">
        <x:v>Sonsuz Oyun</x:v>
      </x:c>
      <x:c r="F341" s="34" t="str">
        <x:v>Simon Sinek</x:v>
      </x:c>
      <x:c r="G341" s="34" t="str">
        <x:v>2019</x:v>
      </x:c>
      <x:c r="H341" s="37" t="str">
        <x:v>Sonsuz liderler ve güven kültürü</x:v>
      </x:c>
      <x:c r="I341" s="37" t="str">
        <x:v>Sinek, sonsuz zihniyetle yönetilen şirketlerde güven kültürünün nasıl inşa edildiğini ve bu kültürün uzun vadeli başarının temeli olduğunu anlatıyor.</x:v>
      </x:c>
      <x:c r="J341" s="37" t="str">
        <x:v>Simon Sinek son bir soru soruyor.
"Sonsuz bir oyun için hangi liderlik gerekiyor?"
Cevabı güven kültürü.
Kısa vadeli hedeflere odaklanan lider, güveni feda edebilir. Karları artırmak için çalışanları kısıtlar. Müşterileri yanıltır. Partnerleri sıkıştırır.
Kısa vadede işe yarayabilir. Ama sonsuz oyunda bu strateji yıkıcı.
##Sinek şöyle diyor: "Güven inşa etmek yavaştır. Yıkmak hızlıdır. Ve sonsuz oyunda güven en değerli para biriminizdir."##
Güven kültürü ne anlama geliyor?
Çalışanlar hatalarını gizlemek zorunda hissetmiyor. Kötü haberleri erken söyleyebiliyorlar. Liderler "bilmiyorum" diyebiliyor. Müşteriler şirketi kendileri için karar verdiğini hissediyor.
Bu kısa vadede maliyetli görünüyor. Ama uzun vadede karşılığı büyük.
Sinek şunu soruyor: "Liderler çalışmak zorunda oldukları için mi çalışıyor, yoksa çalışmak istedikleri için mi?" İkincisi sonsuz oyunun göstergesi.
$$Sonsuz oyun kazanılmaz — ama oyun içinde kalmayı ve büyümeyi mümkün kılan güven inşa edilebilir.$$
&amp;&amp;Şu an içinde bulunduğunuz ortamda güven kültürü var mı? Olmadığında ne ödeniyor?&amp;&amp;</x:v>
      </x:c>
      <x:c r="K341" s="37" t="str"/>
      <x:c r="L341" s="37" t="str"/>
      <x:c r="M341" s="37" t="str"/>
      <x:c r="N341" s="37" t="str"/>
      <x:c r="O341" s="37" t="str"/>
    </x:row>
    <x:row r="342" ht="20" customHeight="1">
      <x:c r="A342" s="33" t="n">
        <x:v>1399</x:v>
      </x:c>
      <x:c r="B342" s="34" t="str">
        <x:v>1</x:v>
      </x:c>
      <x:c r="C342" s="34" t="str">
        <x:v>Bilim</x:v>
      </x:c>
      <x:c r="D342" s="34" t="str">
        <x:v>Teknoloji</x:v>
      </x:c>
      <x:c r="E342" s="34" t="str">
        <x:v>Zeki Kalabalıklar</x:v>
      </x:c>
      <x:c r="F342" s="34" t="str">
        <x:v>Howard Rheingold</x:v>
      </x:c>
      <x:c r="G342" s="34" t="str">
        <x:v>2002</x:v>
      </x:c>
      <x:c r="H342" s="37" t="str">
        <x:v>Japonya'da cep telefonuyla koordinasyon</x:v>
      </x:c>
      <x:c r="I342" s="37" t="str">
        <x:v>Rheingold, Tokyo gençlerinin cep telefonlarıyla anlık koordinasyon yaparak alışveriş ve sosyal etkinlik düzenlemesini ağ zekasının ilk tezahürü olarak gösteriyor.</x:v>
      </x:c>
      <x:c r="J342" s="37" t="str">
        <x:v>2002. Tokyo metrolarında garip bir şey oluyordu.
Gençler cep telefonlarına bakarak yürüyor, gülüyor, birbirlerine mesaj atıyor ve birkaç saniye içinde nerede buluşacaklarına karar veriyordu.
Restoran değişiyor, nokta değişiyor, plan anlık şekilleniyor. Hiçbir önceden planlama yoktu.
Howard Rheingold bu örüntüyü "akıllı kalabalıklar" kavramının ilk somut göstergesi olarak belgeledi.
##Bireyler tek başlarına sıradan kararlar alırken, ağ aracılığıyla bağlandıklarında kolektif bir zeka ortaya çıkıyordu — kimsenin ayrı ayrı sahip olmadığı bir zeka.##
Rheingold bu gözlemi daha büyük bir soruya bağladı: İnsanlar teknoloji aracılığıyla bağlandıklarında ne tür yeni kapasiteler kazanıyorlar?
Cevap hem heyecan verici hem de ürkütücüydü.
Bir tarafta: Binlerce kişinin koordinasyonsuz ama uyumlu hareket ettiği protestolar, anlık yardım ağları, dağıtık problem çözme.
Diğer tarafta: Dezenformasyon, manipülasyon, sürü psikolojisi.
Rheingold şunu söylüyordu: Bu teknolojilerin ne yapacağı henüz belli değil. Ama bu soruyu sormak artık zorunlu.
$$Bağlantılı bireyler bir süründen çok daha zeki davranabilir — ya da çok daha tehlikeli.$$
&amp;&amp;Şu an bir ağın parçası olarak — sosyal medya, iş grubu, topluluk — o ağın kolektif zekası sizi akıllılaştırıyor mu yoksa körleştiriyor mu?&amp;&amp;</x:v>
      </x:c>
      <x:c r="K342" s="37" t="str"/>
      <x:c r="L342" s="37" t="str"/>
      <x:c r="M342" s="37" t="str"/>
      <x:c r="N342" s="37" t="str"/>
      <x:c r="O342" s="37" t="str"/>
    </x:row>
    <x:row r="343" ht="20" customHeight="1">
      <x:c r="A343" s="33" t="n">
        <x:v>1400</x:v>
      </x:c>
      <x:c r="B343" s="34" t="str">
        <x:v>1</x:v>
      </x:c>
      <x:c r="C343" s="34" t="str">
        <x:v>Bilim</x:v>
      </x:c>
      <x:c r="D343" s="34" t="str">
        <x:v>Teknoloji</x:v>
      </x:c>
      <x:c r="E343" s="34" t="str">
        <x:v>Zeki Kalabalıklar</x:v>
      </x:c>
      <x:c r="F343" s="34" t="str">
        <x:v>Howard Rheingold</x:v>
      </x:c>
      <x:c r="G343" s="34" t="str">
        <x:v>2002</x:v>
      </x:c>
      <x:c r="H343" s="37" t="str">
        <x:v>Wikipedia ve kolektif bilgi üretimi</x:v>
      </x:c>
      <x:c r="I343" s="37" t="str">
        <x:v>Rheingold, herkesin katkıda bulunduğu Wikipedia'nın nasıl uzman ansiklopedilerden daha kapsamlı ve çoğu zaman daha doğru hale geldiğini anlatıyor.</x:v>
      </x:c>
      <x:c r="J343" s="37" t="str">
        <x:v>2001'de Jimmy Wales ve Larry Sanger garip bir deney başlattı.
Herkesin yazabileceği bir ansiklopedi. Editörler yok. Uzman paneli yok. Kalite kontrolü için yalnızca kalabalık.
Eleştirmenler güldü. "Vandalizm olacak. Yanlış bilgilerle dolacak. Ciddiye alınamaz."
Ama beklenmedik bir şey oldu.
##İlk birkaç yıl içinde Wikipedia, Encyclopedia Britannica'dan daha fazla madde içeriyordu. Ve yapılan bağımsız doğrulama çalışmaları, hata oranının profesyonel ansiklopedilerle karşılaştırılabilir düzeyde olduğunu gösterdi.##
Rheingold bu fenomeni şöyle açıklıyor: Kalabalık kendiliğinden kendini düzeltiyor. Bir hata girildiğinde, binlerce okuyucudan biri fark edip düzeltiyor. Vandalizm birkaç dakika içinde geri alınıyor.
Bu merkezi bir editörün yapabileceğinden çok daha hızlı çalışıyor.
Ama Rheingold daha derin bir soruyu da soruyor: Bu sadece bilgi üretimi için mi geçerli? Karar verme, problem çözme, bilimsel araştırma — kalabalık buralarda da zekidir mü?
Araştırmalar bazı alanlarda evet, bazılarında hayır diyor.
$$Kolektif zeka doğru koşullarda bireyin ötesine geçer — ama her koşulda değil.$$
&amp;&amp;Çalıştığın ya da içinde bulunduğun bir grupta kolektif zekanın gerçekten ortaya çıktığı bir an yaşadın mı? Ne sağladı bunu?&amp;&amp;</x:v>
      </x:c>
      <x:c r="K343" s="37" t="str"/>
      <x:c r="L343" s="37" t="str"/>
      <x:c r="M343" s="37" t="str"/>
      <x:c r="N343" s="37" t="str"/>
      <x:c r="O343" s="37" t="str"/>
    </x:row>
    <x:row r="344" ht="20" customHeight="1">
      <x:c r="A344" s="33" t="n">
        <x:v>1401</x:v>
      </x:c>
      <x:c r="B344" s="34" t="str">
        <x:v>1</x:v>
      </x:c>
      <x:c r="C344" s="34" t="str">
        <x:v>Bilim</x:v>
      </x:c>
      <x:c r="D344" s="34" t="str">
        <x:v>Teknoloji</x:v>
      </x:c>
      <x:c r="E344" s="34" t="str">
        <x:v>Zeki Kalabalıklar</x:v>
      </x:c>
      <x:c r="F344" s="34" t="str">
        <x:v>Howard Rheingold</x:v>
      </x:c>
      <x:c r="G344" s="34" t="str">
        <x:v>2002</x:v>
      </x:c>
      <x:c r="H344" s="37" t="str">
        <x:v>Flash mob ve anlık koordinasyon</x:v>
      </x:c>
      <x:c r="I344" s="37" t="str">
        <x:v>Rheingold, tanımadıkları birbirleriyle anlık koordinasyon kuran insanların yarattığı flash mob fenomenini ve bunun toplumsal organizasyonun geleceğini nasıl gösterdiğini anlatıyor.</x:v>
      </x:c>
      <x:c r="J344" s="37" t="str">
        <x:v>New York, 2003. Bill Wasik bir deney yapmak istedi.
E-postalarla adresleri gizlice iletilen talimatlar. Belirli bir yer. Belirli bir dakika. Ne yapılacağı önceden belirsiz.
Ve yüzlerce insan Central Park'ta bir noktada toplandı. Birbirlerini tanımıyorlardı. Ama aynı anda gelmişlerdi.
##Birkaç dakika garip bir kalabalık hareketi yapıldı, sonra herkes dağıldı. Flash mob doğmuştu.##
Howard Rheingold bunu eğlenceli bir fenomen olarak değil, koordinasyon teknolojisinin gücünün kanıtı olarak okudu.
Eğer tanımadığı yüzlerce insan anlık olarak belirli bir yerde koordineli biçimde toplanabiliyorsa — bu kapasite nerede daha büyük etkiler yaratabilir?
Filippinler'de bir yolsuzluk skandalının ardından milyonlarca insan SMS zincirleriyle organize oldu ve siyasi bir krizi kapıya getirdi.
İran'da ve Arap Baharı'nda sosyal medya koordinasyonu tarih yazdı.
Rheingold önceden görüyordu: Bu araçlar güç dengelerini değiştirecek. Ve değiştirdi.
$$Teknoloji yalnızca iletişim değil, koordinasyon kapasitesi verir — bu koordinasyon dünyayı değiştirebilir.$$
&amp;&amp;Hiç bir grupta ya da harekette, teknoloji sayesinde mümkün olan ama önceden imkansız görünen bir koordinasyon deneyimi yaşadın mı?&amp;&amp;</x:v>
      </x:c>
      <x:c r="K344" s="37" t="str"/>
      <x:c r="L344" s="37" t="str"/>
      <x:c r="M344" s="37" t="str"/>
      <x:c r="N344" s="37" t="str"/>
      <x:c r="O344" s="37" t="str"/>
    </x:row>
    <x:row r="345" ht="20" customHeight="1">
      <x:c r="A345" s="33" t="n">
        <x:v>1402</x:v>
      </x:c>
      <x:c r="B345" s="34" t="str">
        <x:v>1</x:v>
      </x:c>
      <x:c r="C345" s="34" t="str">
        <x:v>Felsefe</x:v>
      </x:c>
      <x:c r="D345" s="34" t="str">
        <x:v>Sosyoloji</x:v>
      </x:c>
      <x:c r="E345" s="34" t="str">
        <x:v>Devrilme Noktası</x:v>
      </x:c>
      <x:c r="F345" s="34" t="str">
        <x:v>Malcolm Gladwell</x:v>
      </x:c>
      <x:c r="G345" s="34" t="str">
        <x:v>2000</x:v>
      </x:c>
      <x:c r="H345" s="37" t="str">
        <x:v>Hush Puppies'in gizemli dirilişi</x:v>
      </x:c>
      <x:c r="I345" s="37" t="str">
        <x:v>Gladwell, 1990'ların ortasında neredeyse ölü bir ayakkabı markasının bir avuç hipster sayesinde aniden nasıl milyonlarca satışa ulaştığını ve salgın modelinin nasıl çalıştığını anlatıyor.</x:v>
      </x:c>
      <x:c r="J345" s="37" t="str">
        <x:v>1994. Hush Puppies satışları 30.000 çifte düşmüştü.
Klasik Amerikan markası neredeyse ölüydü. Şirket markayı kapatmayı düşünüyordu.
Sonra garip bir şey oldu.
Manhattan'ın East Village ve SoHo semtlerinde küçük bir grup genç bu eski ayakkabıları giymeye başladı. Tasarımcılar fark etti. Moda editörleri fark etti.
1995'te satışlar 430.000 çifte fırladı. 1996'da dört kata çıktı.
##Hiç reklam yapılmamıştı. Pazarlama kampanyası yoktu. Bir avuç kişinin seçimi, salgın gibi yayılmıştı.##
Malcolm Gladwell bu fenomeni "devrilme noktası" kavramıyla açıklıyor. Her salgının — hastalık, moda, fikir, davranış — bir eşiği var. O eşiği geçince yayılma patlar.
Ve Hush Puppies'te asıl soru şuydu: O birkaç kişi kim?
Gladwell buna "Bağlayıcılar" diyor. Çok geniş sosyal ağlara sahip, her çevreden insanla bağlantılı kişiler. Onlar taşıdığında, fikir çok daha hızlı yayılıyor.
Markalar, hareketler, fikirler — tümü aynı ilkeyle çalışıyor. Doğru kişiye ulaşmak, binlerce kişiye ulaşmaktan çok daha değerli.
$$Her salgının bir devrilme noktası var — o noktayı bulmak, kalabalığa değil doğru kişiye ulaşmakla başlar.$$
&amp;&amp;Bir fikrin ya da ürünün hayatında "o kişi" kimdi — sizi bir şeyle tanıştıran, sizi etkileyen, sizin aracılığınızla başkalarına yayılan?&amp;&amp;</x:v>
      </x:c>
      <x:c r="K345" s="37" t="str"/>
      <x:c r="L345" s="37" t="str"/>
      <x:c r="M345" s="37" t="str"/>
      <x:c r="N345" s="37" t="str"/>
      <x:c r="O345" s="37" t="str"/>
    </x:row>
    <x:row r="346" ht="20" customHeight="1">
      <x:c r="A346" s="33" t="n">
        <x:v>1403</x:v>
      </x:c>
      <x:c r="B346" s="34" t="str">
        <x:v>1</x:v>
      </x:c>
      <x:c r="C346" s="34" t="str">
        <x:v>Felsefe</x:v>
      </x:c>
      <x:c r="D346" s="34" t="str">
        <x:v>Sosyoloji</x:v>
      </x:c>
      <x:c r="E346" s="34" t="str">
        <x:v>Devrilme Noktası</x:v>
      </x:c>
      <x:c r="F346" s="34" t="str">
        <x:v>Malcolm Gladwell</x:v>
      </x:c>
      <x:c r="G346" s="34" t="str">
        <x:v>2000</x:v>
      </x:c>
      <x:c r="H346" s="37" t="str">
        <x:v>New York'ta suç salgını ve kırık cam teorisi</x:v>
      </x:c>
      <x:c r="I346" s="37" t="str">
        <x:v>Gladwell, 1990'larda New York'ta suç oranlarının dramatik düşüşünün altında yatan 'küçük şeylerin büyük etkileri' prensibini kırık cam teorisi ve metro bileti hileleriyle açıklıyor.</x:v>
      </x:c>
      <x:c r="J346" s="37" t="str">
        <x:v>1980'lerin New York'u tehlikeliydi.
Yılda 2.000'den fazla cinayet. Metrolarda suç yaygındı. Şehir kaosa sürükleniyordu.
1990'larda dramatik bir şey oldu. Suç oranı yüzde elli düştü. Cinayet sayısı üçte bire indi.
Peki ne değişmişti?
Cevap şaşırtıcıydı: Metro bileti hırsızlığı.
##Metro yönetimi turnike atlamaya karşı sıfır tolerans başlattı. Küçük suçlar ciddiye alındı. Ve büyük suçlar da düştü.##
Bu "kırık cam teorisi"ydi. Wilson ve Kelling'in geliştirdiği fikir: Bir binada bir cam kırık kalırsa, yakında tüm camlar kırılır. Çünkü "kimse önemsemiyor" mesajı verilmiş olur.
Gladwell bunu devrilme noktası teorisine bağlıyor: Suç bir salgındır. Ve bir salgını durdurmak için mutlaka büyük etkenlerle mücadele etmek gerekmez. Bazen küçük, spesifik bir müdahale tüm dengeyi değiştirebilir.
Kırık camı tamir et. Turnike atlayanları durdur. Küçük şey, büyük etki.
$$Büyük sorunların küçük kırık camları olabilir — o camı tamir etmek her şeyi değiştirebilir.$$
&amp;&amp;Hayatında ya da işinde, küçük bir müdahalenin büyük bir döngüyü kırmasını sağlayabileceğin bir "kırık cam" var mı?&amp;&amp;</x:v>
      </x:c>
      <x:c r="K346" s="37" t="str"/>
      <x:c r="L346" s="37" t="str"/>
      <x:c r="M346" s="37" t="str"/>
      <x:c r="N346" s="37" t="str"/>
      <x:c r="O346" s="37" t="str"/>
    </x:row>
    <x:row r="347" ht="20" customHeight="1">
      <x:c r="A347" s="33" t="n">
        <x:v>1404</x:v>
      </x:c>
      <x:c r="B347" s="34" t="str">
        <x:v>1</x:v>
      </x:c>
      <x:c r="C347" s="34" t="str">
        <x:v>Felsefe</x:v>
      </x:c>
      <x:c r="D347" s="34" t="str">
        <x:v>Sosyoloji</x:v>
      </x:c>
      <x:c r="E347" s="34" t="str">
        <x:v>Devrilme Noktası</x:v>
      </x:c>
      <x:c r="F347" s="34" t="str">
        <x:v>Malcolm Gladwell</x:v>
      </x:c>
      <x:c r="G347" s="34" t="str">
        <x:v>2000</x:v>
      </x:c>
      <x:c r="H347" s="37" t="str">
        <x:v>Bağlayıcılar, Bilgeler ve Satıcılar</x:v>
      </x:c>
      <x:c r="I347" s="37" t="str">
        <x:v>Gladwell, sosyal salgınları yaratan üç kritik kişilik tipini — geniş bağlantılı Bağlayıcıları, derin bilgili Bilgeleri ve ikna edici Satıcıları — ve her birinin salgındaki rolünü anlatıyor.</x:v>
      </x:c>
      <x:c r="J347" s="37" t="str">
        <x:v>Malcolm Gladwell bir soru soruyor: Bir fikir neden yayılır?
Yüz kişiye ulaşmak mı, yoksa doğru on kişiye ulaşmak mı daha değerlidir?
Gladwell ikincisini savunuyor. Ve o "doğru kişiler" üç tipe ayrılıyor.
Birincisi Bağlayıcılar: Yüzlerce ya da binlerce farklı çevreden insanı tanıyan kişiler. Gazeteciler, organizatörler, sosyal kelebekler. Bir bilgiyi onlara ilettiğinizde, o bilgi onlarca farklı ağa dağılıyor.
##İkincisi Bilgeler: Bir konuda o kadar derin bilgiye sahipler ki, insanlar onların tavsiyesini sormak için aktif olarak onları arıyorlar.##
Üçüncüsü Satıcılar: İkna gücü olağanüstü yüksek. Söyledikleri değil, söyleyiş biçimleri insanları etkiliyor. Duygusal bulaşma yaratıyorlar.
Gladwell bir fikrin ya da ürünün gerçekten yayılması için bu üç tipin en az birinin devreye girmesi gerektiğini savunuyor.
Ve şunu da söylüyor: Bu insanlar "seçilmiş" değil. Tanınabilir özelliklere sahip. Ve doğru kişileri tanıyarak, doğru yayılmayı başlatmak mümkün.
$$Fikriniz değil, onu kimin taşıdığı belirler ne kadar yayılacağını.$$
&amp;&amp;Çevrende bir "Bağlayıcı", "Bilge" ya da "Satıcı" var mı? Sen bu üçünden hangisisin en çok?&amp;&amp;</x:v>
      </x:c>
      <x:c r="K347" s="37" t="str"/>
      <x:c r="L347" s="37" t="str"/>
      <x:c r="M347" s="37" t="str"/>
      <x:c r="N347" s="37" t="str"/>
      <x:c r="O347" s="37" t="str"/>
    </x:row>
    <x:row r="348" ht="20" customHeight="1">
      <x:c r="A348" s="33" t="n">
        <x:v>1405</x:v>
      </x:c>
      <x:c r="B348" s="34" t="str">
        <x:v>1</x:v>
      </x:c>
      <x:c r="C348" s="34" t="str">
        <x:v>Verimlilik</x:v>
      </x:c>
      <x:c r="D348" s="34" t="str">
        <x:v>Verimlilik</x:v>
      </x:c>
      <x:c r="E348" s="34" t="str">
        <x:v>Nasıl Başarılı Olunur</x:v>
      </x:c>
      <x:c r="F348" s="34" t="str">
        <x:v>David Allen</x:v>
      </x:c>
      <x:c r="G348" s="34" t="str">
        <x:v>2001</x:v>
      </x:c>
      <x:c r="H348" s="37" t="str">
        <x:v>İki dakikada karar ver</x:v>
      </x:c>
      <x:c r="I348" s="37" t="str">
        <x:v>Allen, zihnin açık döngüler yüzünden nasıl sürekli arka planda çalıştığını ve her görevi netleştirmenin bu yükü nasıl kaldırdığını anlatıyor.</x:v>
      </x:c>
      <x:c r="J348" s="37" t="str">
        <x:v>David Allen şöyle bir gözlem yapıyor.
"Kıyafetleri kuru temizleyiciye götür" aklınıza geldi. "Tamam" dediniz ve geçtiniz.
Ama beyin geçmedi.
O gece yatarken, "kıyafetler" diye küçük bir ses var. Toplantıda, "ah kıyafetler" diye bir ışık yanıp söndü. Üstelik bu yalnızca kıyafetler değil. Düzinelerce tamamlanmamış görev aynı anda arka planda çalışıyor.
##Allen buna "açık döngü" diyor. Ve bir araştırmaya göre ortalama bir insan zihninde 150 ila 300 arasında açık döngü var.##
Bu döngülerin her biri küçük bir enerji çekiyor. Birikince yorgunluk yaratıyor. Odağı dağıtıyor.
Allen'ın çözümü: Zihnini boşalt. Her görevi bir sisteme aktar. Hafızaya değil, güvenilir bir dış sisteme.
Ama yalnızca yazmak yetmez. Her görev için şunu netleştir: Bir sonraki fiziksel eylem ne?
"Kıyafetleri götür" değil. "Arabaya koy" ya da "randevu al."
Eylem somut olduğunda, zihin "bu hallolacak" diye rahatlar. Ve döngü kapanır.
$$Zihinsel yükün büyük çoğunluğu tamamlanmamış görevlerden değil — netleştirilmemiş görevlerden gelir.$$
&amp;&amp;Şu an zihninizde kaç tane "kıyafetler" var — aklınızda dönen ama bir yere yazılmamış, bir eyleme bağlanmamış görev?&amp;&amp;</x:v>
      </x:c>
      <x:c r="K348" s="37" t="str"/>
      <x:c r="L348" s="37" t="str"/>
      <x:c r="M348" s="37" t="str"/>
      <x:c r="N348" s="37" t="str"/>
      <x:c r="O348" s="37" t="str"/>
    </x:row>
    <x:row r="349" ht="20" customHeight="1">
      <x:c r="A349" s="33" t="n">
        <x:v>1406</x:v>
      </x:c>
      <x:c r="B349" s="34" t="str">
        <x:v>1</x:v>
      </x:c>
      <x:c r="C349" s="34" t="str">
        <x:v>Verimlilik</x:v>
      </x:c>
      <x:c r="D349" s="34" t="str">
        <x:v>Verimlilik</x:v>
      </x:c>
      <x:c r="E349" s="34" t="str">
        <x:v>Nasıl Başarılı Olunur</x:v>
      </x:c>
      <x:c r="F349" s="34" t="str">
        <x:v>David Allen</x:v>
      </x:c>
      <x:c r="G349" s="34" t="str">
        <x:v>2001</x:v>
      </x:c>
      <x:c r="H349" s="37" t="str">
        <x:v>İki dakika kuralı</x:v>
      </x:c>
      <x:c r="I349" s="37" t="str">
        <x:v>Allen, iki dakikadan kısa sürecek her görevi hemen yapmanın neden sistematik ertelemenin en etkili çözümü olduğunu anlatıyor.</x:v>
      </x:c>
      <x:c r="J349" s="37" t="str">
        <x:v>David Allen zamanında bir müşterisiyle çalışıyordu.
Müşteri e-postalarını biriktiriyor, sonra "temizleme seansı" yapıyordu. Ayda bir ya da iki kez. Bu seanslar saatler alıyordu.
Allen şunu hesapladı: E-postanın çoğu iki dakikadan az sürede yanıtlanabilecek şeydi. Ama birikmişti. Ve her gün o biriken yığın zihinsel enerji tüketiyordu.
##Allen iki dakika kuralını önerdi: Bir görev iki dakikadan az alacaksa, şimdi yap.##
Mantığı şu: Bir görevi sisteme girmek, takip etmek ve tekrar geri dönmek zaten bir dakika alıyor. Eğer görev iki dakikaysa, sisteme girmekten daha uzun sürüyor. Hemen yapmak daha verimli.
Müşteri denedi. Ayda iki saatlik temizleme seansları ortadan kalktı. Gelen kutusunu günlük olarak yönetmeye başladı. Ve her gün birikmiş "yapılacaklar" yığının yarattığı zihinsel ağırlık hafifledi.
İki dakika kuralı küçük görünüyor. Ama toplam etkisi devasa.
Çünkü erteleme genellikle büyük görevlere değil, küçük kararlaştırılmamış anlara birikerek büyür.
$$İki dakikalık görev ertelenirse, zihin onu altı ay taşır.$$
&amp;&amp;Bu hafta "iki dakikadan az sürer ama hâlâ yapmadım" diyebileceğin kaç şey var? Onları şimdi yapsan ne hissederdin?&amp;&amp;</x:v>
      </x:c>
      <x:c r="K349" s="37" t="str"/>
      <x:c r="L349" s="37" t="str"/>
      <x:c r="M349" s="37" t="str"/>
      <x:c r="N349" s="37" t="str"/>
      <x:c r="O349" s="37" t="str"/>
    </x:row>
    <x:row r="350" ht="20" customHeight="1">
      <x:c r="A350" s="33" t="n">
        <x:v>1407</x:v>
      </x:c>
      <x:c r="B350" s="34" t="str">
        <x:v>1</x:v>
      </x:c>
      <x:c r="C350" s="34" t="str">
        <x:v>Verimlilik</x:v>
      </x:c>
      <x:c r="D350" s="34" t="str">
        <x:v>Verimlilik</x:v>
      </x:c>
      <x:c r="E350" s="34" t="str">
        <x:v>Nasıl Başarılı Olunur</x:v>
      </x:c>
      <x:c r="F350" s="34" t="str">
        <x:v>David Allen</x:v>
      </x:c>
      <x:c r="G350" s="34" t="str">
        <x:v>2001</x:v>
      </x:c>
      <x:c r="H350" s="37" t="str">
        <x:v>Haftalık gözden geçirme ritüeli</x:v>
      </x:c>
      <x:c r="I350" s="37" t="str">
        <x:v>Allen, GTD sisteminin kalbi olarak haftalık gözden geçirmeyi tanımlıyor ve bu ritüelin olmadığında sistemin neden çöktüğünü anlatıyor.</x:v>
      </x:c>
      <x:c r="J350" s="37" t="str">
        <x:v>David Allen şöyle bir soruyu soruyor: Neden çoğu verimlilik sistemi işe yaramıyor?
Cevabı: Bakım yapılmıyor.
Güzel bir sistem kurdunuz. Görevler girildi. Projeler listelendi. Bağlamlar ayarlandı.
Bir hafta işledi. İki hafta güzeldi. Üç hafta sonra sistem eskidi. Bir ay sonra açılmaz hale geldi.
Çünkü hayat değişiyor. Öncelikler kayıyor. Yeni şeyler geliyor. Ve sistem bakım görmeden güvenilirliğini kaybediyor.
##Allen'ın çözümü haftalık gözden geçirme. Her hafta bir saatlik bir ritüel. Tüm gelen kutularını boşalt. Tüm görevleri gözden geçir. Tüm projeleri kontrol et. Gelecek haftayı gör.##
Bu sıradan bir toplantı değil. Allen bunu "zihinsel bütünleşme" olarak tanımlıyor.
Haftalık gözden geçirmeden geçmemiş beyin, güvenilir bir sisteme güvenemez. Güvenemeyince, "belki bir şeyi kaçırıyorum" kaygısı geri dönüyor.
Ve güven geri geldiğinde — "sistemimde her şey var, şu an yaptığım şey yapmam gereken şey" — gerçek odak mümkün oluyor.
Allen şöyle diyor: Haftalık gözden geçirme olmadan GTD sadece görev listesi. Onunla birlikte güven sistemi oluyor.
$$Sistem güvenilir olduğunda zihin özgürleşir — ve haftalık bakım o güveni korur.$$
&amp;&amp;Hayatındaki "sistem" — takvim, liste, notlar — ne kadar güncel ve güvenilir? Ona bakıp olmayan bir görev bulma ihtimalin ne kadar?&amp;&amp;</x:v>
      </x:c>
      <x:c r="K350" s="37" t="str"/>
      <x:c r="L350" s="37" t="str"/>
      <x:c r="M350" s="37" t="str"/>
      <x:c r="N350" s="37" t="str"/>
      <x:c r="O350" s="37" t="str"/>
    </x:row>
    <x:row r="351" ht="20" customHeight="1">
      <x:c r="A351" s="33" t="n">
        <x:v>1408</x:v>
      </x:c>
      <x:c r="B351" s="34" t="str">
        <x:v>1</x:v>
      </x:c>
      <x:c r="C351" s="34" t="str">
        <x:v>Felsefe</x:v>
      </x:c>
      <x:c r="D351" s="34" t="str">
        <x:v>Felsefe</x:v>
      </x:c>
      <x:c r="E351" s="34" t="str">
        <x:v>Dört Anlaşma</x:v>
      </x:c>
      <x:c r="F351" s="34" t="str">
        <x:v>Don Miguel Ruiz</x:v>
      </x:c>
      <x:c r="G351" s="34" t="str">
        <x:v>1997</x:v>
      </x:c>
      <x:c r="H351" s="37" t="str">
        <x:v>Sözcüklerin büyüsü — birinci anlaşma</x:v>
      </x:c>
      <x:c r="I351" s="37" t="str">
        <x:v>Ruiz, sözcüklerin yalnızca iletişim aracı değil sihir gibi işleyen ve hayatı yaratan güçler olduğunu ve bu güçle nasıl sorumlu kullanılacağını anlatıyor.</x:v>
      </x:c>
      <x:c r="J351" s="37" t="str">
        <x:v>Don Miguel Ruiz bir Toltec öğretisini aktarıyor.
Yıllar önce bir anne, beş yaşındaki kızına şöyle dedi: "Sen berbat şarkı söylüyorsun."
Belki şaka yapmak istedi. Belki yorgundu. Belki kendisi de öyle duymuştu.
##O kız, kırk yıl boyunca hiç şarkı söylemedi.## 
Bir cümle. Kırk yıl.
Ruiz bunu sözcüklerin gücünün en sert örneği olarak sunuyor. Sözcükler yalnızca ses değil. Programlama.
"Sen tembel birisin." "Bu senden beklenmez." "Sen bu işe yaramazsın." — bu sözcükler bilinçaltına işleniyor. Ve yıllar sonra kendi sesinizle tekrarlıyorsunuz.
Birinci Anlaşma: Sözcüklerinizde kusursuz olun.
Ruiz bunu şöyle açıklıyor: Kusursuz sözcük kendine ya da başkasına karşı sözcükleri silah olarak kullanmamak demek. Ama bundan fazlası da var — sözcükleri gerçek ve sevgi doğrultusunda kullanmak.
"Sözcüklerinde kusursuz ol" derken şunu söylüyor: Konuşmadan önce sor — bu doğru mu, gerekli mi, nazik mi?
$$Sözcükler geçici değil — hayatlar boyunca taşınan tohumlar ekerler.$$
&amp;&amp;Birisinin size söylediği ve hâlâ içinizde yaşayan bir söz var mı? O söz sizi nasıl şekillendirdi?&amp;&amp;</x:v>
      </x:c>
      <x:c r="K351" s="37" t="str"/>
      <x:c r="L351" s="37" t="str"/>
      <x:c r="M351" s="37" t="str"/>
      <x:c r="N351" s="37" t="str"/>
      <x:c r="O351" s="37" t="str"/>
    </x:row>
    <x:row r="352" ht="20" customHeight="1">
      <x:c r="A352" s="33" t="n">
        <x:v>1409</x:v>
      </x:c>
      <x:c r="B352" s="34" t="str">
        <x:v>1</x:v>
      </x:c>
      <x:c r="C352" s="34" t="str">
        <x:v>Felsefe</x:v>
      </x:c>
      <x:c r="D352" s="34" t="str">
        <x:v>Felsefe</x:v>
      </x:c>
      <x:c r="E352" s="34" t="str">
        <x:v>Dört Anlaşma</x:v>
      </x:c>
      <x:c r="F352" s="34" t="str">
        <x:v>Don Miguel Ruiz</x:v>
      </x:c>
      <x:c r="G352" s="34" t="str">
        <x:v>1997</x:v>
      </x:c>
      <x:c r="H352" s="37" t="str">
        <x:v>Kişisel almama sanatı — ikinci anlaşma</x:v>
      </x:c>
      <x:c r="I352" s="37" t="str">
        <x:v>Ruiz, insanların yaptıklarının ya da söylediklerinin büyük çoğunluğunun onlarla ilgili değil kendi iç dünyalarıyla ilgili olduğunu ve bunu anlamanın özgürleştirici gücünü anlatıyor.</x:v>
      </x:c>
      <x:c r="J352" s="37" t="str">
        <x:v>Don Miguel Ruiz şöyle bir senaryo kuruyor.
İş yerinde bir meslektaşınız size "bugün çok kötü görünüyorsunuz" diyor.
İki tepki var.
Birincisi: İçinizde bir şey kırılıyor. Gün boyunca o cümle aklınızdaki. Aynaya bakıyorsunuz. Kendinizi sorgulamaya başlıyorsunuz.
İkincisi: "Bu onun bugünü hakkında bir şey söylüyor" diyorsunuz ve devam ediyorsunuz.
##Ruiz İkinci Anlaşma'yı şöyle tanımlıyor: Hiçbir şeyi kişisel alma.##
Neden? Çünkü insanların yaptıkları ve söyledikleri şeyler onların kendi iç dünyalarının yansıması. Kendi inançları, korkuları, geçmişleri.
Sizi eleştiren biri aslında kendi acısını ifade ediyor. Sizi öven biri kendi değerlerini yansıtıyor.
Bu fikir kulağa soğuk geliyor. Ama tam tersi.
Çünkü "kişisel almamak" ilgisizlik değil. Başkalarının tepkilerinin kontrolünüzde olmadığını kabul etmek. Ve bu kabulden gelen özgürlük — başkasının sözünün sizi mahkum edemeyeceği bilgisi — inanılmaz derecede hafifletici.
$$Başkalarının davranışları sizin hakkınızda değil, onların iç dünyaları hakkında konuşur.$$
&amp;&amp;Son zamanlarda kişisel aldığınız ve sizi uzun süre etkileyen bir şey oldu mu? Onu "bu benim hakkımda değil" diye çerçevelerseniz ne değişir?&amp;&amp;</x:v>
      </x:c>
      <x:c r="K352" s="37" t="str"/>
      <x:c r="L352" s="37" t="str"/>
      <x:c r="M352" s="37" t="str"/>
      <x:c r="N352" s="37" t="str"/>
      <x:c r="O352" s="37" t="str"/>
    </x:row>
    <x:row r="353" ht="20" customHeight="1">
      <x:c r="A353" s="33" t="n">
        <x:v>1410</x:v>
      </x:c>
      <x:c r="B353" s="34" t="str">
        <x:v>1</x:v>
      </x:c>
      <x:c r="C353" s="34" t="str">
        <x:v>Felsefe</x:v>
      </x:c>
      <x:c r="D353" s="34" t="str">
        <x:v>Felsefe</x:v>
      </x:c>
      <x:c r="E353" s="34" t="str">
        <x:v>Dört Anlaşma</x:v>
      </x:c>
      <x:c r="F353" s="34" t="str">
        <x:v>Don Miguel Ruiz</x:v>
      </x:c>
      <x:c r="G353" s="34" t="str">
        <x:v>1997</x:v>
      </x:c>
      <x:c r="H353" s="37" t="str">
        <x:v>Varsayımda bulunmamak — üçüncü anlaşma</x:v>
      </x:c>
      <x:c r="I353" s="37" t="str">
        <x:v>Ruiz, ilişkilerdeki krizlerin büyük çoğunluğunun sormak yerine varsayım yapmaktan kaynaklandığını ve sormayı öğrenmenin ilişkileri nasıl dönüştürdüğünü anlatıyor.</x:v>
      </x:c>
      <x:c r="J353" s="37" t="str">
        <x:v>Don Miguel Ruiz bir hikaye anlatıyor.
Adam partnerinin suratına baktı. Surat asıktı. Konuşmuyordu.
Adam ne düşündü? "Bana kızgın. Dün gece bir şey mi yaptım? Belki planlar iptal olduğu için? Belki yeterince ilgilenmiyorum? Belki..."
Akşam boyunca kafasında döngü kurdu. Savunmacı olmaya başladı. Mesafe koydu.
##Partneri migrenden muzdaripti.##
Ruiz Üçüncü Anlaşmayı şöyle tanımlıyor: Varsayımda bulunma.
Ve ekliyor: Sormayı öğren. Ne düşündüğünü sormak. Ne ihtiyaç duyduğunu sormak. Anlaşılıp anlaşılmadığını sormak.
Çoğu insan sormaktan korkuyor. "Aptalca görünürüm." "Rahatsız ederim." "Zaten bilmem lazım."
Ama Ruiz'in tespiti: İlişkilerin büyük çoğunluğu varsayımlar üzerine kurulmuş. "O bunu istemez" — sormadan biliyoruz. "Bu onu rahatsız eder" — sormadan biliyoruz.
Ve bu varsayımlar küçük anlaşmazlıkları büyük çatışmalara dönüştürüyor.
$$Her tartışmanın altında sorulmamış bir soru var.$$
&amp;&amp;Şu an hakkında varsayımda bulunduğunuz ama hiç sormadığınız bir şey var mı — bir kişi hakkında, bir durum hakkında?&amp;&amp;</x:v>
      </x:c>
      <x:c r="K353" s="37" t="str"/>
      <x:c r="L353" s="37" t="str"/>
      <x:c r="M353" s="37" t="str"/>
      <x:c r="N353" s="37" t="str"/>
      <x:c r="O353" s="37" t="str"/>
    </x:row>
    <x:row r="354" ht="20" customHeight="1">
      <x:c r="A354" s="33" t="n">
        <x:v>1411</x:v>
      </x:c>
      <x:c r="B354" s="34" t="str">
        <x:v>1</x:v>
      </x:c>
      <x:c r="C354" s="34" t="str">
        <x:v>Psikoloji</x:v>
      </x:c>
      <x:c r="D354" s="34" t="str">
        <x:v>Psikoloji</x:v>
      </x:c>
      <x:c r="E354" s="34" t="str">
        <x:v>Sessizlik</x:v>
      </x:c>
      <x:c r="F354" s="34" t="str">
        <x:v>Susan Cain</x:v>
      </x:c>
      <x:c r="G354" s="34" t="str">
        <x:v>2012</x:v>
      </x:c>
      <x:c r="H354" s="37" t="str">
        <x:v>İçe dönükler ve dışa dönükler arasındaki fark</x:v>
      </x:c>
      <x:c r="I354" s="37" t="str">
        <x:v>Cain, içe dönüklük ile utangaçlığın aynı şey olmadığını ve içe dönüklerin yalnızca farklı bir uyarım eşiğine sahip olduğunu nörolojik araştırmalarla açıklıyor.</x:v>
      </x:c>
      <x:c r="J354" s="37" t="str">
        <x:v>Susan Cain şöyle bir yanlış anlamayı ele alıyor.
"İçe dönük = utangaç, sosyal becerisi zayıf, halkı sevmeyen."
Bu yanlış.
Cain şöyle ayırt ediyor: Utangaçlık sosyal kaygıdır. Başkalarıyla etkileşimden korkmak. İçe dönüklük ise farklı bir uyarım eşiği.
##İçe dönükler dış uyarımdan daha az memnun oluyor. Sessizlik ve derinlik onları besliyor. Dışa dönükler ise dış uyarımdan enerji alıyor.##
Bir deneyde içe dönük ve dışa dönük bebeklere yeni uyarımlar sunuldu. İçe dönük bebekler daha güçlü tepki gösterdi — daha fazla ağladı, daha fazla huzursuzlandı.
Dışa dönük bebekler meraklı ve sakin kaldı.
Cain bu bulguyu şöyle yorumluyor: İçe dönükler "az uyarım" ister, az uyarıma değil. Onlar için "az" daha yeterli olduğu için "daha az" yeterli.
Ve bu nörolojik bir tercih, bir karakter zayıflığı değil.
Modern dünya — açık ofisler, grup çalışması, sürekli networking — dışa dönükler için tasarlanmış. İçe dönükler bu dünyada yoruluyor. Ama yorulmaları kişilik sorununu değil, ortam uyumsuzluğunu yansıtıyor.
$$İçe dönüklük zayıflık değil — farklı bir güç kaynağıdır.$$
&amp;&amp;Kendinizi içe dönük mü dışa dönük mü olarak tanımlarsınız? Çevreniz sizin doğal enerji kaynağınıza uygun mu?&amp;&amp;</x:v>
      </x:c>
      <x:c r="K354" s="37" t="str"/>
      <x:c r="L354" s="37" t="str"/>
      <x:c r="M354" s="37" t="str"/>
      <x:c r="N354" s="37" t="str"/>
      <x:c r="O354" s="37" t="str"/>
    </x:row>
    <x:row r="355" ht="20" customHeight="1">
      <x:c r="A355" s="33" t="n">
        <x:v>1412</x:v>
      </x:c>
      <x:c r="B355" s="34" t="str">
        <x:v>1</x:v>
      </x:c>
      <x:c r="C355" s="34" t="str">
        <x:v>Psikoloji</x:v>
      </x:c>
      <x:c r="D355" s="34" t="str">
        <x:v>Psikoloji</x:v>
      </x:c>
      <x:c r="E355" s="34" t="str">
        <x:v>Sessizlik</x:v>
      </x:c>
      <x:c r="F355" s="34" t="str">
        <x:v>Susan Cain</x:v>
      </x:c>
      <x:c r="G355" s="34" t="str">
        <x:v>2012</x:v>
      </x:c>
      <x:c r="H355" s="37" t="str">
        <x:v>Harvard Business School paradoksu</x:v>
      </x:c>
      <x:c r="I355" s="37" t="str">
        <x:v>Cain, dünyanın en prestijli iş okulunun katılımı ve sözlü ifadeyi nasıl ödüllendirdiğini ve bunun neden içe dönük öğrenciler için sistematik bir dezavantaj yarattığını anlatıyor.</x:v>
      </x:c>
      <x:c r="J355" s="37" t="str">
        <x:v>Susan Cain Harvard Business School'u ziyaret etti.
Ve şunu fark etti: Bu okul bir kişilik tipini mükemmel eğitmek için tasarlanmıştı. Katılım puanı var. Her derste konuşmak zorunlu. Yüksek sesle düşünmek ödüllendiriliyor.
Grup çalışması sürüyor. Sosyal etkinlikler yoğun. Her öğrenci sürekli performans sergilemeye hazır olmalı.
##Bir öğretim üyesi Cain'e şöyle dedi: "Eğer bir fikrin varsa ama söylemiyorsan, o fikrin yoktur."##
Bu bir kural değil, bir kültür. Ve bu kültür içe dönük öğrencileri sistematik olarak dezavantajlı kılıyor.
Ama Cain şunu da soruyor: Gerçekten en iyi fikirler en hızlı, en yüksek sesle ifade edilenler mi?
Araştırmalar hayır diyor.
Anatoliy Karpov satranç şampiyonu. Sessiz, içe dönük. Tahta başında saatlerce hareket etmeden düşünebiliyor.
Warren Buffett, Bill Gates, Einstein — hepsi derinlikle düşünen, sessiz çalışan insanlar.
Cain şunu soruyor: Kurumlarımız hangi tür zekayı ödüllendiriyor ve hangisini kaçırıyor?
$$Fikirler yüksek sesle değil, derinlikte olgunlaşır.$$
&amp;&amp;Bir toplantıda ya da grup ortamında söyleyemediğiniz ama sonradan "bunu söyleseydim" dediğiniz bir şey oldu mu? O sessizliğin arkasında ne vardı?&amp;&amp;</x:v>
      </x:c>
      <x:c r="K355" s="37" t="str"/>
      <x:c r="L355" s="37" t="str"/>
      <x:c r="M355" s="37" t="str"/>
      <x:c r="N355" s="37" t="str"/>
      <x:c r="O355" s="37" t="str"/>
    </x:row>
    <x:row r="356" ht="20" customHeight="1">
      <x:c r="A356" s="33" t="n">
        <x:v>1413</x:v>
      </x:c>
      <x:c r="B356" s="34" t="str">
        <x:v>1</x:v>
      </x:c>
      <x:c r="C356" s="34" t="str">
        <x:v>Psikoloji</x:v>
      </x:c>
      <x:c r="D356" s="34" t="str">
        <x:v>Psikoloji</x:v>
      </x:c>
      <x:c r="E356" s="34" t="str">
        <x:v>Sessizlik</x:v>
      </x:c>
      <x:c r="F356" s="34" t="str">
        <x:v>Susan Cain</x:v>
      </x:c>
      <x:c r="G356" s="34" t="str">
        <x:v>2012</x:v>
      </x:c>
      <x:c r="H356" s="37" t="str">
        <x:v>Sert satış ve empatin gücü</x:v>
      </x:c>
      <x:c r="I356" s="37" t="str">
        <x:v>Cain, içe dönük girişimcilerin dışa dönük rakiplerinden daha az başarılı olmadığını ve empati ve dinleme güçlerinin satış ve liderlikte nasıl üstünlük yarattığını gösteriyor.</x:v>
      </x:c>
      <x:c r="J356" s="37" t="str">
        <x:v>Susan Cain bir araştırmayı paylaşıyor.
Hangi tip satıcılar daha başarılı? Dışa dönük, enerjik, "satış makinesi" tipler mi, yoksa daha sessiz, dinleyen tipler mi?
Sezgisel cevap: Dışa dönükler.
Gerçek cevap: İkisi de değil.
##Araştırmacı Adam Grant'ın bulgusuna göre en başarılı satıcılar "ambiverts" — ne tamamen içe dönük ne tamamen dışa dönük.##
Ama Cain daha ilginç bir bulguya dikkat çekiyor: İçe dönük satıcılar dışa dönüklerden sistematik olarak daha kötü değil. Ve bazı kategorilerde daha iyi.
Neden?
Çünkü içe dönükler dinliyor. Müşterinin gerçekten ne istediğini anlıyor. Çözümü müşterinin ihtiyacına göre şekillendiriyor.
Dışa dönük satıcılar ise bazen çok konuşuyor. Kendi gündemlerini ön plana alıyor. Ve müşteri "anlaşılmadım" hissederek ayrılıyor.
Cain şunu söylüyor: Liderlik ve başarı için farklı çevreler farklı profillere ihtiyaç duyuyor. Ve içe dönüklüğü "düzeltilmesi gereken bir şey" olarak görmek büyük bir yetenek kaybı.
$$En iyi satıcı en çok konuşan değil — en iyi dinleyendir.$$
&amp;&amp;Bir ilişkide ya da iş görüşmesinde, karşınızdakini gerçekten dinlediğinizde sonuç nasıl değişti?&amp;&amp;</x:v>
      </x:c>
      <x:c r="K356" s="37" t="str"/>
      <x:c r="L356" s="37" t="str"/>
      <x:c r="M356" s="37" t="str"/>
      <x:c r="N356" s="37" t="str"/>
      <x:c r="O356" s="37" t="str"/>
    </x:row>
    <x:row r="357" ht="20" customHeight="1">
      <x:c r="A357" s="33" t="n">
        <x:v>1414</x:v>
      </x:c>
      <x:c r="B357" s="34" t="str">
        <x:v>1</x:v>
      </x:c>
      <x:c r="C357" s="34" t="str">
        <x:v>Liderlik</x:v>
      </x:c>
      <x:c r="D357" s="34" t="str">
        <x:v>Liderlik</x:v>
      </x:c>
      <x:c r="E357" s="34" t="str">
        <x:v>Liderlik 21 Yasası</x:v>
      </x:c>
      <x:c r="F357" s="34" t="str">
        <x:v>John C. Maxwell</x:v>
      </x:c>
      <x:c r="G357" s="34" t="str">
        <x:v>1998</x:v>
      </x:c>
      <x:c r="H357" s="37" t="str">
        <x:v>Tavan yasası — kim olduğun neye ulaşabileceğini belirler</x:v>
      </x:c>
      <x:c r="I357" s="37" t="str">
        <x:v>Maxwell, liderlik kapasitesinin bir kişinin ve organizasyonun etkisini nasıl sınırladığını ve bu tavanı yükseltmek için tek yolun liderlik gelişimi olduğunu anlatıyor.</x:v>
      </x:c>
      <x:c r="J357" s="37" t="str">
        <x:v>John Maxwell şöyle bir senaryo kuruyor.
İki adam aynı anda bir iş kuruyor. Aynı sektör, aynı sermaye, aynı ürün, aynı piyasa.
Beş yıl sonra biri küçük ama karlı bir işletme yönetiyor. Diğeri büyük ve hızla büyüyen bir şirketin başında.
Fark ne?
Cevap Maxwell'e göre tek şey: Liderlik kapasitesi.
##"Bir organizasyon hiçbir zaman liderinin tavan seviyesini aşamaz" diyor Maxwell. "Tavan yüksekse, potansiyel büyük. Tavan alçaksa, organizasyon sıkışır."##
Bu bir eleştiri değil, bir yasa. Ve yasanın güzel tarafı şu: Tavan değiştirilebilir.
Maxwell bunu liderlik gelişimiyle ilişkilendiriyor. Her lider 1'den 10'a kadar bir liderlik kapasitesine sahip. Bu kapasite öğrenilebilir, pratik yapılabilir, genişletilebilir.
Ve liderlik yalnızca pozisyon meselesi değil. Maxwell şunu söylüyor: Asistan olarak bile 8'lik bir lider davranışı sergileyebilirsiniz. Ve 8'lik bir CEO olarak bile 3'lük bir lider kalabilirsiniz.
Gerçek liderlik içten dışa büyür.
$$Her organizasyonun tavanı, liderinin liderlik kapasitesiyle belirlenir.$$
&amp;&amp;Şu an içinde bulunduğun organizasyonda ya da projedeki liderlik kapasiteni 1-10 arasında nasıl değerlendirirsin? O tavanı yükseltmek için ne yapıyorsun?&amp;&amp;</x:v>
      </x:c>
      <x:c r="K357" s="37" t="str"/>
      <x:c r="L357" s="37" t="str"/>
      <x:c r="M357" s="37" t="str"/>
      <x:c r="N357" s="37" t="str"/>
      <x:c r="O357" s="37" t="str"/>
    </x:row>
    <x:row r="358" ht="20" customHeight="1">
      <x:c r="A358" s="33" t="n">
        <x:v>1415</x:v>
      </x:c>
      <x:c r="B358" s="34" t="str">
        <x:v>1</x:v>
      </x:c>
      <x:c r="C358" s="34" t="str">
        <x:v>Liderlik</x:v>
      </x:c>
      <x:c r="D358" s="34" t="str">
        <x:v>Liderlik</x:v>
      </x:c>
      <x:c r="E358" s="34" t="str">
        <x:v>Liderlik 21 Yasası</x:v>
      </x:c>
      <x:c r="F358" s="34" t="str">
        <x:v>John C. Maxwell</x:v>
      </x:c>
      <x:c r="G358" s="34" t="str">
        <x:v>1998</x:v>
      </x:c>
      <x:c r="H358" s="37" t="str">
        <x:v>Etkinin yasası — asıl para birimi ilişki</x:v>
      </x:c>
      <x:c r="I358" s="37" t="str">
        <x:v>Maxwell, liderliğin en temel tanımının 'etki' olduğunu ve bu etkinin pozisyondan değil güvenden ve ilişkilerden doğduğunu somut örneklerle gösteriyor.</x:v>
      </x:c>
      <x:c r="J358" s="37" t="str">
        <x:v>John Maxwell liderliği tek cümleyle tanımlıyor: Etki. Başka hiçbir şey değil.
Ve şunu soruyor: Sizi takip edenler var mı?
Bir yönetici çalışanlarının önünde yürür ve döner — kimse yok. Lider yürür ve döner — kalabalık takip ediyor.
Fark pozisyon değil.
##Maxwell şöyle diyor: "Pozisyon insanları bir süre boyunca sürükler. Ama sadece emir vermek gerçek liderlik değil. Gerçek liderlik insanların seçimle takip etmesidir."##
Ve bu seçim güvenden doğuyor.
Maxwell Teksas'lı bir vaizin hikayesini anlatıyor. Adam yıllarca cemaatle derinlemesine ilişkiler kurmuş. İhtiyaç anında orada olmuş. Eleştirilerde bile yanlarında kalmış.
Adam herhangi bir pozisyon almadan, liderlik kademesi olmadan şehrin en etkili insanıydı. Çünkü herkes onun sözüne güveniyordu.
Maxwell'in mesajı: Etki birikimsel. Her dürüst söz, her tutulan söz, her zor anda yanında olma — bunlar etki hesabına para yatırıyor.
Ve o hesap dolu olduğunda, insanlar sizi pozisyon nedeniyle değil, gerçekten isteyerek takip ediyor.
$$Liderlik pozisyonla değil, insanların sizi neden seçtiğiyle ölçülür.$$
&amp;&amp;Etrafınızdaki insanlar sizi zorunluluktan mı, yoksa gerçekten isteyerek mi takip ediyor? Bu soruya dürüst cevabınız ne?&amp;&amp;</x:v>
      </x:c>
      <x:c r="K358" s="37" t="str"/>
      <x:c r="L358" s="37" t="str"/>
      <x:c r="M358" s="37" t="str"/>
      <x:c r="N358" s="37" t="str"/>
      <x:c r="O358" s="37" t="str"/>
    </x:row>
    <x:row r="359" ht="20" customHeight="1">
      <x:c r="A359" s="33" t="n">
        <x:v>1416</x:v>
      </x:c>
      <x:c r="B359" s="34" t="str">
        <x:v>1</x:v>
      </x:c>
      <x:c r="C359" s="34" t="str">
        <x:v>Liderlik</x:v>
      </x:c>
      <x:c r="D359" s="34" t="str">
        <x:v>Liderlik</x:v>
      </x:c>
      <x:c r="E359" s="34" t="str">
        <x:v>Liderlik 21 Yasası</x:v>
      </x:c>
      <x:c r="F359" s="34" t="str">
        <x:v>John C. Maxwell</x:v>
      </x:c>
      <x:c r="G359" s="34" t="str">
        <x:v>1998</x:v>
      </x:c>
      <x:c r="H359" s="37" t="str">
        <x:v>Zemin yasası — güven liderliğin temelidir</x:v>
      </x:c>
      <x:c r="I359" s="37" t="str">
        <x:v>Maxwell, tüm liderlik kapasitesinin karakterin üzerine inşa edildiğini ve karakterin çatladığı anda en güçlü liderlik binasının bile nasıl çöktüğünü anlatıyor.</x:v>
      </x:c>
      <x:c r="J359" s="37" t="str">
        <x:v>John Maxwell şöyle soruyor: Zemin olmadan ne olur?
Sağlam bir bina düşünün. İnce çatlaklar oluşmaya başladı. Duvarlar eğildi. Çatı aktı. Sonunda bina çöktü.
Sorun zemin yoktu.
Maxwell bunu liderliğe uyguluyor. En parlak vizyona, en güçlü karizmayna, en derin bilgiye sahip olabilirsiniz. Ama zemin — karakter — sağlam değilse, her şey üzerine inşa ettiğiniz yıkılabilir.
##Maxwell şunu söylüyor: "Karakter çatladığında liderlik çatlar. Ve çatlayan her şey, en güçlü lider bile olsa, bir gün çöker."##
Tarihten örnekler veriyor. Şirketleri, toplumları, hareketleri etkileyen liderler — en büyük çöküşlerin arkasında beceri eksikliği yoktu. Karakter boşluğu vardı.
Maxwell karakteri şöyle tanımlıyor: Kimse görmediğinde de aynı kişi olmak. Kolay değil, ama tek sürdürülebilir zemin.
Ve şunu ekliyor: Karakter inşa etmek yıllarca sürer. Kaybetmek ise bir an.
Bu yüzden her küçük dürüstlük kararı, her küçük tutarlılık anı — bunlar zemine konulan tuğlalardır.
$$Liderlik binası ne kadar görkemli olursa olsun, zemin karakterdir — ve zemin çatlarsa her şey çöker.$$
&amp;&amp;Kimse görmese de yaptığın ama yüzleşmekten kaçtığın bir davranış var mı? O davranış senim liderlik zeminine ne ekliyor, ne çıkarıyor?&amp;&amp;</x:v>
      </x:c>
      <x:c r="K359" s="37" t="str"/>
      <x:c r="L359" s="37" t="str"/>
      <x:c r="M359" s="37" t="str"/>
      <x:c r="N359" s="37" t="str"/>
      <x:c r="O359" s="37" t="str"/>
    </x:row>
    <x:row r="360" ht="20" customHeight="1">
      <x:c r="A360" s="33" t="n">
        <x:v>1417</x:v>
      </x:c>
      <x:c r="B360" s="34" t="str">
        <x:v>1</x:v>
      </x:c>
      <x:c r="C360" s="34" t="str">
        <x:v>Liderlik</x:v>
      </x:c>
      <x:c r="D360" s="34" t="str">
        <x:v>Strateji</x:v>
      </x:c>
      <x:c r="E360" s="34" t="str">
        <x:v>Mavi Okyanus Stratejisi</x:v>
      </x:c>
      <x:c r="F360" s="34" t="str">
        <x:v>W. Chan Kim</x:v>
      </x:c>
      <x:c r="G360" s="34" t="str">
        <x:v>2004</x:v>
      </x:c>
      <x:c r="H360" s="37" t="str">
        <x:v>Cirque du Soleil ve yeni pazar yaratma</x:v>
      </x:c>
      <x:c r="I360" s="37" t="str">
        <x:v>Kim ve Mauborgne, Cirque du Soleil'in ne sirk ne de tiyatro olmayı seçerek her iki sektörün da dışında tamamen yeni bir pazar yarattığını ve bunun mavi okyanus stratejisinin en mükemmel örneği olduğunu anlatıyor.</x:v>
      </x:c>
      <x:c r="J360" s="37" t="str">
        <x:v>1984. Sirk sektörü ölüyordu.
Televizyon ve video oyunları eğlencenin rakibiydi. Çocuklar artık sirke ilgi duymuyordu. Büyük markalar bile kapanıyordu.
Bir grup Kanadalı sokak sanatçısı farklı bir yol denedi.
Ne sirk kurdu, ne tiyatro. İkisinin de olmadığı bir şey yarattı.
##Cirque du Soleil hayvan gösterisi olmayan, palyaço olmayan, ucuz bilet olmayan bir sirk kurdu. Onun yerine dansı, müziği, tiyatral hikaye anlatımını ve akrobasisini birleştirdi.##
Ve çok daha yüksek fiyat biletlerle sattı — çocuklara değil, yetişkin iş insanlarına.
Kim ve Mauborgne buna "mavi okyanus" diyor. Kırmızı okyanusta rakipler birbirini parçalıyor, pazar sıkışıyor. Mavi okyanus ise rakipsiz bir alan — henüz keşfedilmemiş bir pazar.
Cirque du Soleil hem sirk sektöründeki dezavantajları eliyle sildi — hayvanlar, palyaçolar, yıldız sanatçılar. Hem de tiyatronun avantajlarını aldı — hikaye, tema, sofistike müzik.
Kırmızı okyanus yerine mavi okyanus aradı. Ve yarattı.
$$Rekabeti geçmeye çalışmak yerine rekabeti anlamsız hale getirmek — asıl strateji bu.$$
&amp;&amp;Şu an içinde bulunduğun sektörde ya da alanda, kimsenin bakmadığı bir "mavi okyanus" fırsatı var mı?&amp;&amp;</x:v>
      </x:c>
      <x:c r="K360" s="37" t="str"/>
      <x:c r="L360" s="37" t="str"/>
      <x:c r="M360" s="37" t="str"/>
      <x:c r="N360" s="37" t="str"/>
      <x:c r="O360" s="37" t="str"/>
    </x:row>
    <x:row r="361" ht="20" customHeight="1">
      <x:c r="A361" s="33" t="n">
        <x:v>1418</x:v>
      </x:c>
      <x:c r="B361" s="34" t="str">
        <x:v>1</x:v>
      </x:c>
      <x:c r="C361" s="34" t="str">
        <x:v>Liderlik</x:v>
      </x:c>
      <x:c r="D361" s="34" t="str">
        <x:v>Strateji</x:v>
      </x:c>
      <x:c r="E361" s="34" t="str">
        <x:v>Mavi Okyanus Stratejisi</x:v>
      </x:c>
      <x:c r="F361" s="34" t="str">
        <x:v>W. Chan Kim</x:v>
      </x:c>
      <x:c r="G361" s="34" t="str">
        <x:v>2004</x:v>
      </x:c>
      <x:c r="H361" s="37" t="str">
        <x:v>Dört eylem çerçevesi</x:v>
      </x:c>
      <x:c r="I361" s="37" t="str">
        <x:v>Kim ve Mauborgne, mavi okyanus yaratmanın sistematik yolunu gösteren dört eylem çerçevesini — azalt, artır, yok et, yarat — anlatıyor.</x:v>
      </x:c>
      <x:c r="J361" s="37" t="str">
        <x:v>W. Chan Kim ve Renée Mauborgne şöyle bir soru soruyor.
Sektörünüzde herkes verilen şeyleri veriyor. Herkes aynı özellikleri sunuyor. Rekabet aynı eksende.
Bunu değiştirmek için ne yapılmalı?
Dört eylem çerçevesi.
Yok et: Sektörün standart olarak kabul ettiği ama müşteriye gerçek değer katmayan şeyler neler? Bunları tamamen kaldır.
Azalt: Sektör ortalamasının çok altına çek — gereksiz yere yüksek tuttuğun şeyler neler?
##Artır: Sektör ortalamasının çok üstüne taşı — müşterinin gerçekten değer verdiği şeyler neler?##
Yarat: Sektörün hiç sunmadığı ama müşterinin isteyeceği tamamen yeni değerler ne?
Cirque du Soleil örneği: Yok etti — hayvanlar, yıldız sanatçılar, birden fazla sahne. Azalttı — eğlence faktörü ve tehlike. Artırdı — sofistike ortam, artistik tema. Yarattı — hikaye anlatımı, tiyatral içerik, çoklu prodüksiyonlar.
Bu dört eylem, değer-maliyet dengesini kırdı. Daha az maliyetle daha yüksek değer sunmak mümkün hale geldi.
$$Mavi okyanus yaratmak yaratıcılık değil — sistematik sorular sormaktır.$$
&amp;&amp;Şu an sunduğun değerde yok edebileceğin, azaltabileceğin, artırabileceğin ve tamamen yaratabileceğin ne var?&amp;&amp;</x:v>
      </x:c>
      <x:c r="K361" s="37" t="str"/>
      <x:c r="L361" s="37" t="str"/>
      <x:c r="M361" s="37" t="str"/>
      <x:c r="N361" s="37" t="str"/>
      <x:c r="O361" s="37" t="str"/>
    </x:row>
    <x:row r="362" ht="20" customHeight="1">
      <x:c r="A362" s="33" t="n">
        <x:v>1419</x:v>
      </x:c>
      <x:c r="B362" s="34" t="str">
        <x:v>1</x:v>
      </x:c>
      <x:c r="C362" s="34" t="str">
        <x:v>Liderlik</x:v>
      </x:c>
      <x:c r="D362" s="34" t="str">
        <x:v>Strateji</x:v>
      </x:c>
      <x:c r="E362" s="34" t="str">
        <x:v>Mavi Okyanus Stratejisi</x:v>
      </x:c>
      <x:c r="F362" s="34" t="str">
        <x:v>W. Chan Kim</x:v>
      </x:c>
      <x:c r="G362" s="34" t="str">
        <x:v>2004</x:v>
      </x:c>
      <x:c r="H362" s="37" t="str">
        <x:v>Stratejik tuval ve görsel strateji</x:v>
      </x:c>
      <x:c r="I362" s="37" t="str">
        <x:v>Kim ve Mauborgne, bir sektördeki rakiplerin profilini görselleştiren stratejik tuval aracının şirketlerin neden kalabalıkla aynı eksende rekabet ettiğini ve nasıl farklılaşabileceğini gösterdiğini anlatıyor.</x:v>
      </x:c>
      <x:c r="J362" s="37" t="str">
        <x:v>W. Chan Kim şirketlere şöyle bir egzersiz yapmasını öneriyor.
Sektörünüzdeki tüm önemli rekabet faktörlerini listeleyin. Fiyat, kalite, hız, çeşitlilik, müşteri hizmetleri...
Sonra kendinizi ve rakiplerinizi bu faktörler üzerinde konumlandırın. Kim nerede?
##Çoğu şirket bu egzersizi yaptığında şaşırıyor: Rakiplerin profilleri neredeyse özdeş. Herkes aynı faktörleri aynı düzeyde vurguluyor.##
Kim buna "stratejik tuval" diyor ve şunu söylüyor: Eğer stratejik tualiniz rakiplerinizinkiyle aynı görünüyorsa, mavi okyanus değil kırmızı okyanudasınız.
Fark etmeden konvansiyonel rekabete kilitlenmişsinizdir.
Southwest Airlines bunu yaptığında şunu fark etti: Tüm hava yolu şirketleri aynı faktörleri ön plana çıkarıyor. Oturma seçeneği, yemek hizmeti, business class, havalimanı salonu...
Southwest bu faktörlerin çoğunu yok etti veya azalttı. Ve fiyatla hızı öne çıkardı. Bir anda hem hava yollarıyla hem de araba yolculuğuyla rekabet eder hale geldi.
Tamamen yeni bir pazar.
$$Rakiplerinizin profiliyle aynıysanız, rakip olamaz, kopya olursunuz.$$
&amp;&amp;Kendi alanında stratejik tuval çizsen, rakiplerinden gerçekten farklılaştığın faktörler var mı?&amp;&amp;</x:v>
      </x:c>
      <x:c r="K362" s="37" t="str"/>
      <x:c r="L362" s="37" t="str"/>
      <x:c r="M362" s="37" t="str"/>
      <x:c r="N362" s="37" t="str"/>
      <x:c r="O362" s="37" t="str"/>
    </x:row>
    <x:row r="363" ht="20" customHeight="1">
      <x:c r="A363" s="33" t="n">
        <x:v>1420</x:v>
      </x:c>
      <x:c r="B363" s="34" t="str">
        <x:v>1</x:v>
      </x:c>
      <x:c r="C363" s="34" t="str">
        <x:v>Sağlık</x:v>
      </x:c>
      <x:c r="D363" s="34" t="str">
        <x:v>Alışkanlıklar</x:v>
      </x:c>
      <x:c r="E363" s="34" t="str">
        <x:v>Mucize Sabah 2</x:v>
      </x:c>
      <x:c r="F363" s="34" t="str">
        <x:v>Hal Elrod</x:v>
      </x:c>
      <x:c r="G363" s="34" t="str">
        <x:v>2017</x:v>
      </x:c>
      <x:c r="H363" s="37" t="str">
        <x:v>Beyin kimyası ve sabah saati</x:v>
      </x:c>
      <x:c r="I363" s="37" t="str">
        <x:v>Elrod, sabah erken saatlerinde kortizol ve dopaminin neden zihnin en net halde olduğu anı yarattığını ve bu anı kasıtlı olarak kullanmanın nasıl hayatı dönüştürdüğünü anlatıyor.</x:v>
      </x:c>
      <x:c r="J363" s="37" t="str">
        <x:v>Hal Elrod bir gözlemden başlıyor.
İnsanların büyük çoğunluğu sabah alarmı çaldığında ne yapıyor? Erteliyor.
Beş dakika. On dakika. Bazen yarım saat.
Ve o erteleme yalnızca zamanı çalmıyor. Güne "hayır" diyerek başlama refleksini kodluyor. "Zorluklar geldiğinde, geri çekil" mesajı.
##Elrod buna "sabah motivasyonu paradoksu" diyor: Güne güçlü başlamak için güce ihtiyaç var. Ama güç güne nasıl başladığından geliyor.##
Nörobilim bunu şöyle açıklıyor: Sabahın ilk saatlerinde kortizol — uyanıklık hormonu — doğal olarak yükseliyor. Prefrontal korteks — karar verme ve odak merkezi — en taze halinde.
Bu pencereyi reaktif biçimde geçirmek — telefon, haber, sosyal medya — beyne "dış dünyaya tepki ver" modunu öğretiyor.
Ama bu pencereyi kasıtlı olarak geçirmek — hareket, düşünce, öğrenme — "bu gün benim" mesajını kodluyor.
Elrod ikinci kitabında bu fikri daha da derinleştiriyor: Sabah rutini yalnızca alışkanlık değil, kimlik inşası. Her sabah "ben bu kişiyim" diye tekrarlanan bir beyannamenin pratik versiyonu.
$$Güne nasıl başladığınız o günü değil, zamanla hayatınızı şekillendirir.$$
&amp;&amp;Sabahlarının ilk 30 dakikası nasıl geçiyor? Bu süre kim olmak istediğinizle ne kadar uyumlu?&amp;&amp;</x:v>
      </x:c>
      <x:c r="K363" s="37" t="str"/>
      <x:c r="L363" s="37" t="str"/>
      <x:c r="M363" s="37" t="str"/>
      <x:c r="N363" s="37" t="str"/>
      <x:c r="O363" s="37" t="str"/>
    </x:row>
    <x:row r="364" ht="20" customHeight="1">
      <x:c r="A364" s="33" t="n">
        <x:v>1421</x:v>
      </x:c>
      <x:c r="B364" s="34" t="str">
        <x:v>1</x:v>
      </x:c>
      <x:c r="C364" s="34" t="str">
        <x:v>Sağlık</x:v>
      </x:c>
      <x:c r="D364" s="34" t="str">
        <x:v>Alışkanlıklar</x:v>
      </x:c>
      <x:c r="E364" s="34" t="str">
        <x:v>Mucize Sabah 2</x:v>
      </x:c>
      <x:c r="F364" s="34" t="str">
        <x:v>Hal Elrod</x:v>
      </x:c>
      <x:c r="G364" s="34" t="str">
        <x:v>2017</x:v>
      </x:c>
      <x:c r="H364" s="37" t="str">
        <x:v>Beş saniyelik kural ve momentum</x:v>
      </x:c>
      <x:c r="I364" s="37" t="str">
        <x:v>Elrod, sabah alarmı çaldığında beş saniyede harekete geçmenin neden bütün güne yayılan bir momentum yarattığını ve bu küçük anın nasıl büyük bir şeyi temsil ettiğini anlatıyor.</x:v>
      </x:c>
      <x:c r="J364" s="37" t="str">
        <x:v>Hal Elrod ve Mel Robbins bağımsız olarak aynı keşfe ulaştılar.
Bunu bilen bir yerde Elrod anlatıyor: Alarm çaldığında, beyin hemen "neden kalkayım" listesi üretmeye başlıyor. Yorgunluk. Soğuk. "Beş dakika daha."
Bu liste çok hızlı ve çok ikna edici üretiliyor.
##Ama eğer ilk beş saniye içinde fiziksel harekete geçerseniz — ayağa kalkmak, dışarı çıkmak, neye olursa olsun — beyin o listeyi tamamlayamıyor.##
Neden? Çünkü fiziksel hareket, prefrontal korteksi aktive ediyor. Ve prefrontal korteks aktive olduğunda, "devam et" modu başlıyor.
Elrod bunu şöyle genişletiyor: O beş saniye yalnızca sabah kalkışı için değil. Zor bir konuşmayı başlatmak. Egzersizi başlatmak. Yazıya başlamak.
Her şeyin en zor anı ilk beş saniye. Geçildiğinde momentum devralıyor.
Ve sabah alarmı, bu beceriyi her gün pratik etme fırsatı.
Her sabah beş saniyede harekete geçen insan, zamanla güçlük karşısında daha az tereddüt ediyor. Çünkü "başlamak" refleks hale geliyor.
$$Her büyük hamlenin önünde beş saniyelik bir tereddüt kapısı var — onu geçmek alışkanlık olabilir.$$
&amp;&amp;Son bir haftada hangi şeyi başlatmakta en çok teredüt ettin? O tereddüdü beş saniyede geçseydin ne olurdu?&amp;&amp;</x:v>
      </x:c>
      <x:c r="K364" s="37" t="str"/>
      <x:c r="L364" s="37" t="str"/>
      <x:c r="M364" s="37" t="str"/>
      <x:c r="N364" s="37" t="str"/>
      <x:c r="O364" s="37" t="str"/>
    </x:row>
    <x:row r="365" ht="20" customHeight="1">
      <x:c r="A365" s="33" t="n">
        <x:v>1422</x:v>
      </x:c>
      <x:c r="B365" s="34" t="str">
        <x:v>1</x:v>
      </x:c>
      <x:c r="C365" s="34" t="str">
        <x:v>Sağlık</x:v>
      </x:c>
      <x:c r="D365" s="34" t="str">
        <x:v>Alışkanlıklar</x:v>
      </x:c>
      <x:c r="E365" s="34" t="str">
        <x:v>Mucize Sabah 2</x:v>
      </x:c>
      <x:c r="F365" s="34" t="str">
        <x:v>Hal Elrod</x:v>
      </x:c>
      <x:c r="G365" s="34" t="str">
        <x:v>2017</x:v>
      </x:c>
      <x:c r="H365" s="37" t="str">
        <x:v>Vizyon ve kimlik netliği</x:v>
      </x:c>
      <x:c r="I365" s="37" t="str">
        <x:v>Elrod, SAVERS rutininin ötesinde asıl dönüşümün net bir vizyon ve güçlü bir kimlikle mümkün olduğunu ve sabah ritüelinin bu netliği nasıl beslediğini anlatıyor.</x:v>
      </x:c>
      <x:c r="J365" s="37" t="str">
        <x:v>Hal Elrod şöyle bir fark çiziyor.
İki kişi sabah 5'te kalkıyor.
Biri kalkıyor çünkü "kalkmalıyım, verimli olmak istiyorum, başarılı insanlar böyle yapıyor."
Diğeri kalkıyor çünkü "kim olmak istediğimi biliyorum ve bu kişi bu saatte kalkıyor."
İlki motivasyona dayanıyor. Motivasyon dalgalanıyor.
##İkincisi kimliğe dayanıyor. Kimlik kararlı.##
Elrod'un ikinci kitabındaki asıl mesaj bu: Sabah rutini yalnızca bir araç. Aracı besleyen şey netlik — "ben kimim ve nereye gidiyorum?"
Bu netlik olmadan sabah rutini bir süre sonra sönüyor. Çünkü "neden" zayıf.
Elrod şöyle yapıyor: Her sabah, SAVERS rutininin bir parçası olarak, kim olmak istediğini kendine hatırlat. Yazmak, görselleştirmek, ya da sadece söylemek — "ben bu kişiyim."
Kimlik değişince, sabah alarmı farklı bir şey çalıyor. Artık "kalkmam gerekiyor" değil, "ben kalkan biriyim" diye uyandırıyor.
Ve bu fark, eninde sonunda hayatı ayıran fark.
$$Kimlik rutin oluşturmaz — ama güçlü kimlik rutini kaçınılmaz kılar.$$
&amp;&amp;Sabah rutininin arkasındaki "neden" ne kadar güçlü? Bu rutini kim olmak istediğinle ne kadar bağlantılı?&amp;&amp;</x:v>
      </x:c>
      <x:c r="K365" s="37" t="str"/>
      <x:c r="L365" s="37" t="str"/>
      <x:c r="M365" s="37" t="str"/>
      <x:c r="N365" s="37" t="str"/>
      <x:c r="O365" s="37" t="str"/>
    </x:row>
    <x:row r="366" ht="20" customHeight="1">
      <x:c r="A366" s="33" t="n">
        <x:v>1423</x:v>
      </x:c>
      <x:c r="B366" s="34" t="str">
        <x:v>1</x:v>
      </x:c>
      <x:c r="C366" s="34" t="str">
        <x:v>Psikoloji</x:v>
      </x:c>
      <x:c r="D366" s="34" t="str">
        <x:v>Farkındalık</x:v>
      </x:c>
      <x:c r="E366" s="34" t="str">
        <x:v>Mindfulness</x:v>
      </x:c>
      <x:c r="F366" s="34" t="str">
        <x:v>Jon Kabat-Zinn</x:v>
      </x:c>
      <x:c r="G366" s="34" t="str">
        <x:v>1994</x:v>
      </x:c>
      <x:c r="H366" s="37" t="str">
        <x:v>Nereye gidersen git, orada ol</x:v>
      </x:c>
      <x:c r="I366" s="37" t="str">
        <x:v>Kabat-Zinn, çoğu insanın bedeninin bulunduğu yerden zihinsel olarak sürekli kaçtığını ve farkındalığın bu kaçışı nasıl durdurduğunu anlatıyor.</x:v>
      </x:c>
      <x:c r="J366" s="37" t="str">
        <x:v>Jon Kabat-Zinn bir soruyla başlıyor.
"Şu an neredesiniz?"
Kulağa basit geliyor. Ama cevabı düşününce karmaşıklaşıyor.
Bedeniniz burada. Ama zihniniz?
Belki dünkü bir tartışmayı tekrar yaşıyorsunuz. Belki yarınki toplantıyı düşünüyorsunuz. Belki birinin size söylediği bir şeyi hâlâ sindiremiyorsunuz.
##Araştırmalar gösteriyor ki insanlar uyanık zamanlarının yüzde kırk yedisinde zihinleri başka bir yerde. Otopilotta.##
Kabat-Zinn bu kitabı kısa bir öncülden yazdı: Her yerde taşıdığımız şey kendimizdir. Nereye gidersek, beynimizi ve alışkanlıklarımızı götürürüz.
Kaçmak işe yaramıyor. Tatil yardımcı olabilir ama çözüm değil. Çünkü zihin tatile de geliyor.
Çözüm şu ana gelmek. Her yerde, her koşulda, şimdi burada olmayı öğrenmek.
Kabat-Zinn bunu pratik ve laik bir çerçevede sunuyor: Meditasyon bir dini pratik değil, dikkat pratiği. Ve bu pratik her yerde uygulanabilir — duş alırken, yürürken, yemek yerken.
Nereye gidersen git, orada ol. Bu cümle hem başlık hem de öğreti.
$$Zihin sürekli başka yerlere kaçar — farkındalık onu şu ana davet eder.$$
&amp;&amp;Bugün içinde bulunduğunuz an ile zihninizin gittiği yer ne kadar farklıydı? En çok nereye gitti?&amp;&amp;</x:v>
      </x:c>
      <x:c r="K366" s="37" t="str"/>
      <x:c r="L366" s="37" t="str"/>
      <x:c r="M366" s="37" t="str"/>
      <x:c r="N366" s="37" t="str"/>
      <x:c r="O366" s="37" t="str"/>
    </x:row>
    <x:row r="367" ht="20" customHeight="1">
      <x:c r="A367" s="33" t="n">
        <x:v>1424</x:v>
      </x:c>
      <x:c r="B367" s="34" t="str">
        <x:v>1</x:v>
      </x:c>
      <x:c r="C367" s="34" t="str">
        <x:v>Psikoloji</x:v>
      </x:c>
      <x:c r="D367" s="34" t="str">
        <x:v>Farkındalık</x:v>
      </x:c>
      <x:c r="E367" s="34" t="str">
        <x:v>Mindfulness</x:v>
      </x:c>
      <x:c r="F367" s="34" t="str">
        <x:v>Jon Kabat-Zinn</x:v>
      </x:c>
      <x:c r="G367" s="34" t="str">
        <x:v>1994</x:v>
      </x:c>
      <x:c r="H367" s="37" t="str">
        <x:v>Otopilot modu ve bilinçsiz hayat</x:v>
      </x:c>
      <x:c r="I367" s="37" t="str">
        <x:v>Kabat-Zinn, günlük hayatın büyük çoğunluğunun otopilotta geçtiğini ve bu otopilotun hem rahatlatan hem de yabancılaştıran bir yanı olduğunu anlatıyor.</x:v>
      </x:c>
      <x:c r="J367" s="37" t="str">
        <x:v>Jon Kabat-Zinn şöyle bir deney öneriyor.
Bugün işe giderken fark ettiğiniz şeyleri sayın.
Büyük çoğunluğumuz şunu yaşıyor: Eve geliyoruz. "Nasıl geldim?" diye düşünüyoruz. Yolun yarısını hatırlamıyoruz bile.
Bu otopilot. Beyin rutin görevleri otomatik hale getiriyor. Enerji tasarrufu. Mantıklı bir sistem.
##Ama Kabat-Zinn şunu soruyor: Eğer işe gidişin yüzde seksenini hatırlamıyorsanız, gününüzün ne kadarını gerçekten yaşıyorsunuz?##
Otopilot verimlidir. Ama yabancılaştırıcıdır. Hayat kırıntılar halinde akıp gidiyor. Bazen bir yıl geçmiş, nerede olduğunu bilmiyorsunuz.
Farkındalık bu otopilotu kırmak için değil. Onu fark etmek için.
"Ah, şu an otopilottayım" demek. Ve seçimle bir an için şu ana gelmek. O anın rengini, sesini, hissini fark etmek.
Bu küçük bir şey gibi görünüyor. Ama birikince, hayatın içinde olma hissini köklü biçimde değiştiriyor.
Kabat-Zinn şöyle diyor: Farkındalık pratiği hayatı uzatmıyor. Ama her anı daha canlı kılıyor.
$$Otopilotta geçen hayat verimli ama yaşanmamış — farkındalık her ana kalite katar.$$
&amp;&amp;Bu hafta gerçekten "orada" olduğunuzu hissettiğiniz bir an var mıydı? Ne sağladı o "orada olma" hissini?&amp;&amp;</x:v>
      </x:c>
      <x:c r="K367" s="37" t="str"/>
      <x:c r="L367" s="37" t="str"/>
      <x:c r="M367" s="37" t="str"/>
      <x:c r="N367" s="37" t="str"/>
      <x:c r="O367" s="37" t="str"/>
    </x:row>
    <x:row r="368" ht="20" customHeight="1">
      <x:c r="A368" s="33" t="n">
        <x:v>1425</x:v>
      </x:c>
      <x:c r="B368" s="34" t="str">
        <x:v>1</x:v>
      </x:c>
      <x:c r="C368" s="34" t="str">
        <x:v>Psikoloji</x:v>
      </x:c>
      <x:c r="D368" s="34" t="str">
        <x:v>Farkındalık</x:v>
      </x:c>
      <x:c r="E368" s="34" t="str">
        <x:v>Mindfulness</x:v>
      </x:c>
      <x:c r="F368" s="34" t="str">
        <x:v>Jon Kabat-Zinn</x:v>
      </x:c>
      <x:c r="G368" s="34" t="str">
        <x:v>1994</x:v>
      </x:c>
      <x:c r="H368" s="37" t="str">
        <x:v>Düşünceler gerçek değildir</x:v>
      </x:c>
      <x:c r="I368" s="37" t="str">
        <x:v>Kabat-Zinn, düşüncelerin gerçekliği temsil etmediğini, yalnızca zihinsel olaylar olduğunu ve bu ayrımı anlamanın kaygı ve stresle ilişkiyi nasıl dönüştürdüğünü anlatıyor.</x:v>
      </x:c>
      <x:c r="J368" s="37" t="str">
        <x:v>Jon Kabat-Zinn bir ayrım yapıyor ve bu ayrım her şeyi değiştiriyor.
Düşünce ile gerçek arasındaki fark.
"Bu toplantı berbat geçecek" — bir düşünce.
Toplantının nasıl geçeceği — gerçek.
Ama beyin çoğu zaman ikisini aynı şey olarak işliyor. Düşünce geldi, gerçekmiş gibi hissettiriyor.
"Kimse beni sevmiyor" düşüncesi geldi. Beyin bunu bir tehdit olarak kodluyor. Savunma mekanizmaları devreye giriyor. Stres hormonu yükseliyor.
##Ama Kabat-Zinn şunu soruyor: Bu düşünce mi, yoksa gerçek mi?##
Farkındalık pratiği bu soruyu sorabilmeyi öğretiyor.
"Ben sevilmiyorum" değil — "şu an 'sevilmiyorum' düşüncesi geçiyor."
Bu küçük dilsel değişim, düşünceyle özdeşleşmek yerine onu gözlemleyen bir alan açıyor.
Ve o alan içinde, düşünce hâlâ orada — ama artık sürücü koltuğunda değil.
Kabat-Zinn bu pratiği özellikle kronik ağrı, kaygı ve depresyon için geliştirdi. Sonuçlar araştırmalarla desteklendi: Farkındalık temelli stres azaltma, klinik popülasyonlarda istatistiksel olarak anlamlı iyileşmeler gösteriyor.
$$Düşünce bir gerçek değil, bir zihinsel olaydır — ikisini ayırt etmek özgürlük yaratır.$$
&amp;&amp;Şu an zihninizde sürekli dönen bir düşünce var mı? O düşünce gerçek mi, yoksa bir hikaye mi?&amp;&amp;</x:v>
      </x:c>
      <x:c r="K368" s="37" t="str"/>
      <x:c r="L368" s="37" t="str"/>
      <x:c r="M368" s="37" t="str"/>
      <x:c r="N368" s="37" t="str"/>
      <x:c r="O368" s="37" t="str"/>
    </x:row>
    <x:row r="369" ht="20" customHeight="1">
      <x:c r="A369" s="33" t="n">
        <x:v>1426</x:v>
      </x:c>
      <x:c r="B369" s="34" t="str">
        <x:v>1</x:v>
      </x:c>
      <x:c r="C369" s="34" t="str">
        <x:v>Liderlik</x:v>
      </x:c>
      <x:c r="D369" s="34" t="str">
        <x:v>Başarı</x:v>
      </x:c>
      <x:c r="E369" s="34" t="str">
        <x:v>Yetenek Yanılgısı</x:v>
      </x:c>
      <x:c r="F369" s="34" t="str">
        <x:v>Geoff Colvin</x:v>
      </x:c>
      <x:c r="G369" s="34" t="str">
        <x:v>2008</x:v>
      </x:c>
      <x:c r="H369" s="37" t="str">
        <x:v>Mozart'ın mucize çocuk efsanesi</x:v>
      </x:c>
      <x:c r="I369" s="37" t="str">
        <x:v>Colvin, Mozart'ın doğuştan gelen bir dehanın ürünü olarak sunulmasının yanıltıcı olduğunu ve aslında babasının yoğun müzik eğitimiyle geçen binlerce saatin sonucu olduğunu anlatıyor.</x:v>
      </x:c>
      <x:c r="J369" s="37" t="str">
        <x:v>Geoff Colvin bir efsaneyle başlıyor.
Mozart. Doğuştan dahi. Üç yaşında piyanoya oturdu, müzik akmaya başladı. Beş yaşında besteler yaptı. Sekiz yaşında senfoni.
Doğuştan gelen bir armağan, değil mi?
Colvin farklı bir hikaye anlatıyor.
Mozart'ın babası Leopold Mozart Avrupa'nın en iyi müzik öğretmenlerinden biriydi. Ve oğlu doğar doğmaz sistematik bir eğitime başladı.
Günde saatlerce. Yıl boyunca. En küçük yaştan itibaren.
##Mozart "harika besteler" yapmaya başladığında, aslında binlerce saatlik yoğun pratik yapmış biriydi. Sadece herkesten erken başlamıştı.##
Colvin şunu soruyor: Eğer Leopold herhangi bir çocuğa aynı eğitimi verseydi, benzer sonuçlar görür müydü?
Kesin bir cevap yok. Ama Colvin'in argümanı net: "Deha"yı açıklamak için pratikten bağımsız bir yetenek faktörü varsaymak gerekmiyor.
Ve bu fikir hem cesaret verici hem de yük bindiriyor.
Cesaret verici: Yetenek kader değil.
Yük: Başarısızlık için "yeteneksizim" bahanesi de kalmıyor.
$$Deha doğuştan gelmez — binlerce saatlik kasıtlı pratikten doğar.$$
&amp;&amp;"Ben buna yeteneğim yok" dediğiniz ama gerçekte hiç ciddi pratik yapmadığınız bir alan var mı?&amp;&amp;</x:v>
      </x:c>
      <x:c r="K369" s="37" t="str"/>
      <x:c r="L369" s="37" t="str"/>
      <x:c r="M369" s="37" t="str"/>
      <x:c r="N369" s="37" t="str"/>
      <x:c r="O369" s="37" t="str"/>
    </x:row>
    <x:row r="370" ht="20" customHeight="1">
      <x:c r="A370" s="33" t="n">
        <x:v>1427</x:v>
      </x:c>
      <x:c r="B370" s="34" t="str">
        <x:v>1</x:v>
      </x:c>
      <x:c r="C370" s="34" t="str">
        <x:v>Liderlik</x:v>
      </x:c>
      <x:c r="D370" s="34" t="str">
        <x:v>Başarı</x:v>
      </x:c>
      <x:c r="E370" s="34" t="str">
        <x:v>Yetenek Yanılgısı</x:v>
      </x:c>
      <x:c r="F370" s="34" t="str">
        <x:v>Geoff Colvin</x:v>
      </x:c>
      <x:c r="G370" s="34" t="str">
        <x:v>2008</x:v>
      </x:c>
      <x:c r="H370" s="37" t="str">
        <x:v>Kasıtlı pratik ile rutin pratik arasındaki derin uçurum</x:v>
      </x:c>
      <x:c r="I370" s="37" t="str">
        <x:v>Colvin, on yıl boyunca aynı işi yapmanın sizi uzman yapmadığını, asıl farkın 'kasıtlı pratik' adını verdiği özel ve zorlu çalışma biçiminde olduğunu anlatıyor.</x:v>
      </x:c>
      <x:c r="J370" s="37" t="str">
        <x:v>Geoff Colvin şaşırtıcı bir araştırmadan söz ediyor.
20 yıllık deneyimli bir doktor ile 5 yıllık genç bir doktor karşılaştırıldı. Hangisi daha iyi teşhis koyuyor?
Sezgisel cevap: 20 yıllık.
Gerçek: Bazı alanlarda genç doktor daha iyi.
Neden? Çünkü deneyim otomatik olarak yetkinlik sağlamıyor.
##Colvin bunu "rutin pratik ile kasıtlı pratik" ayrımıyla açıklıyor. Rutin pratik tekrar. Kasıtlı pratik ise zor noktaları hedef alan, geri bildirim alan, sürekli sınırı zorlayan çalışma.##
Bir pilot 10.000 saat uçuyor ama her seferinde aynı koşullarda. Bu rutin pratik. Yetkinliği belli bir noktada donuyor.
Başka bir pilot her uçuşta en zor senaryoları simüle ediyor, koçundan geri bildirim alıyor, zayıf noktaları kasıtlı olarak çalışıyor. Bu kasıtlı pratik. Yetkinlik sürekli büyüyor.
Colvin şunu söylüyor: Çoğu insan rutin pratikle meşgul. Ve sonra "neden ilerlemiyorum?" diye şaşırıyor.
Kasıtlı pratik acı veriyor. Konfor bölgesini zorluyor. Ama büyüme tam orada oluyor.
$$Yıllar değil, kasıtlı pratik uzman yapar.$$
&amp;&amp;Şu an "pratik yaptığınız" bir alanda, gerçekten zor noktaları mı hedefliyorsunuz, yoksa rahat bölgenizde mi döngü yapıyorsunuz?&amp;&amp;</x:v>
      </x:c>
      <x:c r="K370" s="37" t="str"/>
      <x:c r="L370" s="37" t="str"/>
      <x:c r="M370" s="37" t="str"/>
      <x:c r="N370" s="37" t="str"/>
      <x:c r="O370" s="37" t="str"/>
    </x:row>
    <x:row r="371" ht="20" customHeight="1">
      <x:c r="A371" s="33" t="n">
        <x:v>1428</x:v>
      </x:c>
      <x:c r="B371" s="34" t="str">
        <x:v>1</x:v>
      </x:c>
      <x:c r="C371" s="34" t="str">
        <x:v>Liderlik</x:v>
      </x:c>
      <x:c r="D371" s="34" t="str">
        <x:v>Başarı</x:v>
      </x:c>
      <x:c r="E371" s="34" t="str">
        <x:v>Yetenek Yanılgısı</x:v>
      </x:c>
      <x:c r="F371" s="34" t="str">
        <x:v>Geoff Colvin</x:v>
      </x:c>
      <x:c r="G371" s="34" t="str">
        <x:v>2008</x:v>
      </x:c>
      <x:c r="H371" s="37" t="str">
        <x:v>Coçluk ve geri bildirim olmadan büyüme olmaz</x:v>
      </x:c>
      <x:c r="I371" s="37" t="str">
        <x:v>Colvin, dünyanın en iyi performansçılarının neredeyse tamamının uzun yıllar boyunca koç ya da mentor desteği aldığını ve nesnel geri bildirim olmadan kasıtlı pratiğin mümkün olmadığını anlatıyor.</x:v>
      </x:c>
      <x:c r="J371" s="37" t="str">
        <x:v>Geoff Colvin dünyaca tanınan performansçıların hayatlarını inceledi.
Tiger Woods. Serena Williams. Yo-Yo Ma. Warren Buffett. Jack Welch.
Ortak nokta ne?
Hepsi çok genç yaşta, çok uzun süre, çok iyi koçlarla çalıştı.
##Colvin şunu söylüyor: "Dünyanın en büyük yeteneklerinden hiçbiri başarılarını tamamen kendi başına geliştirmedi."##
Neden koç bu kadar kritik?
Çünkü kasıtlı pratiğin olmazsa olmazı geri bildirim. Ve kendi performansınızı nesnel biçimde değerlendirmek neredeyse imkansız.
Bir müzisyen yanlış notayı fark edemiyor — çünkü kafasında doğrusunu duyuyor. Bir sporcu teknik hatasını görmüyor — çünkü içeriden bakıyor.
Dışarıdan bakan bir göz, içeriden görülemeyen şeyleri görüyor.
Colvin daha da ileri gidiyor: Koç sadece hata bulmaz. Ne üzerinde çalışılması gerektiğini, hangi sırayla, hangi yoğunlukla — bunları belirliyor. Ve kasıtlı pratiği mümkün kılan bu tasarım.
Kendi kendinize mükemmelleşebilirsiniz. Ama çok daha yavaş. Çok daha az verimli.
$$Nesnel geri bildirim olmadan kasıtlı pratik, haritasız yolculuktur.$$
&amp;&amp;Şu an hayatında gerçekten dürüst geri bildirim aldığın, körleşmeni önleyen biri var mı? Yoksa bu boşluğu nasıl doldurabilirsin?&amp;&amp;</x:v>
      </x:c>
      <x:c r="K371" s="37" t="str"/>
      <x:c r="L371" s="37" t="str"/>
      <x:c r="M371" s="37" t="str"/>
      <x:c r="N371" s="37" t="str"/>
      <x:c r="O371" s="37" t="str"/>
    </x:row>
    <x:row r="372" ht="20" customHeight="1">
      <x:c r="A372" s="33" t="n">
        <x:v>1429</x:v>
      </x:c>
      <x:c r="B372" s="34" t="str">
        <x:v>1</x:v>
      </x:c>
      <x:c r="C372" s="34" t="str">
        <x:v>Psikoloji</x:v>
      </x:c>
      <x:c r="D372" s="34" t="str">
        <x:v>Psikoloji</x:v>
      </x:c>
      <x:c r="E372" s="34" t="str">
        <x:v>Terapi</x:v>
      </x:c>
      <x:c r="F372" s="34" t="str">
        <x:v>Lori Gottlieb</x:v>
      </x:c>
      <x:c r="G372" s="34" t="str">
        <x:v>2019</x:v>
      </x:c>
      <x:c r="H372" s="37" t="str">
        <x:v>Terapistin kendi terapisti</x:v>
      </x:c>
      <x:c r="I372" s="37" t="str">
        <x:v>Gottlieb, bir terapist olarak mesleki krizler yaşadığında kendi terapistine gitmeye başlamasının hem kendisi için hem de kitabı için nasıl dönüştürücü olduğunu anlatıyor.</x:v>
      </x:c>
      <x:c r="J372" s="37" t="str">
        <x:v>Lori Gottlieb onlarca yıldır psikoterapist olarak çalışıyordu.
Başkalarının iç dünyalarını anlıyordu. Onlara yol gösteriyordu. İnsanların en karanlık anlarında yanlarındaydı.
Sonra kendi hayatı çöktü.
Uzun vadeli ilişkisi beklenmedik biçimde bitti. Yalnız bir anneye döndü. İş stresi birikti.
Ve şunu fark etti: Başkalarına tavsiye veriyordu ama kendi acısını işleyemiyordu.
Bir terapiste gitti.
##"Bir terapistin terapisti olarak oturmak" diye yazıyor Gottlieb. "O koltuğun ne kadar zor olduğunu anlamak için oturmak gerekiyordu."##
Bu kitap hem Gottlieb'in kendi terapi sürecini hem de hastalarının hikayelerini paralel olarak anlatıyor.
Ve en güçlü keşfini paylaşıyor: Terapistler de insandır. Ve en iyi terapistler kendi kırılganlıklarıyla yüzleşmiş olanlardır.
Gottlieb şunu söylüyor: Biz hastalarımıza "duygularınızla oturun" deriz. Ama kendimiz ne zaman oturuyoruz?
Bu soru yalnızca terapistler için değil. Başkasına tavsiye veren herkes için geçerli.
$$Başkalarına yol göstermek için önce kendi yolunu tanıman gerekir.$$
&amp;&amp;Başkalarına verdiğin tavsiyelerden birini düşün. O tavsiyeyi kendin için de uygulayabiliyor musun?&amp;&amp;</x:v>
      </x:c>
      <x:c r="K372" s="37" t="str"/>
      <x:c r="L372" s="37" t="str"/>
      <x:c r="M372" s="37" t="str"/>
      <x:c r="N372" s="37" t="str"/>
      <x:c r="O372" s="37" t="str"/>
    </x:row>
    <x:row r="373" ht="20" customHeight="1">
      <x:c r="A373" s="33" t="n">
        <x:v>1430</x:v>
      </x:c>
      <x:c r="B373" s="34" t="str">
        <x:v>1</x:v>
      </x:c>
      <x:c r="C373" s="34" t="str">
        <x:v>Psikoloji</x:v>
      </x:c>
      <x:c r="D373" s="34" t="str">
        <x:v>Psikoloji</x:v>
      </x:c>
      <x:c r="E373" s="34" t="str">
        <x:v>Terapi</x:v>
      </x:c>
      <x:c r="F373" s="34" t="str">
        <x:v>Lori Gottlieb</x:v>
      </x:c>
      <x:c r="G373" s="34" t="str">
        <x:v>2019</x:v>
      </x:c>
      <x:c r="H373" s="37" t="str">
        <x:v>Değişim istemek ile değişmek istemek</x:v>
      </x:c>
      <x:c r="I373" s="37" t="str">
        <x:v>Gottlieb, pek çok hastasının değişmek istediğini söylerken aslında koşulların değişmesini istediğini fark ettiğini ve bu ayrımın terapinin merkezinde durduğunu anlatıyor.</x:v>
      </x:c>
      <x:c r="J373" s="37" t="str">
        <x:v>Lori Gottlieb terapide tekrar eden bir paradoksu anlatıyor.
Bir hasta geliyor: "Hayatımı değiştirmek istiyorum."
Gottlieb soruyor: "Ne değişmesini istiyorsunuz?"
"Eşim değişsin. İşim değişsin. Bu şehir değişsin."
Gottlieb içinden not alıyor: Bu kişi değişmek istiyor — ama kendisi değil.
##"İnsanlar terapiye değişmek için gelmiyor" diyor Gottlieb. "Acıdan kurtulmak için geliyorlar. Değişmek ise çoğu zaman acı veriyor."##
Bu çelişki terapinin en derin gerilimlerinden biri.
Değişim konfor bölgesini yıkıyor. Eski hikayelerimizi bırakmamızı gerektiriyor. Ve eski hikayelerimiz ne kadar acı verse de, tanıdık olan her zaman bilinmeyenden daha güvenli hissettiriyor.
Gottlieb bir hastasından söz ediyor. Her ilişkisinde aynı sorunları yaşayan biri. Terapiye "biri beni anlasın" diye geliyor. Ama fark edilen şu: O kişi de karşısındakini anlamak için çaba harcamıyor.
Terapi bu aynayı tuttu. Ve o hasta ilk kez kendini gördü.
$$Değişmek istemek ile değişmeye hazır olmak — ikisi arasında derin bir uçurum var.$$
&amp;&amp;Hayatında "değişmesini istediğin" ama aslında en çok senin değişmeni gerektiren bir şey var mı?&amp;&amp;</x:v>
      </x:c>
      <x:c r="K373" s="37" t="str"/>
      <x:c r="L373" s="37" t="str"/>
      <x:c r="M373" s="37" t="str"/>
      <x:c r="N373" s="37" t="str"/>
      <x:c r="O373" s="37" t="str"/>
    </x:row>
    <x:row r="374" ht="20" customHeight="1">
      <x:c r="A374" s="33" t="n">
        <x:v>1431</x:v>
      </x:c>
      <x:c r="B374" s="34" t="str">
        <x:v>1</x:v>
      </x:c>
      <x:c r="C374" s="34" t="str">
        <x:v>Psikoloji</x:v>
      </x:c>
      <x:c r="D374" s="34" t="str">
        <x:v>Psikoloji</x:v>
      </x:c>
      <x:c r="E374" s="34" t="str">
        <x:v>Terapi</x:v>
      </x:c>
      <x:c r="F374" s="34" t="str">
        <x:v>Lori Gottlieb</x:v>
      </x:c>
      <x:c r="G374" s="34" t="str">
        <x:v>2019</x:v>
      </x:c>
      <x:c r="H374" s="37" t="str">
        <x:v>Hikaye anlatımı ve kendini kurban etmek</x:v>
      </x:c>
      <x:c r="I374" s="37" t="str">
        <x:v>Gottlieb, insanların hayatları hakkında anlattıkları hikayelerin gerçeği değil yorumu yansıttığını ve bu hikayeleri yeniden yazabilmenin terapinin en dönüştürücü yönü olduğunu gösteriyor.</x:v>
      </x:c>
      <x:c r="J374" s="37" t="str">
        <x:v>Lori Gottlieb şöyle bir gözlem paylaşıyor.
Her hasta bir hikayeyle geliyor. Kendisi hakkında, başkaları hakkında, hayatı hakkında. Ve bu hikaye çoğu zaman onlarca yıl önce yazılmış.
"Annem beni hiç anlamadı." "Ben hep haksızlığa uğradım." "Bu benim kabahatim değildi."
Bunların bir kısmı doğru. Ama hepsi hikaye.
##Gottlieb şunu söylüyor: "Hikayeniz sizi şekillendirdi. Ama hikayenizin sahibi sizsiniz — onu yeniden yazabilirsiniz."##
Bir hastası annesini suçluyor yıllardır. Ve bu anlatı ona bir şey veriyor: acımasız hissettiriyor ama aynı zamanda sorumluluktan muaf tutuyor. "Böyle oldum çünkü annem böyleydi."
Gottlieb anneyi savunmuyor. Ama şunu soruyor: "Bu hikaye sizi özgür mü kılıyor?"
Cevap: Hayır. Bu hikaye onu bir kurban olarak donduruyor.
Terapi o hikayeyi değiştirmiyor. Ama hikayeye farklı sorularla bakılmasını sağlıyor: "Bu olay başka nasıl yorumlanabilir? O an anneniz ne düşünüyor olabilirdi? Siz o anda ne seçtiniz?"
Ve sorular değişince, hikaye değişiyor. Ve hikaye değişince, insan değişiyor.
$$Anlattığınız hikaye sizi şekillendirdi — ama onu yeniden yazma gücü de sizde.$$
&amp;&amp;Hayatınız hakkında anlattığınız hikayelerden biri sizi özgürleştiriyor mu, yoksa mahkum mu ediyor?&amp;&amp;</x:v>
      </x:c>
      <x:c r="K374" s="37" t="str"/>
      <x:c r="L374" s="37" t="str"/>
      <x:c r="M374" s="37" t="str"/>
      <x:c r="N374" s="37" t="str"/>
      <x:c r="O374" s="37" t="str"/>
    </x:row>
    <x:row r="375" ht="20" customHeight="1">
      <x:c r="A375" s="33" t="n">
        <x:v>1432</x:v>
      </x:c>
      <x:c r="B375" s="34" t="str">
        <x:v>1</x:v>
      </x:c>
      <x:c r="C375" s="34" t="str">
        <x:v>Liderlik</x:v>
      </x:c>
      <x:c r="D375" s="34" t="str">
        <x:v>Yönetim</x:v>
      </x:c>
      <x:c r="E375" s="34" t="str">
        <x:v>Büyüme Kültürü</x:v>
      </x:c>
      <x:c r="F375" s="34" t="str">
        <x:v>John Doerr</x:v>
      </x:c>
      <x:c r="G375" s="34" t="str">
        <x:v>2018</x:v>
      </x:c>
      <x:c r="H375" s="37" t="str">
        <x:v>OKR'ların doğuşu — Intel ve Andy Grove</x:v>
      </x:c>
      <x:c r="I375" s="37" t="str">
        <x:v>Doerr, OKR metodolojisini Intel'de Andy Grove'dan öğrendiğini ve bu sistemin bir şirketi nasıl net hedefler etrafında hizaladığını anlatıyor.</x:v>
      </x:c>
      <x:c r="J375" s="37" t="str">
        <x:v>John Doerr 1975'te Intel'e genç bir mühendis olarak katıldı.
Ve orada Andy Grove'dan bir ders aldı. Bu ders kariyerini, düşünce biçimini ve sonunda yatırım yaptığı düzinelerce şirketi şekillendirdi.
Grove şöyle diyordu: "Nereye gideceğini bilmiyorsan, nereden bileceksin oraya ulaşıp ulaşmadığını?"
Intel'de herkes her çeyrekte iki soruyu cevaplıyordu.
Birincisi: Ne başarmak istiyorsun? (Hedefler — Objectives)
İkincisi: Oraya nasıl ulaştığını nasıl anlayacaksın? (Anahtar Sonuçlar — Key Results)
##Doerr şöyle yazıyor: "Bu sistem bana bir şeyi öğretti: Netlik güç."##
Hedefsiz çalışan bir şirket enerjiyi her yöne dağıtır. Ama "bu çeyrekte bunu başaracağız ve şu üç metrikle ölçeceğiz" dediğinizde, tüm enerji aynı yöne akar.
Doerr bu sistemi daha sonra Google'a götürdü — 1999'da henüz küçük bir startup olan şirkete.
Larry Page ve Sergey Brin OKR'ları benimsedi. Ve Google o tarihten bugüne her çeyrekte aynı sistemi kullanıyor.
Doerr'ın mesajı: Büyüklük tesadüften değil, net hedeflerden ve şeffaf ölçümden doğuyor.
$$Net hedef olmadan enerji dağılır — OKR'lar bu enerjiyi tek noktaya toplar.$$
&amp;&amp;Şu an üzerinde çalıştığın en önemli projenin net bir hedefi ve o hedefe ulaşıp ulaşmadığını anlayacağın bir ölçütü var mı?&amp;&amp;</x:v>
      </x:c>
      <x:c r="K375" s="37" t="str"/>
      <x:c r="L375" s="37" t="str"/>
      <x:c r="M375" s="37" t="str"/>
      <x:c r="N375" s="37" t="str"/>
      <x:c r="O375" s="37" t="str"/>
    </x:row>
    <x:row r="376" ht="20" customHeight="1">
      <x:c r="A376" s="33" t="n">
        <x:v>1433</x:v>
      </x:c>
      <x:c r="B376" s="34" t="str">
        <x:v>1</x:v>
      </x:c>
      <x:c r="C376" s="34" t="str">
        <x:v>Liderlik</x:v>
      </x:c>
      <x:c r="D376" s="34" t="str">
        <x:v>Yönetim</x:v>
      </x:c>
      <x:c r="E376" s="34" t="str">
        <x:v>Büyüme Kültürü</x:v>
      </x:c>
      <x:c r="F376" s="34" t="str">
        <x:v>John Doerr</x:v>
      </x:c>
      <x:c r="G376" s="34" t="str">
        <x:v>2018</x:v>
      </x:c>
      <x:c r="H376" s="37" t="str">
        <x:v>Yüksek hedef kültürü — moonshot düşünce</x:v>
      </x:c>
      <x:c r="I376" s="37" t="str">
        <x:v>Doerr, Google'ın yüzde yüz değil yüzde yetmiş başarıyı hedeflediğini ve büyük hedeflerin baskı değil ilham yaratmasının neden kritik olduğunu anlatıyor.</x:v>
      </x:c>
      <x:c r="J376" s="37" t="str">
        <x:v>John Doerr Google'da şaşırtıcı bir kültürel normla karşılaştı.
Google hedeflerini belirlerken kasıtlı olarak ulaşılması zor — ama imkansız olmayan — seviyeyi hedefliyordu.
Ve daha da ilginç olan şu: Hedeflere yüzde yüz ulaşmak başarı sayılmıyordu.
##"Tüm OKR'larınıza ulaştıysanız, yeterince iddialı hedefler koymadınız demektir" diyordu Google'ın kültürü.##
Bu tuhaf bir mantık. Ama arkasında derin bir fikir var.
Yüzde yüze ayarlanan hedefler insanı güvenli bölgede tutar. Kesinlikle ulaşılabilecek şeyler hedeflenir.
Ama yüzde yetmişe ayarlanan hedefler — tam olarak ulaşılamayacak ama yaklaşılabilecek şeyler — insanı zorluyor. Yaratıcılık tetikleniyor. Yeni yollar aranıyor.
Ve yüzde altmış beşe ulaşan bir takım, yüzde yüze ayarlı hedefe tam ulaşan bir takımdan çok daha fazlasını başarmış olabilir.
Doerr bu fikri "moonshot düşünce" olarak bağlıyor: Aya gitmek isteyen, atmosferi aşmayı bile başarabilir.
$$İddialı hedefler baskı değil ilham yaratır — çünkü insanı olduğunun ötesine zorlar.$$
&amp;&amp;Şu an hayatında ya da işinde gerçekten zorlandığın, yüzde yüz garantisi olmayan ama ulaşmak istediğin bir hedef var mı?&amp;&amp;</x:v>
      </x:c>
      <x:c r="K376" s="37" t="str"/>
      <x:c r="L376" s="37" t="str"/>
      <x:c r="M376" s="37" t="str"/>
      <x:c r="N376" s="37" t="str"/>
      <x:c r="O376" s="37" t="str"/>
    </x:row>
    <x:row r="377" ht="20" customHeight="1">
      <x:c r="A377" s="33" t="n">
        <x:v>1434</x:v>
      </x:c>
      <x:c r="B377" s="34" t="str">
        <x:v>1</x:v>
      </x:c>
      <x:c r="C377" s="34" t="str">
        <x:v>Liderlik</x:v>
      </x:c>
      <x:c r="D377" s="34" t="str">
        <x:v>Yönetim</x:v>
      </x:c>
      <x:c r="E377" s="34" t="str">
        <x:v>Büyüme Kültürü</x:v>
      </x:c>
      <x:c r="F377" s="34" t="str">
        <x:v>John Doerr</x:v>
      </x:c>
      <x:c r="G377" s="34" t="str">
        <x:v>2018</x:v>
      </x:c>
      <x:c r="H377" s="37" t="str">
        <x:v>Şeffaflık ve hizalanma</x:v>
      </x:c>
      <x:c r="I377" s="37" t="str">
        <x:v>Doerr, OKR'ların en güçlü yanının hedeflerin herkese açık olması ve bu şeffaflığın nasıl organizasyonları hizaladığını anlatıyor.</x:v>
      </x:c>
      <x:c r="J377" s="37" t="str">
        <x:v>John Doerr bir gözlem yapıyor.
Çoğu şirkette hedefler yukarıda belirleniyor ve aşağıya iniyor. CEO'nun hedefleri var. Departman müdürünün hedefleri var. Çalışanın hedefleri var.
Ama bu hedefler birbirleriyle uyumlu mu? Çalışanın hedefleri şirketin stratejisini gerçekten ilerletiyor mu?
##Doerr şöyle diyor: "Çoğu organizasyonda herkesin hedefleri var. Ama bu hedeflerin birbirine bağlı olup olmadığını kimse bilmiyor."##
OKR'ların en güçlü özelliği şeffaflık. Herkesin hedefleri herkese görünür.
CEO'nun OKR'ları şirket genelinde paylaşılıyor. Departman müdürleri kendi OKR'larını buna hizalıyor. Bireyler de departman hedefleriyle uyumlu OKR'lar oluşturuyor.
Ve her çalışan hem kendi hedefini hem de bunun büyük resme nasıl katkı sağladığını görebiliyor.
Bu şeffaflık çift yönlü çalışıyor. Yukarıdan aşağıya hizalanma sağlıyor. Ama aynı zamanda çalışanlar da hedeflerine katılım sağlıyor — sadece uygulamıyor, anlıyorlar.
Ve anlayan insan, yalnızca uygulayandan çok daha motive.
$$Neden çalıştığını anlayan insan, söyleneni yapandan çok daha güçlüdür.$$
&amp;&amp;İşindeki hedeflerin büyük resme nasıl katkı sağladığını net olarak biliyor musun? Bu bağlantıyı görmek seni nasıl etkiler?&amp;&amp;</x:v>
      </x:c>
      <x:c r="K377" s="37" t="str"/>
      <x:c r="L377" s="37" t="str"/>
      <x:c r="M377" s="37" t="str"/>
      <x:c r="N377" s="37" t="str"/>
      <x:c r="O377" s="37" t="str"/>
    </x:row>
    <x:row r="378" ht="20" customHeight="1">
      <x:c r="A378" s="33" t="n">
        <x:v>1435</x:v>
      </x:c>
      <x:c r="B378" s="34" t="str">
        <x:v>1</x:v>
      </x:c>
      <x:c r="C378" s="34" t="str">
        <x:v>Finans</x:v>
      </x:c>
      <x:c r="D378" s="34" t="str">
        <x:v>Satış</x:v>
      </x:c>
      <x:c r="E378" s="34" t="str">
        <x:v>Satışın Psikolojisi</x:v>
      </x:c>
      <x:c r="F378" s="34" t="str">
        <x:v>Brian Tracy</x:v>
      </x:c>
      <x:c r="G378" s="34" t="str">
        <x:v>2006</x:v>
      </x:c>
      <x:c r="H378" s="37" t="str">
        <x:v>Satışın psikolojik temeli — insanlar duygularla alır</x:v>
      </x:c>
      <x:c r="I378" s="37" t="str">
        <x:v>Tracy, satış kararlarının yüzde sekseninin duygusal olduğunu ve mantığın yalnızca bu kararı gerekçelendirdiğini gösteren araştırmaları aktarıyor.</x:v>
      </x:c>
      <x:c r="J378" s="37" t="str">
        <x:v>Brian Tracy onlarca yıl boyunca binlerce satış profesyoneliyle çalıştı.
Ve tekrar eden bir yanlış anlamayı düzeltti.
"Müşteri mantıklı karar alır."
Bu doğru değil.
Araştırmalar gösteriyor: Satın alma kararlarının büyük çoğunluğu duygusal süreçlerle alınıyor. Mantık sonradan devreye giriyor — ama yalnızca o kararı gerekçelendirmek için.
##Tracy şöyle diyor: "İnsanlar duygularıyla satın alır, mantıklarıyla gerekçelendirir."##
Bu neden önemli?
Çünkü çoğu satış sunumu özellikler ve mantıksal argümanlarla dolu. "Ürünümüz şu kadar hızlı, bu kadar ucuz, bu kadar verimli."
Ama müşteri önce hisseder. "Bu beni daha güvende hissettirir mi? Bu bana saygınlık getirir mi? Bu hayatımı daha kolay kılar mı?"
Tracy bunu satış pratiğine şöyle taşıyor: Özellik değil, fayda sat. Fayda değil, duygu sat.
"Bu sigorta poliçesi ailenizi korur" — fayda.
"Bu poliçeyle geceleri rahat uyursunuz" — duygu.
İkincisi çok daha güçlü. Çünkü rahat uyumak zaten hissedilen bir şey.
$$İnsanlar ürün almaz, o ürünün hissettirdiği şeyi alır.$$
&amp;&amp;Bir şeyi satın aldığında ya da birini ikna etmek istediğinde, genellikle mantıkla mı yoksa duyguyla mı başlıyorsun?&amp;&amp;</x:v>
      </x:c>
      <x:c r="K378" s="37" t="str"/>
      <x:c r="L378" s="37" t="str"/>
      <x:c r="M378" s="37" t="str"/>
      <x:c r="N378" s="37" t="str"/>
      <x:c r="O378" s="37" t="str"/>
    </x:row>
    <x:row r="379" ht="20" customHeight="1">
      <x:c r="A379" s="33" t="n">
        <x:v>1436</x:v>
      </x:c>
      <x:c r="B379" s="34" t="str">
        <x:v>1</x:v>
      </x:c>
      <x:c r="C379" s="34" t="str">
        <x:v>Finans</x:v>
      </x:c>
      <x:c r="D379" s="34" t="str">
        <x:v>Satış</x:v>
      </x:c>
      <x:c r="E379" s="34" t="str">
        <x:v>Satışın Psikolojisi</x:v>
      </x:c>
      <x:c r="F379" s="34" t="str">
        <x:v>Brian Tracy</x:v>
      </x:c>
      <x:c r="G379" s="34" t="str">
        <x:v>2006</x:v>
      </x:c>
      <x:c r="H379" s="37" t="str">
        <x:v>Reddin anatomisi — itiraz yönetimi</x:v>
      </x:c>
      <x:c r="I379" s="37" t="str">
        <x:v>Tracy, satışta itirazların neden reddetme değil merak işareti olduğunu ve her itirazın doğru çerçevelendiğinde satışa nasıl katkı sağladığını anlatıyor.</x:v>
      </x:c>
      <x:c r="J379" s="37" t="str">
        <x:v>Brian Tracy şöyle bir soru soruyor.
En çok satış yapan profesyoneller ile ortalama satışçılar arasındaki en büyük fark ne?
Cevap: İtirazlarla ilişki.
Ortalama satışçı bir itiraz duyunca içi büzülüyor. "Hayır" geliyor gibi hissettiriyor. Savunmaya geçiyor ya da pes ediyor.
En iyi satışçılar ise tam tersini düşünüyor.
##Tracy şöyle diyor: "İtiraz, ilginin işaretidir. İlgisiz müşteri zaten orada oturmuyor."##
İtiraz — "çok pahalı," "zamanlama uygun değil," "bir düşüneyim" — müşterinin hâlâ konuştuğunu, hâlâ değerlendirdiğini gösteriyor.
Tracy itirazları iki kategoriye ayırıyor: Gerçek itirazlar ve bahaneler.
"Çok pahalı" bazen gerçek bir bütçe sorunudur. Bazen ise "değerini henüz tam göremedim" anlamına gelir.
Farkı bulmak için tek yol soru sormak. "Fiyat dışında başka bir endişeniz var mı?" Bu soru gerçek itirazı yüzeye çıkarıyor.
Ve gerçek itirazı bulmak, satışın en değerli anı. Çünkü o itirazı çözebilirseniz, satış gerçekleşiyor.
$$İtiraz reddetme değil — satışın gerçek başladığı andır.$$
&amp;&amp;Bir konuşmada ya da müzakereden "hayır" duyduğunda, bunu merak mı edersin yoksa kapanma mı?&amp;&amp;</x:v>
      </x:c>
      <x:c r="K379" s="37" t="str"/>
      <x:c r="L379" s="37" t="str"/>
      <x:c r="M379" s="37" t="str"/>
      <x:c r="N379" s="37" t="str"/>
      <x:c r="O379" s="37" t="str"/>
    </x:row>
    <x:row r="380" ht="20" customHeight="1">
      <x:c r="A380" s="33" t="n">
        <x:v>1437</x:v>
      </x:c>
      <x:c r="B380" s="34" t="str">
        <x:v>1</x:v>
      </x:c>
      <x:c r="C380" s="34" t="str">
        <x:v>Finans</x:v>
      </x:c>
      <x:c r="D380" s="34" t="str">
        <x:v>Satış</x:v>
      </x:c>
      <x:c r="E380" s="34" t="str">
        <x:v>Satışın Psikolojisi</x:v>
      </x:c>
      <x:c r="F380" s="34" t="str">
        <x:v>Brian Tracy</x:v>
      </x:c>
      <x:c r="G380" s="34" t="str">
        <x:v>2006</x:v>
      </x:c>
      <x:c r="H380" s="37" t="str">
        <x:v>Güven inşası ve ilk izlenim</x:v>
      </x:c>
      <x:c r="I380" s="37" t="str">
        <x:v>Tracy, satışın ilk saniyelerinde oluşan izlenimin yüzde elli kararı belirlediğini ve bu ilk anları kasıtlı olarak tasarlamanın nasıl mümkün olduğunu anlatıyor.</x:v>
      </x:c>
      <x:c r="J380" s="37" t="str">
        <x:v>Brian Tracy ilk izlenimin gücünü araştırmalar üzerinden gösteriyor.
İnsanlar bir yabancıyla karşılaştıklarında ilk yedi saniye içinde bilinçaltında bir karar alıyorlar: "Bu kişiye güveniyor muyum?"
Bu karar bilinçli değil. Otomatik. Ve son derece güçlü.
##Tracy şunu söylüyor: "Bir satış görüşmesinin ilk dakikası, kalan yirmi dokuz dakikasından daha belirleyicidir."##
Ve bu ilk izlenim şu üç şeyden oluşuyor: Görünüm, ses tonu, beden dili. Söyledikleriniz henüz devreye girmedi.
Tracy bunu satışçılar için bir fırsata dönüştürüyor: Bu ilk anlar tasarlanabilir.
Sıcak ve samimi bir gülümseme. Kararlı ama zorlayıcı olmayan bir el sıkışı. Doğrudan ama meraklı bir göz teması. Konforlu ama çökmemiş bir duruş.
Bu detaylar önemsiz görünüyor. Ama beyin bunları milisaniyeler içinde işliyor. Ve "bu kişi güvenilir" ya da "bu kişiden uzak durayım" kararını veriyor.
Karar verilince, sonraki tüm bilgi o çerçeveden geçiyor. Güvenilir bulunan insanın argümanları daha ikna edici. Güvenilmez bulunan insanın en sağlam argümanı bile şüpheyle karşılanıyor.
$$İlk izlenim kapıyı açar ya da kapatır — gerisi içeriye girmek.$$
&amp;&amp;Bir tanışmada ya da toplantıda kasıtlı olarak "ilk izlenim" oluşturmaya ne kadar dikkat ediyorsun?&amp;&amp;</x:v>
      </x:c>
      <x:c r="K380" s="37" t="str"/>
      <x:c r="L380" s="37" t="str"/>
      <x:c r="M380" s="37" t="str"/>
      <x:c r="N380" s="37" t="str"/>
      <x:c r="O380" s="37" t="str"/>
    </x:row>
    <x:row r="381" ht="20" customHeight="1">
      <x:c r="A381" s="33" t="n">
        <x:v>1438</x:v>
      </x:c>
      <x:c r="B381" s="34" t="str">
        <x:v>1</x:v>
      </x:c>
      <x:c r="C381" s="34" t="str">
        <x:v>Psikoloji</x:v>
      </x:c>
      <x:c r="D381" s="34" t="str">
        <x:v>Psikoloji</x:v>
      </x:c>
      <x:c r="E381" s="34" t="str">
        <x:v>Against Empathy</x:v>
      </x:c>
      <x:c r="F381" s="34" t="str">
        <x:v>Paul Bloom</x:v>
      </x:c>
      <x:c r="G381" s="34" t="str">
        <x:v>2016</x:v>
      </x:c>
      <x:c r="H381" s="37" t="str">
        <x:v>Empatinin karanlık yüzü — önyargılı acı</x:v>
      </x:c>
      <x:c r="I381" s="37" t="str">
        <x:v>Bloom, empatinin doğal olarak yakınımızdaki insanlara yönelik çalıştığını ve bu nedenle sistematik biçimde yanlı ve adaletsiz kararlar ürettiğini gösteriyor.</x:v>
      </x:c>
      <x:c r="J381" s="37" t="str">
        <x:v>Paul Bloom provoke edici bir şeyle başlıyor.
"Empati ahlaken tehlikelidir."
Bu cümle çoğu insanı şaşırtıyor. Empati iyi bir şey değil mi?
Bloom kabul ediyor: Empati değerli bir his. Ama karar alma aracı olarak ciddi sorunları var.
Deney: İki grup katılımcı. Birincisi hasta bir çocuk hakkında yalnızca istatistiksel bilgi alıyor — hastalığın kaç kişiyi etkilediği, iyileşme oranları. İkincisi aynı bilgiyle birlikte o çocuğun bir fotoğrafını ve hikayesini görüyor.
##İkinci grup, kaynakları çok daha büyük grupları etkileyen sorunlardan alıp tek bir çocuğa yönlendirdi.##
Bloom buna "istatistiklerin soluklukluğu" diyor. Empati, somut, yakın ve bireysel olana yanıt veriyor. Soyut, uzak ve büyük acılara değil.
Bu neden sorun? Çünkü çoğu zaman en fazla yardıma ihtiyaç duyanlar soyut istatistikler içinde kayboluyor. Ama fotoğrafı çıkan, hikayesi anlatılan kişi kaynakların büyük kısmını alıyor.
Bloom empatiyi tamamen reddetmiyor. Ama şunu söylüyor: Empati ile akıl yürütmeyi birleştirmek gerekiyor. Yalnızca hissedilenle değil, verilerle de karar alınmalı.
$$Empati zenginleştirir — ama tek başına rehber olduğunda körleştirir.$$
&amp;&amp;Bir kararında güçlü bir empati hissi mi, yoksa veriler mi daha belirleyici oldu? Hangisi daha iyi sonuç verdi?&amp;&amp;</x:v>
      </x:c>
      <x:c r="K381" s="37" t="str"/>
      <x:c r="L381" s="37" t="str"/>
      <x:c r="M381" s="37" t="str"/>
      <x:c r="N381" s="37" t="str"/>
      <x:c r="O381" s="37" t="str"/>
    </x:row>
    <x:row r="382" ht="20" customHeight="1">
      <x:c r="A382" s="33" t="n">
        <x:v>1439</x:v>
      </x:c>
      <x:c r="B382" s="34" t="str">
        <x:v>1</x:v>
      </x:c>
      <x:c r="C382" s="34" t="str">
        <x:v>Psikoloji</x:v>
      </x:c>
      <x:c r="D382" s="34" t="str">
        <x:v>Psikoloji</x:v>
      </x:c>
      <x:c r="E382" s="34" t="str">
        <x:v>Against Empathy</x:v>
      </x:c>
      <x:c r="F382" s="34" t="str">
        <x:v>Paul Bloom</x:v>
      </x:c>
      <x:c r="G382" s="34" t="str">
        <x:v>2016</x:v>
      </x:c>
      <x:c r="H382" s="37" t="str">
        <x:v>Rasyonel şefkat — empatinin ötesi</x:v>
      </x:c>
      <x:c r="I382" s="37" t="str">
        <x:v>Bloom, empatinin yarattığı önyargıları aşmak için 'rasyonel şefkat' kavramını öneriyor ve bu yaklaşımın hem bireysel hem toplumsal düzeyde nasıl daha adil sonuçlar ürettiğini anlatıyor.</x:v>
      </x:c>
      <x:c r="J382" s="37" t="str">
        <x:v>Paul Bloom bir karşıtlık kuruyor.
Empati: "Bu acıyı hissediyorum. Bu kişi için bir şeyler yapmalıyım."
Rasyonel şefkat: "Bu acı gerçek ve önemli. Mümkün olan en çok kişiye en çok iyiyi yapmak için ne yapabilirim?"
Bu iki yaklaşım çoğu zaman farklı yerlere götürüyor.
##Bloom şöyle açıklıyor: "Efektif altruizm" hareketi bunu pratik hale getiriyor — bağış yaparken hangi yatırımın en fazla hayat kurtardığını hesaplamak.##
Örnek: Körlük ameliyatı ile başka bir hastalığın tedavisi arasında seçim yapılıyor. Empati, gözlerinin önündeki kör kişiye yönlendiriyor. Rasyonel şefkat ise hangi müdahalenin dolar başına daha fazla insanı daha çok iyileştirdiğini soruyor.
Bu soğuk ve insancıl olmayan bir yaklaşım gibi görünüyor. Ama Bloom şunu söylüyor: Amacımız iyi hissetmek mi, yoksa gerçekten iyi olmak mı?
Empati bizi iyi hissettiriyor. Rasyonel şefkat ise daha fazla iyilik yapıyor.
Bu bir seçim değil, ikisini birleştirmek. Empatiyle motive ol, akılla yönlen.
$$İyi niyetli olmak yetmez — neyin gerçekten işe yaradığını bilmek gerekir.$$
&amp;&amp;Yardım etmek ya da iyilik yapmak istediğinde, "iyi hissetmek" mi yoksa "gerçekten fayda sağlamak" mı önceliğin?&amp;&amp;</x:v>
      </x:c>
      <x:c r="K382" s="37" t="str"/>
      <x:c r="L382" s="37" t="str"/>
      <x:c r="M382" s="37" t="str"/>
      <x:c r="N382" s="37" t="str"/>
      <x:c r="O382" s="37" t="str"/>
    </x:row>
    <x:row r="383" ht="20" customHeight="1">
      <x:c r="A383" s="33" t="n">
        <x:v>1440</x:v>
      </x:c>
      <x:c r="B383" s="34" t="str">
        <x:v>1</x:v>
      </x:c>
      <x:c r="C383" s="34" t="str">
        <x:v>Psikoloji</x:v>
      </x:c>
      <x:c r="D383" s="34" t="str">
        <x:v>Psikoloji</x:v>
      </x:c>
      <x:c r="E383" s="34" t="str">
        <x:v>Against Empathy</x:v>
      </x:c>
      <x:c r="F383" s="34" t="str">
        <x:v>Paul Bloom</x:v>
      </x:c>
      <x:c r="G383" s="34" t="str">
        <x:v>2016</x:v>
      </x:c>
      <x:c r="H383" s="37" t="str">
        <x:v>Tükenme ve empatinin bedeli</x:v>
      </x:c>
      <x:c r="I383" s="37" t="str">
        <x:v>Bloom, sağlık çalışanları ve yardım profesyonellerindeki tükenmişliğin empatinin tam yükümlülüğünü taşımaktan kaynaklandığını ve şefkatin neden empatiden daha sürdürülebilir olduğunu anlatıyor.</x:v>
      </x:c>
      <x:c r="J383" s="37" t="str">
        <x:v>Paul Bloom hemşireler, terapistler ve itfaiyecilerle yapılan araştırmaları aktarıyor.
Bu profesyonellerde tükenmişlik oranı oldukça yüksek. Neden?
Çünkü işleri empati gerektiriyor. Başkasının acısını içselleştirmek. Her gün, her hasta, her müdahale.
##Bloom şöyle ayrım yapıyor: "Empati = 'Senin acını ben hissediyorum.' Şefkat = 'Sen acı çekiyorsun ve yardım etmek istiyorum.'"##
Bu ince ama kritik bir fark.
Empati acıyı paylaşıyor. Bu güçlü bir bağ kuruyor — ama aynı zamanda tüketiyor.
Şefkat ise mesafeyi koruyor. Acıyı tanıyor, onu azaltmak için motive olunuyor, ama o acıya batılmıyor.
Araştırmalar şunu gösteriyor: Şefkat odaklı sağlık çalışanları daha az tükeniyor. Hem kendi iyilikleri hem de hastalarına verdikleri bakım kalitesi daha yüksek.
Bu sağlık sektörünün ötesine geçiyor.
Her gün başkalarına yardım eden, dinleyen, destek veren insanlar için geçerli. Empatiyle tükenebilirsiniz. Ama şefkatte sürdürülebilir.
$$Empati içeriye alır, şefkat ise dışarıdan sunar — sürdürülebilir yardım şefkatten gelir.$$
&amp;&amp;Başkalarına yardım etmek ya da destek vermek sizi tüketiyor mu? O yorgunluk empati mi, yoksa şefkat mi yaşadığınızı gösteriyor?&amp;&amp;</x:v>
      </x:c>
      <x:c r="K383" s="37" t="str"/>
      <x:c r="L383" s="37" t="str"/>
      <x:c r="M383" s="37" t="str"/>
      <x:c r="N383" s="37" t="str"/>
      <x:c r="O383" s="37" t="str"/>
    </x:row>
    <x:row r="384" ht="20" customHeight="1">
      <x:c r="A384" s="33" t="n">
        <x:v>1441</x:v>
      </x:c>
      <x:c r="B384" s="34" t="str">
        <x:v>1</x:v>
      </x:c>
      <x:c r="C384" s="34" t="str">
        <x:v>Verimlilik</x:v>
      </x:c>
      <x:c r="D384" s="34" t="str">
        <x:v>Tasarım</x:v>
      </x:c>
      <x:c r="E384" s="34" t="str">
        <x:v>Gündelik Nesneler Tasarımı</x:v>
      </x:c>
      <x:c r="F384" s="34" t="str">
        <x:v>Don Norman</x:v>
      </x:c>
      <x:c r="G384" s="34" t="str">
        <x:v>1988</x:v>
      </x:c>
      <x:c r="H384" s="37" t="str">
        <x:v>Kapı tasarımı ve hata yerine kullanıcıyı suçlamak</x:v>
      </x:c>
      <x:c r="I384" s="37" t="str">
        <x:v>Norman, yanlış iterken çektiğimiz ya da çekerken ittiğimiz kapıların bize değil tasarımına hata olduğunu ve iyi tasarımın kullanıcıyı eğitmediğini gösteriyor.</x:v>
      </x:c>
      <x:c r="J384" s="37" t="str">
        <x:v>Don Norman şöyle bir deneyimi anlatıyor.
Bir kapıya yaklaşıyorsunuz. Tutamağı görüyorsunuz. İtiyorsunuz. Açılmıyor.
Çekiyorsunuz. Açılıyor.
Ve içinizden geçen ilk şey: "Ne aptalım."
Ama Norman şöyle diyor: Hayır. Siz aptal değilsiniz. Kapı kötü tasarlanmış.
##"Bir insan bir tasarımı yanlış kullanıyorsa, hata tasarımda, insanda değildir."##
Bu Norman'ın en temel ilkesi. Ve bu ilke dünyayı değiştirdi.
Çekileceği hissini veren bir kapı tutamağı, itildiğinde bu anlamı veriyor. Ama eğer o kapı çekilecekse, tutamak o anlamı vermemeli. Düz bir plaka koyun — o zaman kimse itmez.
Norman bunu "affordance" kavramıyla açıklıyor: Her nesne, nasıl kullanılacağına dair ipuçları içermeli. Ve o ipuçları doğru olmalı.
Bu fikir tasarımın ötesine geçiyor. Uygulamalar, formlar, işyerinde iletişim, sosyal normlar — hepsi "tasarım" içeriyor.
Ve insanlar bu tasarımları yanlış "kullanıyorsa", soruyu şöyle sormak gerekiyor: "Tasarımda ne yanlış?"
$$İnsanlar hata yapmaz — kötü tasarlanmış sistemler hata yaptırır.$$
&amp;&amp;İşinde ya da günlük hayatında "insanların sürekli hata yaptığı" bir şey var mı? O hatanın arkasında tasarım sorunu olabilir mi?&amp;&amp;</x:v>
      </x:c>
      <x:c r="K384" s="37" t="str"/>
      <x:c r="L384" s="37" t="str"/>
      <x:c r="M384" s="37" t="str"/>
      <x:c r="N384" s="37" t="str"/>
      <x:c r="O384" s="37" t="str"/>
    </x:row>
    <x:row r="385" ht="20" customHeight="1">
      <x:c r="A385" s="33" t="n">
        <x:v>1442</x:v>
      </x:c>
      <x:c r="B385" s="34" t="str">
        <x:v>1</x:v>
      </x:c>
      <x:c r="C385" s="34" t="str">
        <x:v>Verimlilik</x:v>
      </x:c>
      <x:c r="D385" s="34" t="str">
        <x:v>Tasarım</x:v>
      </x:c>
      <x:c r="E385" s="34" t="str">
        <x:v>Gündelik Nesneler Tasarımı</x:v>
      </x:c>
      <x:c r="F385" s="34" t="str">
        <x:v>Don Norman</x:v>
      </x:c>
      <x:c r="G385" s="34" t="str">
        <x:v>1988</x:v>
      </x:c>
      <x:c r="H385" s="37" t="str">
        <x:v>Görünürlük ve geri bildirim — iyi tasarımın iki direği</x:v>
      </x:c>
      <x:c r="I385" s="37" t="str">
        <x:v>Norman, iyi tasarlanmış her nesnenin kullanıcıya ne yapabileceğini gösterdiğini ve her eylemin sonucunu hissettirdiğini ve bu iki ilkenin neden teknolojide bile çoğunlukla ihlal edildiğini anlatıyor.</x:v>
      </x:c>
      <x:c r="J385" s="37" t="str">
        <x:v>Don Norman iyi tasarımın iki temel ilkesini anlatıyor.
Birincisi görünürlük: Bir nesne, nasıl kullanılacağını açıkça göstermeli. Hangi düğme neyi yapar? Nereye dokunulacak? Hangi parça hareket eder?
İkincisi geri bildirim: Bir eylem gerçekleştirdiğinizde, sistem size bir şey söylemeli. Ses, görüntü, dokunsal his — ne olursa olsun, "eylem alındı" mesajı.
##Norman, geri bildirimi olmayan sistemleri "kaygı makineleri" olarak tanımlıyor.##
Düşünün: Bir butona basıyorsunuz. Hiçbir şey olmuyor gibi görünüyor. Tekrar basıyorsunuz. Tekrar. Belki de asansöre zaten baskı yaptınız ama geri bildirim almadınız.
Ya da bir form doldurup "gönder"e bastınız. Ekran dondu. Başarılı mı oldu? Hata mı verdi? Bekleyin mi, tekrar mı basın?
Bu belirsizlik stres yaratıyor.
Norman şunu söylüyor: Dijital çağda bu ilkeler çok daha kritik. Çünkü ekranlar fiziksel nesnelerin verdiği doğal geri bildirimleri ortadan kaldırdı.
En iyi uygulamalar, en iyi arayüzler, en iyi sistemler — hepsi kullanıcıya her an "şu an burada ne olduğu" söyleyen sistemler.
$$Belirsizlik stres yaratır — iyi tasarım her an kullanıcıya nerede olduğunu söyler.$$
&amp;&amp;Kullandığın bir uygulama ya da sistem seni en çok ne zaman şaşkınlığa uğratıyor? Hangi geri bildirim eksik?&amp;&amp;</x:v>
      </x:c>
      <x:c r="K385" s="37" t="str"/>
      <x:c r="L385" s="37" t="str"/>
      <x:c r="M385" s="37" t="str"/>
      <x:c r="N385" s="37" t="str"/>
      <x:c r="O385" s="37" t="str"/>
    </x:row>
    <x:row r="386" ht="20" customHeight="1">
      <x:c r="A386" s="33" t="n">
        <x:v>1443</x:v>
      </x:c>
      <x:c r="B386" s="34" t="str">
        <x:v>1</x:v>
      </x:c>
      <x:c r="C386" s="34" t="str">
        <x:v>Verimlilik</x:v>
      </x:c>
      <x:c r="D386" s="34" t="str">
        <x:v>Tasarım</x:v>
      </x:c>
      <x:c r="E386" s="34" t="str">
        <x:v>Gündelik Nesneler Tasarımı</x:v>
      </x:c>
      <x:c r="F386" s="34" t="str">
        <x:v>Don Norman</x:v>
      </x:c>
      <x:c r="G386" s="34" t="str">
        <x:v>1988</x:v>
      </x:c>
      <x:c r="H386" s="37" t="str">
        <x:v>Zihinsel modeller ve tasarımın gizli dili</x:v>
      </x:c>
      <x:c r="I386" s="37" t="str">
        <x:v>Norman, her kullanıcının kullandığı nesne hakkında zihinsel bir model geliştirdiğini ve iyi tasarımın bu modeli doğru şekillendirdiğini anlatıyor.</x:v>
      </x:c>
      <x:c r="J386" s="37" t="str">
        <x:v>Don Norman şöyle bir kavram sunuyor: Zihinsel model.
Bir nesneyi ilk kez kullandığınızda, beyin hızla bir model oluşturuyor. "Bu nasıl çalışır? Şuna basarsam ne olur?"
Bu model doğru olabilir ya da yanlış. Ve yanlış zihinsel model, sürekli hata üretiyor.
Örnek: Bilgisayarda dosyayı sildiğinizde nereye gidiyor?
Çöp kutusuna. Ama gerçekte? Disk üzerinde işaretleniyor. Hâlâ orada ama erişilemiyor.
##"Çöp kutusu" metaforu, doğru olmayan ama kullanışlı bir zihinsel model. Ve bu metafor çok işe yarıyor — çoğu insan asla gerçek teknik detayı öğrenmeden dosyaları güvenle yönetiyor.##
Norman buna "kavramsal model" diyor. İyi tasarım, kullanıcının zihninde doğru ya da en azından işlevsel bir model oluşturuyor.
Kötü tasarım ise yanlış modele yol açıyor. Ve yanlış model, her kullanımda şaşkınlık ve hata yaratıyor.
Bu fikrin gücü şurada: Bir sistemi anlamak için o sistemi nasıl tasarladığınızı değil, kullanıcının o sistemi nasıl hayal ettiğini anlamanız gerekiyor.
Kullanıcının zihinsel modeli yanlışsa, sorumlu tasarımcı.
$$İyi tasarım kullanıcıya sistemi öğretmez — kullanıcının zihnine doğru bir model yerleştirir.$$
&amp;&amp;Kullandığın bir şeyin gerçekte nasıl çalıştığını hiç yanlış anladın? O yanlış model seni nasıl etkiledi?&amp;&amp;</x:v>
      </x:c>
      <x:c r="K386" s="37" t="str"/>
      <x:c r="L386" s="37" t="str"/>
      <x:c r="M386" s="37" t="str"/>
      <x:c r="N386" s="37" t="str"/>
      <x:c r="O386" s="37" t="str"/>
    </x:row>
    <x:row r="387" ht="20" customHeight="1">
      <x:c r="A387" s="33" t="n">
        <x:v>1444</x:v>
      </x:c>
      <x:c r="B387" s="34" t="str">
        <x:v>1</x:v>
      </x:c>
      <x:c r="C387" s="34" t="str">
        <x:v>Verimlilik</x:v>
      </x:c>
      <x:c r="D387" s="34" t="str">
        <x:v>İş Dünyası</x:v>
      </x:c>
      <x:c r="E387" s="34" t="str">
        <x:v>Sadakat Etkisi</x:v>
      </x:c>
      <x:c r="F387" s="34" t="str">
        <x:v>Frederick Reichheld</x:v>
      </x:c>
      <x:c r="G387" s="34" t="str">
        <x:v>1996</x:v>
      </x:c>
      <x:c r="H387" s="37" t="str">
        <x:v>Müşteri kaybı ve görünmez buz buzdağı</x:v>
      </x:c>
      <x:c r="I387" s="37" t="str">
        <x:v>Reichheld, bir şirketten ayrılan müşterilerin büyük çoğunluğunun şikayetçi olmadan gittiğini ve bu sessiz kaybın neden çok daha tehlikeli olduğunu anlatıyor.</x:v>
      </x:c>
      <x:c r="J387" s="37" t="str">
        <x:v>Frederick Reichheld şaşırtıcı bir araştırma sonucunu paylaşıyor.
Bir şirketten ayrılan müşterilerin yüzde dört ile yüzde on dördü şikayet ederek ayrılıyor.
Geri kalanı sessizce gidiyor.
Bu şirketler için çok tehlikeli bir durum. Çünkü şikayet eden müşteri en azından bir sinyal veriyor. Ama sessiz giden müşteri neden gittiğini söylemiyor.
##Reichheld bunu "buzdağı problemi" olarak tanımlıyor: Görünen yüzde onunun altında görünmez bir kütlenin yattığını bilmeden, sadece yüzeyi çözmeye çalışmak.##
Ve daha da kötüsü: Ayrılan her mutsuz müşteri ortalama sekiz ila on kişiye söylüyor. Kalmış müşteri ise yalnızca ortalama beş kişiye.
Olumsuz deneyim daha hızlı yayılıyor.
Reichheld'in çözümü sadece şikayet yönetimi değil. Gerçek sadakat yaratmak. Ve gerçek sadakatin tek yolu var: Müşterinin uzun vadeli çıkarını şirketin kısa vadeli çıkarının önüne koymak.
Bu kulağa iş karşıtı geliyor. Ama Reichheld'in verileri tam tersini söylüyor: Sadık müşteriler daha çok alır, daha az maliyet yaratır ve daha fazla tavsiye eder.
$$Sessiz ayrılış, şikayetten çok daha tehlikelidir — ve yalnızca gerçek değer bağlar.$$
&amp;&amp;Son ayrıldığın ya da bıraktığın bir şirketi ya da hizmeti neden bıraktığını söyledin mi? Söylemediysen, ne söyleyebilirdin?&amp;&amp;</x:v>
      </x:c>
      <x:c r="K387" s="37" t="str"/>
      <x:c r="L387" s="37" t="str"/>
      <x:c r="M387" s="37" t="str"/>
      <x:c r="N387" s="37" t="str"/>
      <x:c r="O387" s="37" t="str"/>
    </x:row>
    <x:row r="388" ht="20" customHeight="1">
      <x:c r="A388" s="33" t="n">
        <x:v>1445</x:v>
      </x:c>
      <x:c r="B388" s="34" t="str">
        <x:v>1</x:v>
      </x:c>
      <x:c r="C388" s="34" t="str">
        <x:v>Verimlilik</x:v>
      </x:c>
      <x:c r="D388" s="34" t="str">
        <x:v>İş Dünyası</x:v>
      </x:c>
      <x:c r="E388" s="34" t="str">
        <x:v>Sadakat Etkisi</x:v>
      </x:c>
      <x:c r="F388" s="34" t="str">
        <x:v>Frederick Reichheld</x:v>
      </x:c>
      <x:c r="G388" s="34" t="str">
        <x:v>1996</x:v>
      </x:c>
      <x:c r="H388" s="37" t="str">
        <x:v>Net Tavsiye Skoru'nun doğuşu</x:v>
      </x:c>
      <x:c r="I388" s="37" t="str">
        <x:v>Reichheld, karmaşık müşteri anketlerini tek soruya indirgeyerek NPS'yi nasıl geliştirdiğini ve bu basit sorunun iş dünyasını nasıl değiştirdiğini anlatıyor.</x:v>
      </x:c>
      <x:c r="J388" s="37" t="str">
        <x:v>Frederick Reichheld şirketlerin müşteri memnuniyetini ölçmek için kullandığı yöntemlere baktı.
Onlarca soruluk anketler. Karmaşık puanlama sistemleri. Ama hepsi aynı problemle karşılaşıyordu: Müşteri neden gerçekten ayrılıyor ya da neden gerçekten kalıyor?
Reichheld binlerce müşteri davranışını analiz etti. Hangi soru en güçlü şekilde müşteri davranışını öngörüyor?
Cevap şaşırtıcı derecede basitti.
##"Bu şirketi bir arkadaşınıza tavsiye etme olasılığınız nedir? 0-10 arası puanlayın."##
Bu tek soru — Net Tavsiye Skoru — müşteri bağlılığını ölçmek için onlarca sorudan daha öngörücü olduğu ortaya çıktı.
Neden? Çünkü insanlar arkadaşlarına yalnızca gerçekten değer verdiklerini tavsiye eder. Tavsiye etme isteği, gerçek memnuniyetin en güçlü sinyali.
9-10 puan verenler "Promoter" — aktif olarak öneriyorlar.
7-8 puan verenler "Passive" — memnun ama aktif değil.
0-6 puan verenler "Detractor" — potansiyel olarak olumsuz konuşuyorlar.
NPS = Promoter yüzdesi - Detractor yüzdesi.
Bugün dünyanın en büyük şirketleri bu tek soruyu kullanıyor.
$$En iyi müşteri araştırması bazen en basit sorudur.$$
&amp;&amp;Son kullandığın bir ürün ya da hizmet için birine tavsiye etseydin kaç puan verirdin? Hangi deneyim onu "kesinlikle tavsiye ederim"e taşırdı?&amp;&amp;</x:v>
      </x:c>
      <x:c r="K388" s="37" t="str"/>
      <x:c r="L388" s="37" t="str"/>
      <x:c r="M388" s="37" t="str"/>
      <x:c r="N388" s="37" t="str"/>
      <x:c r="O388" s="37" t="str"/>
    </x:row>
    <x:row r="389" ht="20" customHeight="1">
      <x:c r="A389" s="33" t="n">
        <x:v>1446</x:v>
      </x:c>
      <x:c r="B389" s="34" t="str">
        <x:v>1</x:v>
      </x:c>
      <x:c r="C389" s="34" t="str">
        <x:v>Verimlilik</x:v>
      </x:c>
      <x:c r="D389" s="34" t="str">
        <x:v>İş Dünyası</x:v>
      </x:c>
      <x:c r="E389" s="34" t="str">
        <x:v>Sadakat Etkisi</x:v>
      </x:c>
      <x:c r="F389" s="34" t="str">
        <x:v>Frederick Reichheld</x:v>
      </x:c>
      <x:c r="G389" s="34" t="str">
        <x:v>1996</x:v>
      </x:c>
      <x:c r="H389" s="37" t="str">
        <x:v>Sadakat ve kârlılığın matematiği</x:v>
      </x:c>
      <x:c r="I389" s="37" t="str">
        <x:v>Reichheld, müşteriyi elde tutmanın yeni müşteri kazanmaktan beş kata kadar ucuz olduğunu ve sadık müşterilerin kârlılığa katlandırarak nasıl katkı sağladığını gösteriyor.</x:v>
      </x:c>
      <x:c r="J389" s="37" t="str">
        <x:v>Frederick Reichheld bir şirkette ilginç bir hesaplama yaptı.
Yeni bir müşteri kazanmak ne kadar maliyetli?
Pazarlama, reklam, satış ekibi, onboarding — tüm maliyetler hesaplandı.
Sonra mevcut bir müşteriyi elde tutmak ne kadar maliyetli?
Kıyaslama yapıldı.
##Sonuç: Yeni müşteri kazanmak, mevcut müşteriyi elde tutmaktan beş kata kadar daha pahalı.##
Ama hikaye burada bitmiyor.
Sadık müşteriler zamanla daha çok alıyor. İlk yıl az, ikinci yıl daha fazla, beşinci yılda çok daha fazla.
Çünkü şirketi tanıdılar. Güvendiler. Ve güven büyüdükçe, harcama büyüyor.
Ayrıca sadık müşteriler fiyata daha az duyarlı. Küçük bir zam, sadık müşteriyi kaybettirmiyor. Ama yeni müşteri adayı için büyük engel.
Ve en güçlü etki: Tavsiye. Her sadık müşteri ortalama birkaç yeni müşteri getiriyor. Sıfır pazarlama maliyetiyle.
Reichheld'in sonucu: Sadakat stratejisi bir insancıl tercih değil, en güçlü kârlılık stratejisi.
$$Müşteri sadakati bir değer değil, en büyük kârlılık faktörüdür.$$
&amp;&amp;İlişkilerinizde — iş ya da kişisel — mevcut olanı korumaya mı yoksa yenisini kazanmaya mı daha fazla yatırım yapıyorsunuz?&amp;&amp;</x:v>
      </x:c>
      <x:c r="K389" s="37" t="str"/>
      <x:c r="L389" s="37" t="str"/>
      <x:c r="M389" s="37" t="str"/>
      <x:c r="N389" s="37" t="str"/>
      <x:c r="O389" s="37" t="str"/>
    </x:row>
    <x:row r="390" ht="20" customHeight="1">
      <x:c r="A390" s="33" t="n">
        <x:v>1447</x:v>
      </x:c>
      <x:c r="B390" s="34" t="str">
        <x:v>1</x:v>
      </x:c>
      <x:c r="C390" s="34" t="str">
        <x:v>Felsefe</x:v>
      </x:c>
      <x:c r="D390" s="34" t="str">
        <x:v>Felsefe</x:v>
      </x:c>
      <x:c r="E390" s="34" t="str">
        <x:v>Hayatın Kısalığı Üzerine</x:v>
      </x:c>
      <x:c r="F390" s="34" t="str">
        <x:v>Seneca</x:v>
      </x:c>
      <x:c r="G390" s="34" t="str">
        <x:v>49</x:v>
      </x:c>
      <x:c r="H390" s="37" t="str">
        <x:v>Hayat kısa değil, biz onu israf ediyoruz</x:v>
      </x:c>
      <x:c r="I390" s="37" t="str">
        <x:v>Seneca, hayatın uzun olmadığını ama zamanı doğru kullananlar için yeterli olduğunu ve insanların çoğunun başkalarının talepleriyle doldurulan bir ömür yaşadığını anlatıyor.</x:v>
      </x:c>
      <x:c r="J390" s="37" t="str">
        <x:v>Seneca 2.000 yıl önce bir soru sordu.
"Hayat bu kadar kısa mı?"
Ve hemen ardından cevapladı: Hayır.
##"Hayat kısa değil. Onu kısa yapan biz."##
Seneca şöyle devam ediyor: Büyük bir serveti kötü yönetseniz hızla tükenir. Ama iyi yönetilirse küçük bir servet de yeter.
Zaman da böyle.
Çoğu insan zamanını üç şeye harcıyor: Başkalarının isteklerine cevap vermek. Geçmiş üzerine pişmanlık duymak. Belirsiz bir gelecek için endişelenmek.
Ve geriye "şimdiki an" için neredeyse hiç zaman kalmıyor.
Seneca şunu soruyor: "Kaç tane günü kendin için yaşadın? Kaç tanesi başkalarının gündemine uydu?"
Bu soru ikibin yıl önce soruldu. Ama hiç güncelliğini yitirmedi.
Seneca'nın çözümü basit ama derin: Zamanı sahiplen. Her günü bilinçli olarak yönet. Başkalarının acillerine "evet" demeden önce kendi önceliklerine "evet" de.
$$Hayatın uzunluğu değil — derinliği önemlidir.$$
&amp;&amp;Geçen haftaki zamanına bak: Hangi anlar gerçekten sizin için yaşandı? Hangisi başkalarının gündemine uyularak geçti?&amp;&amp;</x:v>
      </x:c>
      <x:c r="K390" s="37" t="str"/>
      <x:c r="L390" s="37" t="str"/>
      <x:c r="M390" s="37" t="str"/>
      <x:c r="N390" s="37" t="str"/>
      <x:c r="O390" s="37" t="str"/>
    </x:row>
    <x:row r="391" ht="20" customHeight="1">
      <x:c r="A391" s="33" t="n">
        <x:v>1448</x:v>
      </x:c>
      <x:c r="B391" s="34" t="str">
        <x:v>1</x:v>
      </x:c>
      <x:c r="C391" s="34" t="str">
        <x:v>Felsefe</x:v>
      </x:c>
      <x:c r="D391" s="34" t="str">
        <x:v>Felsefe</x:v>
      </x:c>
      <x:c r="E391" s="34" t="str">
        <x:v>Hayatın Kısalığı Üzerine</x:v>
      </x:c>
      <x:c r="F391" s="34" t="str">
        <x:v>Seneca</x:v>
      </x:c>
      <x:c r="G391" s="34" t="str">
        <x:v>49</x:v>
      </x:c>
      <x:c r="H391" s="37" t="str">
        <x:v>Ertelemenin ölümcül yanılgısı</x:v>
      </x:c>
      <x:c r="I391" s="37" t="str">
        <x:v>Seneca, insanların hayatlarını 'gelecekteki bir zamana' ertelediklerini ve bu ertelemanin en tehlikeli yanılgı olduğunu anlatıyor.</x:v>
      </x:c>
      <x:c r="J391" s="37" t="str">
        <x:v>Seneca şöyle bir insan tipi betimliyor.
Her şeyi "yarına" bırakıyor. Tatile "emeklilikte gideceğim." Sevdiklerle zaman geçirmeye "bu proje bitince." Gerçekten yaşamaya "şu dönem atlatılınca."
Bu insanlar aslında iyi niyetli. Mevcut sorumluluklarını yerine getirmeye çalışıyorlar.
Ama Seneca sert bir gerçeği söylüyor.
##"Gelecek belirsizdir. Ve öyle davranıyorsun sanki sonsuz zamanın var."##
Ve şunu soruyor: Hiç hesap ettin mi? Planladığın tüm o "gelecekte yapacaklarım" için kaç yıl gerekiyor?
İnsanlar otuz yıl sonrasını planlıyor — sanki otuz yılları garanti altındaymış gibi.
Seneca emekliliği bir hedef olarak görmüyor. Tam tersine: Emekliliğe kadar gerçek hayatı ertelemek, hayatın büyük çoğunluğunu heba etmek demek.
"İyi bir ölüm iyi bir hayatın ödülüdür. Ama iyi bir hayat her gün yaşanır — emeklilik gününde değil."
Seneca'nın pratiği: Her gün, küçük de olsa, gerçekten değer verdiğin bir şeye zaman ayır. Erteleme.
$$Hayatı "o gün gelince" için ertelemek, bugünün hayatını ertelemektir.$$
&amp;&amp;Şu an "ileride yapacağım" diye ertelediğin ama aslında şimdi başlayabileceğin bir şey var mı?&amp;&amp;</x:v>
      </x:c>
      <x:c r="K391" s="37" t="str"/>
      <x:c r="L391" s="37" t="str"/>
      <x:c r="M391" s="37" t="str"/>
      <x:c r="N391" s="37" t="str"/>
      <x:c r="O391" s="37" t="str"/>
    </x:row>
    <x:row r="392" ht="20" customHeight="1">
      <x:c r="A392" s="33" t="n">
        <x:v>1449</x:v>
      </x:c>
      <x:c r="B392" s="34" t="str">
        <x:v>1</x:v>
      </x:c>
      <x:c r="C392" s="34" t="str">
        <x:v>Felsefe</x:v>
      </x:c>
      <x:c r="D392" s="34" t="str">
        <x:v>Felsefe</x:v>
      </x:c>
      <x:c r="E392" s="34" t="str">
        <x:v>Hayatın Kısalığı Üzerine</x:v>
      </x:c>
      <x:c r="F392" s="34" t="str">
        <x:v>Seneca</x:v>
      </x:c>
      <x:c r="G392" s="34" t="str">
        <x:v>49</x:v>
      </x:c>
      <x:c r="H392" s="37" t="str">
        <x:v>Stoacı saat — her anı bilinçli yaşamak</x:v>
      </x:c>
      <x:c r="I392" s="37" t="str">
        <x:v>Seneca, zamanı değerlendirmenin yolunun onu hissetmekten değil ölçmekten geçtiğini ve her günün kasıtlı bir seçimle yaşanması gerektiğini anlatıyor.</x:v>
      </x:c>
      <x:c r="J392" s="37" t="str">
        <x:v>Seneca kendisi için bir pratik geliştirmişti.
Her gece yatmadan önce şu soruları sorardı: "Bugün ne öğrendim? Hangi kötü alışkanlığımla mücadele ettim? Bugün daha iyi bir insan oldum mu?"
Bu bir öz eleştiri pratiği değildi. Bir farkındalık pratiğiydi.
##Seneca şöyle yazıyor: "Hesap vermediğin hayat yaşanmamış hayattır."##
Modern araştırmalar bu fikri destekliyor: Günlük yansıma yapan insanlar hem daha memnun hem daha verimli.
Ama Seneca bunu ahlaki boyutla birleştiriyor: Her gün sonunda hesap vermek, ertesi gün daha bilinçli kararlar almayı sağlıyor.
Ve bu hesap vermek yalnızca kendine karşı değil. Seneca şunu soruyor: "Bu gün gelecek nesillere ne bıraktım? Bu günün değeri neydi?"
Büyük sorular küçük anları anlamsızlaştırmıyor. Aksine, her küçük anı büyük bir anlatının parçası haline getiriyor.
Bu yüzden her sabah kalktığınızda bir seçim yapıyorsunuz. Ve her gece yattığınızda, o seçimin hesabını verebiliyorsunuz.
$$Hesap verdiğin hayat yaşanmış hayattır — ve her gece bir gün kapanır.$$
&amp;&amp;Bu günün sonunda kendinize şu soruyu sorsaydınız: "Bugün kim oldum?" — cevabınız ne olurdu?&amp;&amp;</x:v>
      </x:c>
      <x:c r="K392" s="37" t="str"/>
      <x:c r="L392" s="37" t="str"/>
      <x:c r="M392" s="37" t="str"/>
      <x:c r="N392" s="37" t="str"/>
      <x:c r="O392" s="37" t="str"/>
    </x:row>
    <x:row r="393" ht="20" customHeight="1">
      <x:c r="A393" s="33" t="n">
        <x:v>1450</x:v>
      </x:c>
      <x:c r="B393" s="34" t="str">
        <x:v>1</x:v>
      </x:c>
      <x:c r="C393" s="34" t="str">
        <x:v>Büyüme</x:v>
      </x:c>
      <x:c r="D393" s="34" t="str">
        <x:v>Motivasyon</x:v>
      </x:c>
      <x:c r="E393" s="34" t="str">
        <x:v>Bilinçaltının Gücü</x:v>
      </x:c>
      <x:c r="F393" s="34" t="str">
        <x:v>Joseph Murphy</x:v>
      </x:c>
      <x:c r="G393" s="34" t="str">
        <x:v>1963</x:v>
      </x:c>
      <x:c r="H393" s="37" t="str">
        <x:v>Bilinçaltı ve otonom sinir sistemi</x:v>
      </x:c>
      <x:c r="I393" s="37" t="str">
        <x:v>Murphy, bilinçaltının vücudun her işlevini kontrol ettiğini ve bu gücün olumlu düşüncelerle nasıl yönlendirilebileceğini anlatıyor.</x:v>
      </x:c>
      <x:c r="J393" s="37" t="str">
        <x:v>Joseph Murphy basit ama güçlü bir gözlemle başlıyor.
Şu an kalbiniz atıyor. Ama onu atmayı düşünmüyorsunuz.
Nefes alıyorsunuz. Ama nefes almayı hatırlamak zorunda değilsiniz.
Mideniz yediğiniz yemeği sindiriyor. Kaslarınız oturmanızı sağlıyor. Bağışıklık sisteminiz sürekli çalışıyor.
Bunların hiçbirini bilinçli olarak yönetmiyorsunuz.
##Murphy buna "bilinçaltının gücü" diyor: "Bilinçaltı, bilinçli zihnin yapamayacağı şeyleri, milisaniyeler içinde yapar."##
Bu fikri genişletiyor: Eğer bilinçaltı bu kadar güçlüyse — bedenin tüm otomatik işlevlerini yönetecek kadar — o zaman inanç ve düşünceleri de o kadar güçlü biçimde etkileyebilir.
Murphy'nin argümanı: Bilinçaltına yerleştirilen güçlü inançlar, tutum ve davranışları şekillendiriyor. Ve bu inançlar kasıtlı olarak yönlendirilebilir.
Bugünkü nörobilim bu fikrin bir kısmını destekliyor. Tekrarlanan düşünceler nöral yollar açıyor. Ve bu yollar zamanla otomatik davranışlara dönüşüyor.
$$Bilinçaltı bilinçli seçimlerinizin üzerinde değil, altında çalışır — onu besleyen şey düşüncelerinizdir.$$
&amp;&amp;Sürekli aklınıza gelen, tekrarlayan bir düşünce var mı? O düşünce bilinçaltınıza ne ekliyor?&amp;&amp;</x:v>
      </x:c>
      <x:c r="K393" s="37" t="str"/>
      <x:c r="L393" s="37" t="str"/>
      <x:c r="M393" s="37" t="str"/>
      <x:c r="N393" s="37" t="str"/>
      <x:c r="O393" s="37" t="str"/>
    </x:row>
    <x:row r="394" ht="20" customHeight="1">
      <x:c r="A394" s="33" t="n">
        <x:v>1451</x:v>
      </x:c>
      <x:c r="B394" s="34" t="str">
        <x:v>1</x:v>
      </x:c>
      <x:c r="C394" s="34" t="str">
        <x:v>Büyüme</x:v>
      </x:c>
      <x:c r="D394" s="34" t="str">
        <x:v>Motivasyon</x:v>
      </x:c>
      <x:c r="E394" s="34" t="str">
        <x:v>Bilinçaltının Gücü</x:v>
      </x:c>
      <x:c r="F394" s="34" t="str">
        <x:v>Joseph Murphy</x:v>
      </x:c>
      <x:c r="G394" s="34" t="str">
        <x:v>1963</x:v>
      </x:c>
      <x:c r="H394" s="37" t="str">
        <x:v>Uyku öncesi programlama</x:v>
      </x:c>
      <x:c r="I394" s="37" t="str">
        <x:v>Murphy, uyku öncesi zihnin en alıcı halinde olduğunu ve bu dönemde bilinçaltını olumlu yönde programlamanın nasıl mümkün olduğunu anlatıyor.</x:v>
      </x:c>
      <x:c r="J394" s="37" t="str">
        <x:v>Joseph Murphy bir gözlemden yola çıkıyor.
Neden bazı insanlar geceleri yatağa endişelerle giriyor ve sabah daha da endişeli uyanıyor?
Cevabı bilinçaltının çalışma biçiminde yatıyor.
Uyumadan hemen önce zihniniz ne düşünüyorsa, o uyku boyunca işleniyor. Negatif düşünceler uyku sırasında pekişiyor. Endişeler derinleşiyor.
Ama Murphy bunun tersinin de geçerli olduğunu söylüyor.
##"Uyku öncesi zihninizi olumlu, inşa edici düşüncelerle doldurun. Bilinçaltı bu programı uyku boyunca işler."##
Murphy somut bir pratik öneriyor: Yatmadan önce, istediğiniz sonucu ya da çözümü zihinsel olarak canlandırın. Detaylı olarak. Duygu yüklü olarak.
Bu visualization pratiği günümüzde spor psikolojisinde yaygın. Olimpiyat sporcuları yarışmadan önce performanslarını zihinsel olarak prova ediyor. Ve araştırmalar zihinsel provayla fiziksel antrenmanın birleşiminin yalnızca fiziksel antrenmanı geçtiğini gösteriyor.
Murphy bunu 1963'te yazdı. Nörobilim aynı mekanizmayı onlarca yıl sonra keşfetti.
$$Uyku öncesi zihni besleyen şey, bilinçaltının gecesi boyunca işleyeceği malzemeyi belirler.$$
&amp;&amp;Bu gece yatmadan önce zihninize son koyduğunuz şey ne oldu? Sabah kalktığınızda nasıl hissettiniz?&amp;&amp;</x:v>
      </x:c>
      <x:c r="K394" s="37" t="str"/>
      <x:c r="L394" s="37" t="str"/>
      <x:c r="M394" s="37" t="str"/>
      <x:c r="N394" s="37" t="str"/>
      <x:c r="O394" s="37" t="str"/>
    </x:row>
    <x:row r="395" ht="20" customHeight="1">
      <x:c r="A395" s="33" t="n">
        <x:v>1452</x:v>
      </x:c>
      <x:c r="B395" s="34" t="str">
        <x:v>1</x:v>
      </x:c>
      <x:c r="C395" s="34" t="str">
        <x:v>Büyüme</x:v>
      </x:c>
      <x:c r="D395" s="34" t="str">
        <x:v>Motivasyon</x:v>
      </x:c>
      <x:c r="E395" s="34" t="str">
        <x:v>Bilinçaltının Gücü</x:v>
      </x:c>
      <x:c r="F395" s="34" t="str">
        <x:v>Joseph Murphy</x:v>
      </x:c>
      <x:c r="G395" s="34" t="str">
        <x:v>1963</x:v>
      </x:c>
      <x:c r="H395" s="37" t="str">
        <x:v>İnanç ve gerçekleşme döngüsü</x:v>
      </x:c>
      <x:c r="I395" s="37" t="str">
        <x:v>Murphy, güçlü bir inancın beden kimyasını değiştirdiğini ve bu değişimin davranışları etkileyerek inancı doğrulayan sonuçlar yarattığını anlatıyor.</x:v>
      </x:c>
      <x:c r="J395" s="37" t="str">
        <x:v>Joseph Murphy şöyle bir döngü tanımlıyor.
Bir şeye inanıyorsunuz. Bu inanç bedeninizde bir his yaratıyor. O his davranışlarınızı şekillendiriyor. Ve davranışlarınız sonuçları etkiliyor. Sonuçlar inancınızı pekiştiriyor.
##"Ben başaramam" inancı → Denememek → Başarısızlık → "Haklıydım, başaramıyorum."##
Bu kendi kendini doğrulayan bir döngü.
Ama Murphy şunu söylüyor: Döngü değiştirilebilir. Ve değişim inançtan başlıyor.
"Ben başarabilirim" inancı → Denemek → Öğrenmek → İlerleme → "Doğruydu."
Modern nörobilim bu mekanizmayı "plasebo etkisi" ve "nocebo etkisi" olarak belgeliyor. Güçlü inançlar gerçek fizyolojik değişiklikler yaratıyor. Plasebo acıyı azaltıyor. Nocebo semptomları artırıyor.
Murphy bu gücü aşırı basitleştiriyor denebilir. Ama temel gözlem sağlam: Zihinsel tutum, gerçek sonuçları etkiliyor.
Ve bu etki, bilinçsizce çalışıyor. Ya da bilinçli olarak yönlendirilebiliyor.
$$İnanç sadece zihinsel değil — bedensel ve davranışsal bir güç.$$
&amp;&amp;"Yapamam" ya da "olmaz" dediğinizde, aslında ne söylüyorsunuz? O inanç sizi nasıl davranmaya yönlendiriyor?&amp;&amp;</x:v>
      </x:c>
      <x:c r="K395" s="37" t="str"/>
      <x:c r="L395" s="37" t="str"/>
      <x:c r="M395" s="37" t="str"/>
      <x:c r="N395" s="37" t="str"/>
      <x:c r="O395" s="37" t="str"/>
    </x:row>
    <x:row r="396" ht="20" customHeight="1">
      <x:c r="A396" s="33" t="n">
        <x:v>1453</x:v>
      </x:c>
      <x:c r="B396" s="34" t="str">
        <x:v>1</x:v>
      </x:c>
      <x:c r="C396" s="34" t="str">
        <x:v>Psikoloji</x:v>
      </x:c>
      <x:c r="D396" s="34" t="str">
        <x:v>Mutluluk</x:v>
      </x:c>
      <x:c r="E396" s="34" t="str">
        <x:v>Neşeyi Seç</x:v>
      </x:c>
      <x:c r="F396" s="34" t="str">
        <x:v>Dalai Lama</x:v>
      </x:c>
      <x:c r="G396" s="34" t="str">
        <x:v>2016</x:v>
      </x:c>
      <x:c r="H396" s="37" t="str">
        <x:v>Sekiz gün sekiz yıla bedel</x:v>
      </x:c>
      <x:c r="I396" s="37" t="str">
        <x:v>Dalai Lama ve Tutu'nun ölüm kalım tehditleri yaşayan iki hayat boyunca nasıl neşeyi koruduğu ve bu neşenin derin bir disiplin gerektirdiğini gösteriyor.</x:v>
      </x:c>
      <x:c r="J396" s="37" t="str">
        <x:v>2015. Archbishop Desmond Tutu sekseninci yaş gününü kutlamak için Dalai Lama'yı Dharamsala'ya davet etti.
İki yaşlı adam. Her ikisi de hayatta büyük acılar yaşamış. Tutu apartheid döneminde ırkçılığa karşı savaştı. Dalai Lama Tibetli halkının işgalini ve sürgünü yaşadı.
Ve her ikisi de inanılmaz derecede neşeli.
Bu sekiz günlük buluşma bir kitaba dönüştü.
##Dalai Lama şöyle dedi: "Neşeyi seçebilirsin. Bu his bir şans eseri değil, bir pratik."##
Tutu ekledi: "Acı gerçek ve ağır. Ama acının içinde bile seçim yapabilirsin."
İki adamın ortak özelliği şu: Her ikisi de dünyada pek çok acı gördü. Ama bu acı onları neşesiz yapmadı.
Tersine, acıyla yüzleşmek onları daha derin bir neşeye taşıdı.
Kitap sekiz "neşe engeli" tanımlıyor: korku, öfke, pişmanlık, hüzün, ümitsizlik, yalnızlık, kıskançlık, acı. Ve her biri için "neşe sütunu" sunuyor.
Bu bir pozitif düşünce rehberi değil. Gerçek, koşullu olmayan neşeye giden zor bir yol haritası.
$$Neşe, iyi koşulların değil — koşullardan bağımsız bir seçimin sonucudur.$$
&amp;&amp;Neşenizi en çok ne çalıyor — dışarıdan gelen bir şey mi, yoksa içeriden bir his mi?&amp;&amp;</x:v>
      </x:c>
      <x:c r="K396" s="37" t="str"/>
      <x:c r="L396" s="37" t="str"/>
      <x:c r="M396" s="37" t="str"/>
      <x:c r="N396" s="37" t="str"/>
      <x:c r="O396" s="37" t="str"/>
    </x:row>
    <x:row r="397" ht="20" customHeight="1">
      <x:c r="A397" s="33" t="n">
        <x:v>1454</x:v>
      </x:c>
      <x:c r="B397" s="34" t="str">
        <x:v>1</x:v>
      </x:c>
      <x:c r="C397" s="34" t="str">
        <x:v>Psikoloji</x:v>
      </x:c>
      <x:c r="D397" s="34" t="str">
        <x:v>Mutluluk</x:v>
      </x:c>
      <x:c r="E397" s="34" t="str">
        <x:v>Neşeyi Seç</x:v>
      </x:c>
      <x:c r="F397" s="34" t="str">
        <x:v>Dalai Lama</x:v>
      </x:c>
      <x:c r="G397" s="34" t="str">
        <x:v>2016</x:v>
      </x:c>
      <x:c r="H397" s="37" t="str">
        <x:v>Sekiz neşe sütunu</x:v>
      </x:c>
      <x:c r="I397" s="37" t="str">
        <x:v>Dalai Lama ve Tutu, zihin açıklığı, içtenlik, anlam, bağlanma, kabul, affetme, şükran ve cömertlik gibi sekiz sütunun kalıcı neşenin temeli olduğunu anlatıyor.</x:v>
      </x:c>
      <x:c r="J397" s="37" t="str">
        <x:v>Dalai Lama ve Desmond Tutu sekiz günlük konuşmalarında ortak bir çerçeve oluşturdu.
Kalıcı neşenin sekiz sütunu.
Birincisi zihin açıklığı: Dünyayı olduğu gibi görmek. Ne daha iyimser ne daha kötümser.
İkincisi içtenlik: Kendimize karşı dürüst olmak.
Üçüncüsü anlam: Kendi ötesinde bir amaca hizmet etmek.
Dördüncüsü bağlanma: Derin insani bağlar kurmak.
##"Cömertlik sekizinci sütun" diyor Tutu. "Ve bence en güçlüsü. Çünkü cömertlik hem veren hem de alana neşe veriyor."##
İki adam şunu gözlemlemiş: Kendisine odaklanan insan mutsuzluğa daha yakın. Başkalarına odaklanan insan neşeye daha yakın.
Bu sezgisel olarak doğal geliyor. Ama araştırmalar da destekliyor. Başkasına yardım etmek oxitosini artırıyor. Cortizolü düşürüyor.
Dalai Lama bunu şöyle özetliyor: "Mutlu olmak istiyorsanız, başkalarını mutlu etmek için çalışın. Acı çekmek istemiyorsanız, başkalarının acısını azaltmak için çalışın."
Bu paradoks değil. Gerçek bir yasa.
$$Neşe içe değil, dışa doğru açılırken büyür.$$
&amp;&amp;Son hafta başkası için yaptığın bir şeyi düşün. O an nasıl hissettin? Kendi ihtiyaçlarına odaklandığın anlarla kıyasla.&amp;&amp;</x:v>
      </x:c>
      <x:c r="K397" s="37" t="str"/>
      <x:c r="L397" s="37" t="str"/>
      <x:c r="M397" s="37" t="str"/>
      <x:c r="N397" s="37" t="str"/>
      <x:c r="O397" s="37" t="str"/>
    </x:row>
    <x:row r="398" ht="20" customHeight="1">
      <x:c r="A398" s="33" t="n">
        <x:v>1455</x:v>
      </x:c>
      <x:c r="B398" s="34" t="str">
        <x:v>1</x:v>
      </x:c>
      <x:c r="C398" s="34" t="str">
        <x:v>Psikoloji</x:v>
      </x:c>
      <x:c r="D398" s="34" t="str">
        <x:v>Mutluluk</x:v>
      </x:c>
      <x:c r="E398" s="34" t="str">
        <x:v>Neşeyi Seç</x:v>
      </x:c>
      <x:c r="F398" s="34" t="str">
        <x:v>Dalai Lama</x:v>
      </x:c>
      <x:c r="G398" s="34" t="str">
        <x:v>2016</x:v>
      </x:c>
      <x:c r="H398" s="37" t="str">
        <x:v>Acı ve neşe bir arada</x:v>
      </x:c>
      <x:c r="I398" s="37" t="str">
        <x:v>Tutu ve Dalai Lama, acı ve neşenin karşıt değil tamamlayıcı olduğunu ve en derin neşenin çoğu zaman en derin acıların içinden doğduğunu anlatıyor.</x:v>
      </x:c>
      <x:c r="J398" s="37" t="str">
        <x:v>Sekiz günün bir noktasında Tutu bir soru sordu.
"Acınızla nasıl yaşıyorsunuz? Tibet'i, halkınızı, yurdunuzu kaybettiniz. Bu acıyı nasıl taşıyorsunuz?"
Dalai Lama bir süre sessiz kaldı.
Sonra şöyle dedi: "Acıyı inkar etmiyorum. Gerçek ve ağır. Ama acı tek gerçek değil."
##"Aynı anda acıyı ve neşeyi tutabilirsiniz. İkisi birbirini iptal etmiyor."##
Tutu bu cevabı tanıyor. Güney Afrika'da apartheid döneminde. İnsanlar hem derin acıları yaşıyor hem de şarkı söylüyor, dans ediyor, birbirini kucaklıyordu.
İki yaşlı adam şunu anlıyor: Batılı düşüncede acı ve neşe zıt kutuplar. "Acı varsa neşe olamaz."
Ama gerçekte ikisi birlikte var olabiliyor.
Dahası, en derin neşe çoğu zaman en derin acının içinden doğuyor. Kayıptan büyüme. Zorluktan anlam. Acıdan bağlantı.
Tutu şöyle diyor: "İkimiz de acımızı inkâr etmek yerine taşımayı öğrendik. Ve taşımak bizi kırmadı — derinleştirdi."
$$Neşe acıyı ortadan kaldırmaz — acıyla birlikte var olabilmeyi öğrenir.$$
&amp;&amp;Hayatının en zor döneminde hâlâ neşeyi ya da güzelliği hissettiren bir şey var mıydı? Neydi o?&amp;&amp;</x:v>
      </x:c>
      <x:c r="K398" s="37" t="str"/>
      <x:c r="L398" s="37" t="str"/>
      <x:c r="M398" s="37" t="str"/>
      <x:c r="N398" s="37" t="str"/>
      <x:c r="O398" s="37" t="str"/>
    </x:row>
    <x:row r="399" ht="20" customHeight="1">
      <x:c r="A399" s="33" t="n">
        <x:v>1456</x:v>
      </x:c>
      <x:c r="B399" s="34" t="str">
        <x:v>1</x:v>
      </x:c>
      <x:c r="C399" s="34" t="str">
        <x:v>Psikoloji</x:v>
      </x:c>
      <x:c r="D399" s="34" t="str">
        <x:v>Nörobilim</x:v>
      </x:c>
      <x:c r="E399" s="34" t="str">
        <x:v>Beynin Sırları</x:v>
      </x:c>
      <x:c r="F399" s="34" t="str">
        <x:v>V.S. Ramachandran</x:v>
      </x:c>
      <x:c r="G399" s="34" t="str">
        <x:v>2011</x:v>
      </x:c>
      <x:c r="H399" s="37" t="str">
        <x:v>Phantom limb — hayalet uzuv ve beynin gerçeği</x:v>
      </x:c>
      <x:c r="I399" s="37" t="str">
        <x:v>Ramachandran, ampüte hastaların kesilen uzuvlarında ağrı hissettiği fenomeni araştırırken beynin gerçekliği nasıl inşa ettiğine dair çarpıcı bir pencere açıyor.</x:v>
      </x:c>
      <x:c r="J399" s="37" t="str">
        <x:v>V.S. Ramachandran bir hastasıyla karşılaştı.
Adam kolunu kaybetmişti. Ama kolu hâlâ oradaydı — hissedebiliyordu. Ve bazen korkunç derecede ağrıyordu.
Medikal terminoloji: "Phantom limb" — hayalet uzuv.
Bu gerçek dışı bir şey gibi görünüyor. Kol yok, ağrı var?
Ama Ramachandran şunu keşfetti: Bu beynin, artık olmayan bir uzuv için yarattığı nöral harita nedeniyle yaşanıyor.
##"Beyin, dış dünyayı doğrudan deneyimlemiyor" diyor Ramachandran. "Modeller oluşturuyor. Ve o modeller bazen gerçeklikten kopuyor."##
Ve daha da şaşırtıcı olanı: Ramachandran bu ağrıyı bir ayna ile tedavi etti.
Hastanın sağlıklı eli bir aynaya yerleştirildi. Yansıma, sanki iki eli de var gibi görünüyordu. Sağlıklı eli hareket ettirince, beyin "kayıp kolu da hareket ettiriyor" diye algıladı. Ve ağrı azaldı.
Bir ayna, beyin modelini yeniden yazdı. Ve ağrı geçti.
Bu keşif nörobilimi köklü biçimde değiştirdi.
$$Beyin gerçeği yansıtmaz — gerçeği inşa eder. Ve bu inşa değiştirilebilir.$$
&amp;&amp;Gerçekmiş gibi hissettiğiniz ama aslında beynin oluşturduğu bir model olduğunu düşündüğünüz bir şey var mı?&amp;&amp;</x:v>
      </x:c>
      <x:c r="K399" s="37" t="str"/>
      <x:c r="L399" s="37" t="str"/>
      <x:c r="M399" s="37" t="str"/>
      <x:c r="N399" s="37" t="str"/>
      <x:c r="O399" s="37" t="str"/>
    </x:row>
    <x:row r="400" ht="20" customHeight="1">
      <x:c r="A400" s="33" t="n">
        <x:v>1457</x:v>
      </x:c>
      <x:c r="B400" s="34" t="str">
        <x:v>1</x:v>
      </x:c>
      <x:c r="C400" s="34" t="str">
        <x:v>Psikoloji</x:v>
      </x:c>
      <x:c r="D400" s="34" t="str">
        <x:v>Nörobilim</x:v>
      </x:c>
      <x:c r="E400" s="34" t="str">
        <x:v>Beynin Sırları</x:v>
      </x:c>
      <x:c r="F400" s="34" t="str">
        <x:v>V.S. Ramachandran</x:v>
      </x:c>
      <x:c r="G400" s="34" t="str">
        <x:v>2011</x:v>
      </x:c>
      <x:c r="H400" s="37" t="str">
        <x:v>Synesthesia — duyuların birbirine karışması</x:v>
      </x:c>
      <x:c r="I400" s="37" t="str">
        <x:v>Ramachandran, bazı insanların renkleri duyduğunu ya da sayıları renk olarak gördüğünü keşfetmesinin beyin bölgeleri arasındaki bağlantı hakkında neleri ortaya çıkardığını anlatıyor.</x:v>
      </x:c>
      <x:c r="J400" s="37" t="str">
        <x:v>V.S. Ramachandran bir hastasıyla tanıştı.
Adam "5" rakamini gördüğünde kırmızı renk görüyordu. "6" maviydi. "7" sarı.
Bu halüsinasyon değildi. Beyin hasarı da değildi.
Bu synesthesia — duyuların karışması. Dünyada insanların yaklaşık yüzde ikisinde görülüyor.
Ramachandran merak etti: Bu nasıl mümkün?
Beyin görüntülemesi şunu gösterdi: Synesthesia yaşayan insanların beyin bölgelerinde, sayıları işleyen alan ile renkleri işleyen alan arasında olağandışı bağlantılar var.
##"Bu bize şunu söylüyor" diyor Ramachandran. "Beyin bölgeleri sandığımızdan çok daha bağlantılı. Ve bu bağlantılar değişebilir."##
Ve daha ilginç bir boyut: Synesthesia sanatçılar arasında normalden çok daha sık görülüyor. Kandinsky, Nabokov, Richard Feynman synesthesia yaşayan bireylerdi.
Bu tesadüf mü?
Ramachandran hayır diyor. Synesthesia'daki olağandışı bağlantılar, metafor yaratma kapasitesini artırıyor olabilir. "Sesi görmek" metaforunu yalnızca söz olarak değil, gerçekten yaşamak.
$$Beyin bölgeleri birbirinden izole değil — olağandışı bağlantılar olağandışı yetenekler yaratabilir.$$
&amp;&amp;Duyularınız ya da algılarınız arasında hiç sıra dışı bir bağlantı deneyimlediniz mi — müziği renk olarak hayal etmek, ya da kavramları şekil olarak düşünmek gibi?&amp;&amp;</x:v>
      </x:c>
      <x:c r="K400" s="37" t="str"/>
      <x:c r="L400" s="37" t="str"/>
      <x:c r="M400" s="37" t="str"/>
      <x:c r="N400" s="37" t="str"/>
      <x:c r="O400" s="37" t="str"/>
    </x:row>
    <x:row r="401" ht="20" customHeight="1">
      <x:c r="A401" s="33" t="n">
        <x:v>1458</x:v>
      </x:c>
      <x:c r="B401" s="34" t="str">
        <x:v>1</x:v>
      </x:c>
      <x:c r="C401" s="34" t="str">
        <x:v>Psikoloji</x:v>
      </x:c>
      <x:c r="D401" s="34" t="str">
        <x:v>Nörobilim</x:v>
      </x:c>
      <x:c r="E401" s="34" t="str">
        <x:v>Beynin Sırları</x:v>
      </x:c>
      <x:c r="F401" s="34" t="str">
        <x:v>V.S. Ramachandran</x:v>
      </x:c>
      <x:c r="G401" s="34" t="str">
        <x:v>2011</x:v>
      </x:c>
      <x:c r="H401" s="37" t="str">
        <x:v>Ayna nöronlar ve empati biyolojisi</x:v>
      </x:c>
      <x:c r="I401" s="37" t="str">
        <x:v>Ramachandran, ayna nöronların keşfinin empati, öğrenme ve kültürün biyolojik temelini nasıl açıkladığını ve neden 'psikolojinin DNA'sı' olarak adlandırdığını anlatıyor.</x:v>
      </x:c>
      <x:c r="J401" s="37" t="str">
        <x:v>İtalya'da bir laboratuvarda maymun deneyi yapılıyordu.
Araştırmacılar maymunun beynindeki tek bir nöronu izliyordu. Bu nöron, maymun fıstık aldığında ateşleniyordu.
Sonra araştırmacılardan biri kazara fıstık aldı.
Maymunun nöronu yine ateşlendi. Maymun hareketsiz duruyordu.
##Bu keşif ayna nöronu ortaya çıkardı: Bir başkasının yaptığı eylemi izlerken, kendi yapıyormuş gibi ateşlenen nöronlar.##
Ramachandran bu keşfi "psikolojinin DNA'sı" olarak tanımlıyor.
Neden bu kadar önemli?
Çünkü ayna nöronlar empatinin biyolojik temeli olabilir. Birinin acı çektiğini gördüğünüzde, kendi ağrı merkezleriniz kısmen aktive oluyor. Birinin gülmesini gördüğünüzde, kendi gülme devreleriniz tetikleniyor.
Duygu bulaşıcı — ve bu metafor değil, nörolojik bir gerçek.
Ayrıca ayna nöronlar öğrenmeyi açıklıyor: İzleyerek öğrenmek neden bu kadar etkili? Çünkü izlerken zihinsel olarak aynı hareketi yapıyorsunuz.
$$Empati bir karakter özelliği değil — nöronal bir kapasite, ve bu kapasite geliştirilebilir.$$
&amp;&amp;Bir başkasının acısını, sevincini ya da heyecanını izlerken kendi bedeninizde ne hissediyorsunuz? Bu hissi fark ettiniz mi hiç?&amp;&amp;</x:v>
      </x:c>
      <x:c r="K401" s="37" t="str"/>
      <x:c r="L401" s="37" t="str"/>
      <x:c r="M401" s="37" t="str"/>
      <x:c r="N401" s="37" t="str"/>
      <x:c r="O401" s="37" t="str"/>
    </x:row>
    <x:row r="402" ht="20" customHeight="1">
      <x:c r="A402" s="33" t="n">
        <x:v>1459</x:v>
      </x:c>
      <x:c r="B402" s="34" t="str">
        <x:v>1</x:v>
      </x:c>
      <x:c r="C402" s="34" t="str">
        <x:v>Liderlik</x:v>
      </x:c>
      <x:c r="D402" s="34" t="str">
        <x:v>Liderlik</x:v>
      </x:c>
      <x:c r="E402" s="34" t="str">
        <x:v>İş Hayatında Duygusal Zeka</x:v>
      </x:c>
      <x:c r="F402" s="34" t="str">
        <x:v>Daniel Goleman</x:v>
      </x:c>
      <x:c r="G402" s="34" t="str">
        <x:v>1998</x:v>
      </x:c>
      <x:c r="H402" s="37" t="str">
        <x:v>Liderlik ve duygusal bulaşıcılık</x:v>
      </x:c>
      <x:c r="I402" s="37" t="str">
        <x:v>Goleman, bir liderin duygusunun ekibe nasıl hızla yayıldığını ve bu nedenin liderin duygusal durumunun organizasyon performansını doğrudan etkilediğini anlatıyor.</x:v>
      </x:c>
      <x:c r="J402" s="37" t="str">
        <x:v>Daniel Goleman şöyle bir deneyi aktarıyor.
Bir grup insana kasıtlı olarak iyi ya da kötü ruh halinde olan bir lider atandı.
İyi ruh halindeki liderle çalışanlar daha yaratıcı, daha işbirlikçi ve daha üretkendi.
Kötü ruh halindeki liderle çalışanlar ise daha az enerji, daha çok çatışma ve daha düşük performans gösterdi.
##Goleman bunu "duygusal bulaşıcılık" olarak tanımlıyor: Bir liderin ruh hali, saatler içinde tüm ekibe yayılır.##
Bu sadece "iyi olmak güzel" gibi bir öneri değil. Nörolojik bir gerçek.
Beyin sosyal memelilerde "duygu eşleştirme" yapar. Başkasının yüz ifadesi, ses tonu ve beden dili beynimizde benzer nöral örüntüler oluşturur.
Lider endişelenirse, ekip endişelenir. Lider sakinse, ekip sakinleşir. Lider heyecanlanırsa, ekip motive olur.
Goleman'ın liderlik mesajı: Teknik beceriler tavan açar. Ama duygusal zeka o tavana götürür. Ve bir organizasyonda, liderin iç dünyası dışarıya çok daha güçlü yansır.
$$Bir liderin en kritik görevi stratejik değil duygusaldır — çünkü hisler bulaşır.$$
&amp;&amp;Son bir haftada ruh halinin ekibine ya da yakın çevrenize nasıl yayıldığını fark ettin mi?&amp;&amp;</x:v>
      </x:c>
      <x:c r="K402" s="37" t="str"/>
      <x:c r="L402" s="37" t="str"/>
      <x:c r="M402" s="37" t="str"/>
      <x:c r="N402" s="37" t="str"/>
      <x:c r="O402" s="37" t="str"/>
    </x:row>
    <x:row r="403" ht="20" customHeight="1">
      <x:c r="A403" s="33" t="n">
        <x:v>1460</x:v>
      </x:c>
      <x:c r="B403" s="34" t="str">
        <x:v>1</x:v>
      </x:c>
      <x:c r="C403" s="34" t="str">
        <x:v>Liderlik</x:v>
      </x:c>
      <x:c r="D403" s="34" t="str">
        <x:v>Liderlik</x:v>
      </x:c>
      <x:c r="E403" s="34" t="str">
        <x:v>İş Hayatında Duygusal Zeka</x:v>
      </x:c>
      <x:c r="F403" s="34" t="str">
        <x:v>Daniel Goleman</x:v>
      </x:c>
      <x:c r="G403" s="34" t="str">
        <x:v>1998</x:v>
      </x:c>
      <x:c r="H403" s="37" t="str">
        <x:v>Beş yetkinlik çerçevesi</x:v>
      </x:c>
      <x:c r="I403" s="37" t="str">
        <x:v>Goleman, iş hayatında başarıyı belirleyen beş duygusal zeka yetkinliğini tanımlıyor ve her birinin neden teknik becerileri gölgede bıraktığını gösteriyor.</x:v>
      </x:c>
      <x:c r="J403" s="37" t="str">
        <x:v>Daniel Goleman yüzlerce şirketle çalışarak duygusal zekanın beş temel yetkinliğini belirledi.
Birincisi öz farkındalık: Kendi duygularını, güçlü ve zayıf yönlerini gerçekçi biçimde görmek.
İkincisi öz düzenleme: Dürtüleri ve baskı altındaki tepkileri yönetmek.
Üçüncüsü motivasyon: Dışsal ödüller ötesinde içsel bir amaç taşımak.
Dördüncüsü empati: Başkalarının duygusal durumunu okuyabilmek.
##Beşincisi sosyal beceriler: İlişkileri yönetmek, ağlar kurmak, çatışmaları çözmek.##
Goleman binlerce lider üzerinde yapılan araştırmaları inceledi. Sonuç tutarlıydı: En başarılı liderler bu beş yetkinlikte ortalamanın üzerindeydi.
Ama daha çarpıcı olan şu: IQ ve teknik beceriler, liderlik başarısını yüzde on iki ile yirmi arasında açıklıyordu. Duygusal zeka ise yüzde seksen sekiz ile sekseni arasında.
Bu rakamlar düşündürücü. Teknik yetenek kapıyı açıyor. Ama içeride kalmak için duygusal zeka gerekiyor.
Ve güzel haber: Bu yetkinliklerin tümü öğrenilebilir. Beyin nöroplastik. Pratikle gelişiyor.
$$IQ işe alır, EQ kariyer inşa eder.$$
&amp;&amp;Bu beş yetkinlikten hangisi sizin için en güçlü, hangisi en geliştirilmesi gereken alan?&amp;&amp;</x:v>
      </x:c>
      <x:c r="K403" s="37" t="str"/>
      <x:c r="L403" s="37" t="str"/>
      <x:c r="M403" s="37" t="str"/>
      <x:c r="N403" s="37" t="str"/>
      <x:c r="O403" s="37" t="str"/>
    </x:row>
    <x:row r="404" ht="20" customHeight="1">
      <x:c r="A404" s="33" t="n">
        <x:v>1461</x:v>
      </x:c>
      <x:c r="B404" s="34" t="str">
        <x:v>1</x:v>
      </x:c>
      <x:c r="C404" s="34" t="str">
        <x:v>Liderlik</x:v>
      </x:c>
      <x:c r="D404" s="34" t="str">
        <x:v>Liderlik</x:v>
      </x:c>
      <x:c r="E404" s="34" t="str">
        <x:v>İş Hayatında Duygusal Zeka</x:v>
      </x:c>
      <x:c r="F404" s="34" t="str">
        <x:v>Daniel Goleman</x:v>
      </x:c>
      <x:c r="G404" s="34" t="str">
        <x:v>1998</x:v>
      </x:c>
      <x:c r="H404" s="37" t="str">
        <x:v>Öz farkındalığın gücü ve kör nokta</x:v>
      </x:c>
      <x:c r="I404" s="37" t="str">
        <x:v>Goleman, en başarılı liderlerin bile kendi duygusal kör noktaları olduğunu ve bu kör noktaların nasıl karar kalitesini düşürdüğünü anlatıyor.</x:v>
      </x:c>
      <x:c r="J404" s="37" t="str">
        <x:v>Daniel Goleman bir paradoks sunuyor.
Başarılı liderler arasında öz farkındalık araştırıldığında şaşırtıcı bir bulgu çıktı.
Çoğu lider kendi öz farkındalığını "ortalama üstü" olarak değerlendiriyordu. Hatta büyük çoğunluğu "üst düzey" diyordu.
Ama 360 derece değerlendirmeler farklı bir tablo çiziyordu.
##Başkalarının gördüğü lider ile liderin kendini gördüğü arasında ciddi bir uçurum vardı.##
Goleman bunu "duygusal kör nokta" olarak tanımlıyor.
En yaygın kör noktalar şunlardı: Baskı altında ne kadar sert olunduğu. Eleştiriyi ne kadar kötü karşılandığı. Belirsizlik karşısındaki sinirlilik. Ve başkalarının katkısını küçümseme eğilimi.
Bu kör noktalar tehlikeli. Çünkü lider "ben böyle değilim" diye düşünürken, ekip her gün o davranışla yaşıyor.
Çözüm: Güvenilir bir geri bildirim kaynağı. Gerçekten dürüst konuşan biri.
Ve Goleman şunu ekliyor: O geri bildirimi kabul etmek, savunmaya geçmeden dinleyebilmek — bu da bir duygusal zeka göstergesi.
$$En büyük liderlik riski bilmediğinizi bilmemektir.$$
&amp;&amp;Size dürüstçe geri bildirim veren biri var mı? Ve o geri bildirimi gerçekten duyabiliyor musunuz?&amp;&amp;</x:v>
      </x:c>
      <x:c r="K404" s="37" t="str"/>
      <x:c r="L404" s="37" t="str"/>
      <x:c r="M404" s="37" t="str"/>
      <x:c r="N404" s="37" t="str"/>
      <x:c r="O404" s="37" t="str"/>
    </x:row>
    <x:row r="405" ht="20" customHeight="1">
      <x:c r="A405" s="33" t="n">
        <x:v>1462</x:v>
      </x:c>
      <x:c r="B405" s="34" t="str">
        <x:v>1</x:v>
      </x:c>
      <x:c r="C405" s="34" t="str">
        <x:v>Felsefe</x:v>
      </x:c>
      <x:c r="D405" s="34" t="str">
        <x:v>Öğrenme</x:v>
      </x:c>
      <x:c r="E405" s="34" t="str">
        <x:v>Kalıcı Hafıza</x:v>
      </x:c>
      <x:c r="F405" s="34" t="str">
        <x:v>Joshua Foer</x:v>
      </x:c>
      <x:c r="G405" s="34" t="str">
        <x:v>2011</x:v>
      </x:c>
      <x:c r="H405" s="37" t="str">
        <x:v>Hafıza şampiyonlarıyla yarışmak</x:v>
      </x:c>
      <x:c r="I405" s="37" t="str">
        <x:v>Foer, sıradan bir hafızaya sahip bir gazeteci olarak hafıza şampiyonasına nasıl girdiğini ve bu süreçte beynin gerçek kapasitesi hakkında neler öğrendiğini anlatıyor.</x:v>
      </x:c>
      <x:c r="J405" s="37" t="str">
        <x:v>Joshua Foer 2005'te bir hafıza şampiyonasını haberleştirmeye gitti.
Orada karşılaştığı şampiyonlar onu şaşırttı. İki yüz kelimelik listeleri ezberleyenler. Yüzlerce rasgele sayıyı sırayla aklında tutanlar.
Foer şunu bekliyordu: Bu insanlar olağanüstü hafızayla doğmuş dehalar.
Beklediğini bulmadı.
##Şampiyonlar ona şöyle dedi: "Bizim hafızamız sizden daha iyi değil. Sadece farklı teknikler kullanıyoruz."##
Foer sceptik olarak geri döndü. Ama aynı zamanda merak etti.
Ve bir düşünce aklına takıldı: Eğer bu teknikler öğrenilebilirse, ben de öğrenebilirim.
Bir yıl boyunca hafıza şampiyonlarından ders aldı. Eski Yunan tekniklerini öğrendi. Her gün pratik yaptı.
Bir yıl sonra ABD Hafıza Şampiyonasına katıldı. Ve kazandı.
Foer kitabında şunu soruyor: Hafıza ne kadar "doğal" kapasite, ne kadar öğrenilmiş beceri? Ve bir sonraki soru: Hafızayı geliştirmek için beyni gerçekten anlıyor muyuz?
$$Hafıza bir yetenek değil, bir teknik — ve her teknik öğrenilebilir.$$
&amp;&amp;Ezberlenmesi zor gelen bir şeyi hatırlamaya çalıştığınızda ne yapıyorsunuz? Bir sisteminiz var mı?&amp;&amp;</x:v>
      </x:c>
      <x:c r="K405" s="37" t="str"/>
      <x:c r="L405" s="37" t="str"/>
      <x:c r="M405" s="37" t="str"/>
      <x:c r="N405" s="37" t="str"/>
      <x:c r="O405" s="37" t="str"/>
    </x:row>
    <x:row r="406" ht="20" customHeight="1">
      <x:c r="A406" s="33" t="n">
        <x:v>1463</x:v>
      </x:c>
      <x:c r="B406" s="34" t="str">
        <x:v>1</x:v>
      </x:c>
      <x:c r="C406" s="34" t="str">
        <x:v>Felsefe</x:v>
      </x:c>
      <x:c r="D406" s="34" t="str">
        <x:v>Öğrenme</x:v>
      </x:c>
      <x:c r="E406" s="34" t="str">
        <x:v>Kalıcı Hafıza</x:v>
      </x:c>
      <x:c r="F406" s="34" t="str">
        <x:v>Joshua Foer</x:v>
      </x:c>
      <x:c r="G406" s="34" t="str">
        <x:v>2011</x:v>
      </x:c>
      <x:c r="H406" s="37" t="str">
        <x:v>Hafıza sarayı ve uzamsal kodlama</x:v>
      </x:c>
      <x:c r="I406" s="37" t="str">
        <x:v>Foer, iki bin yıllık 'hafıza sarayı' tekniğinin nasıl çalıştığını ve beynin neden soyut bilgiyi mekânsal ve görsel olarak depoladığında çok daha iyi hatırladığını anlatıyor.</x:v>
      </x:c>
      <x:c r="J406" s="37" t="str">
        <x:v>Eski Yunan ozanı Simonides bir ziyafetteydi.
Ani bir yıkım oldu. Salon çöktü. Herkes hayatını kaybetti.
Simonides tek hayatta kalandı. Ve ona cenazeleri tanımlamaları için sordular.
Simonides gözlerini kapattı. Zihninde salona döndü. Her masada kimin oturduğunu hatırladı. Her yüzü konumuna göre andı.
##Bu deneyimden "hafıza sarayı" tekniği doğdu: Bilgiyi zihinsel bir mekâna yerleştirmek.##
Joshua Foer bu tekniği şöyle açıklıyor: Hafızaya almak istediğiniz her şeyi iyi tanıdığınız bir mekânda — eviniz, okulunuz, işyeriniz — görsel ve mümkünse saçma biçimde hayal edin.
Beyin neden buna bu kadar iyi?
Çünkü evrimsel olarak mekânsal hafıza hayatta kalmak için kritikti. Yiyeceğin nerede olduğunu hatırlamak. Tehlikenin nereden geldiğini bilmek. Beyin bu tür bilgileri çok daha sağlam depoluyor.
Soyut bilgi ise kaygan. "1453" tarihi soyut. Ama o tarihi evinizin mutfağına yerleştirirseniz, aniden somut ve hatırlanabilir hale geliyor.
Foer bu teknikle bir yılda şampiyon oldu. Ve kitabında şunu söylüyor: Hafıza tekniği değil, yaratıcılık.
$$Beyin soyutu değil, somut ve mekânsal olanı hatırlar — ezber değil görselleştirme.$$
&amp;&amp;Öğrenmek istediğiniz bir şeyi, hafıza sarayına yerleştirerek ezberleyen farklı bir yolla deneyebilir misiniz?&amp;&amp;</x:v>
      </x:c>
      <x:c r="K406" s="37" t="str"/>
      <x:c r="L406" s="37" t="str"/>
      <x:c r="M406" s="37" t="str"/>
      <x:c r="N406" s="37" t="str"/>
      <x:c r="O406" s="37" t="str"/>
    </x:row>
    <x:row r="407" ht="20" customHeight="1">
      <x:c r="A407" s="33" t="n">
        <x:v>1464</x:v>
      </x:c>
      <x:c r="B407" s="34" t="str">
        <x:v>1</x:v>
      </x:c>
      <x:c r="C407" s="34" t="str">
        <x:v>Felsefe</x:v>
      </x:c>
      <x:c r="D407" s="34" t="str">
        <x:v>Öğrenme</x:v>
      </x:c>
      <x:c r="E407" s="34" t="str">
        <x:v>Kalıcı Hafıza</x:v>
      </x:c>
      <x:c r="F407" s="34" t="str">
        <x:v>Joshua Foer</x:v>
      </x:c>
      <x:c r="G407" s="34" t="str">
        <x:v>2011</x:v>
      </x:c>
      <x:c r="H407" s="37" t="str">
        <x:v>Unutma ve hatırlamanın paradoksu</x:v>
      </x:c>
      <x:c r="I407" s="37" t="str">
        <x:v>Foer, unutmanın bir yetersizlik değil beyni gereksiz bilgiden temizleyen aktif bir süreç olduğunu ve bilinçli unutmanın da bir beceri olduğunu anlatıyor.</x:v>
      </x:c>
      <x:c r="J407" s="37" t="str">
        <x:v>Joshua Foer hafıza üzerine araştırırken beklenmedik bir şey keşfetti.
En iyi hafızaya sahip insanlar aynı zamanda en iyi seçici unutmayı yapan insanlardı.
Bu paradoks gibi görünüyor. Ama değil.
##Foer şöyle açıklıyor: "Beyin sınırsız depolama kapasitesine sahip değil. Ve daha önemlisi, her şeyi hatırlamak istemiyor."##
Jorge Luis Borges'in "Funes el Memorioso" adlı hikayesini anlatıyor: Funes her şeyi hatırlayan bir karakter. Her yaprak, her an, her ayrıntı. Ve bu hafıza onu felç ediyor. Çünkü işlev görmek için seçici olmak gerekiyor.
Şimdi uyku araştırmalarını düşünün. Uyku sırasında beyin gün içindeki bilgileri sıralar. Önemlileri uzun dönem hafızaya taşır. Gereksizleri temizler.
Bu temizlik, sabah zihnin taze hissettirmesinin bir nedeni.
Ve pratik sonuç şu: Her şeyi hatırlamaya çalışmak yerine, neyi hatırlamanız gerektiğine karar vermek çok daha değerli.
Öğrenmek seçici olmayı da içeriyor.
$$Hatırlamak kadar bilinçli unutmak da bir beceridir.$$
&amp;&amp;Her şeyi not almaya ya da hatırlamaya çalışıyor musunuz? Hangi bilgileri bırakmayı öğrenmek sizi daha özgür kılar?&amp;&amp;</x:v>
      </x:c>
      <x:c r="K407" s="37" t="str"/>
      <x:c r="L407" s="37" t="str"/>
      <x:c r="M407" s="37" t="str"/>
      <x:c r="N407" s="37" t="str"/>
      <x:c r="O407" s="37" t="str"/>
    </x:row>
    <x:row r="408" ht="20" customHeight="1">
      <x:c r="A408" s="33" t="n">
        <x:v>1465</x:v>
      </x:c>
      <x:c r="B408" s="34" t="str">
        <x:v>1</x:v>
      </x:c>
      <x:c r="C408" s="34" t="str">
        <x:v>İletişim</x:v>
      </x:c>
      <x:c r="D408" s="34" t="str">
        <x:v>İletişim</x:v>
      </x:c>
      <x:c r="E408" s="34" t="str">
        <x:v>Etkileyici Konuşma</x:v>
      </x:c>
      <x:c r="F408" s="34" t="str">
        <x:v>Carmine Gallo</x:v>
      </x:c>
      <x:c r="G408" s="34" t="str">
        <x:v>2014</x:v>
      </x:c>
      <x:c r="H408" s="37" t="str">
        <x:v>TED sahnesindeki üç sır</x:v>
      </x:c>
      <x:c r="I408" s="37" t="str">
        <x:v>Gallo, en çok izlenen TED konuşmalarını analiz ederek tüm başarılı sunumların üç ortak özelliği paylaştığını ve bunların öğrenilebilir beceriler olduğunu gösteriyor.</x:v>
      </x:c>
      <x:c r="J408" s="37" t="str">
        <x:v>Carmine Gallo 500'den fazla TED konuşmasını inceledi.
En çok izlenen, en çok paylaşılan, en uzun süre hafızalarda kalan konuşmalar. Ve ortak bir örüntü aradı.
Buldu. Üç unsur.
Birincisi: Her konuşmacı tek bir merkezi mesaj taşıyordu. "Bu konuşmadan sadece bir şey hatırlayacaksanız, bu olsun" diyebilecekleri tek bir fikir.
İkincisi: Hikaye anlatımı. Veriler, grafikler, soyut argümanlar değil — insani hikayeler. Ve her hikaye bir duygu yaratıyordu.
##Üçüncüsü ve en şaşırtıcısı: Tutkulu anlatım. Konuşmacı gerçekten inandığı bir şeyi anlatıyordu.##
Gallo binlerce satıcı, lider ve akademisyen inceledi. Ve sonuç tutarlıydı: Teknik sunum becerileri önemliydi. Ama tutkuyu taklit edemezdiniz.
En iyi konuşmacılar sahneye "bu dünyayı değiştirecek bir fikrim var" inancıyla çıkıyordu. Seyirci bunu hissediyordu.
Ve bu sizi şunu sorgulamaya itiyor: Konuştuğunuz şeye gerçekten inanıyor musunuz?
$$En ikna edici konuşma gerçekten inandığınız şeyi anlatmaktır.$$
&amp;&amp;Son yaptığınız önemli bir sunumda ya da konuşmada gerçekten ne kadar inanıyordunuz söylediklerinize?&amp;&amp;</x:v>
      </x:c>
      <x:c r="K408" s="37" t="str"/>
      <x:c r="L408" s="37" t="str"/>
      <x:c r="M408" s="37" t="str"/>
      <x:c r="N408" s="37" t="str"/>
      <x:c r="O408" s="37" t="str"/>
    </x:row>
    <x:row r="409" ht="20" customHeight="1">
      <x:c r="A409" s="33" t="n">
        <x:v>1466</x:v>
      </x:c>
      <x:c r="B409" s="34" t="str">
        <x:v>1</x:v>
      </x:c>
      <x:c r="C409" s="34" t="str">
        <x:v>İletişim</x:v>
      </x:c>
      <x:c r="D409" s="34" t="str">
        <x:v>İletişim</x:v>
      </x:c>
      <x:c r="E409" s="34" t="str">
        <x:v>Etkileyici Konuşma</x:v>
      </x:c>
      <x:c r="F409" s="34" t="str">
        <x:v>Carmine Gallo</x:v>
      </x:c>
      <x:c r="G409" s="34" t="str">
        <x:v>2014</x:v>
      </x:c>
      <x:c r="H409" s="37" t="str">
        <x:v>Beyin dostu hikaye anlatımı</x:v>
      </x:c>
      <x:c r="I409" s="37" t="str">
        <x:v>Gallo, nörobilim araştırmalarının hikaye anlatımının beyne neden veriden çok daha güçlü etki ettiğini ortaya koyduğunu ve en iyi konuşmacıların bunu nasıl kullandığını anlatıyor.</x:v>
      </x:c>
      <x:c r="J409" s="37" t="str">
        <x:v>Carmine Gallo bir nörobilim araştırmasını aktarıyor.
Denekler iki farklı konuşma dinledi. Biri salt veri ve istatistik içeriyordu. Diğeri aynı bilgileri bir hikaye çerçevesinde sunuyordu.
Beyin görüntülemesi şunu gösterdi:
Veri konuşmasında yalnızca dil işleme alanları aktive oldu.
##Hikaye konuşmasında ise dil işlemenin yanı sıra hareket, koku, ses, duygu ve görsel işleme alanları da aktive oldu. Dinleyicinin beyni sanki hikayeyi bizzat yaşıyormuş gibi tepki verdi.##
Gallo buna "nöral bağlantı" diyor. İyi bir hikaye anlatıcısı ile dinleyici arasında beyin senkronizasyonu oluşuyor.
Ve bu senkronizasyon inanılmaz bir etki yaratıyor: Dinleyici konuşmacının bakış açısını anlamaya başlıyor. Yalnızca dinlemiyor, deneyimlemiyor.
Pratik sonuç: Her sunumda en az bir güçlü hikaye olmalı. Rakamlar ilginç olabilir. Ama hikayeler hatırlanır.
Gallo'nun formülü: Rakamları insanlaştırın. "Yüz bin kişi" yerine "Hasan gibi bir insan." Soyutu somutlaştırın.
$$Veriler söyler, hikayeler hissettirir — ve hatırlanan her zaman hissedilen.$$
&amp;&amp;Son önemli konuşmanızda kaç veri, kaç hikaye vardı? Bu dengeyi değiştirirseniz ne değişir?&amp;&amp;</x:v>
      </x:c>
      <x:c r="K409" s="37" t="str"/>
      <x:c r="L409" s="37" t="str"/>
      <x:c r="M409" s="37" t="str"/>
      <x:c r="N409" s="37" t="str"/>
      <x:c r="O409" s="37" t="str"/>
    </x:row>
    <x:row r="410" ht="20" customHeight="1">
      <x:c r="A410" s="33" t="n">
        <x:v>1467</x:v>
      </x:c>
      <x:c r="B410" s="34" t="str">
        <x:v>1</x:v>
      </x:c>
      <x:c r="C410" s="34" t="str">
        <x:v>İletişim</x:v>
      </x:c>
      <x:c r="D410" s="34" t="str">
        <x:v>İletişim</x:v>
      </x:c>
      <x:c r="E410" s="34" t="str">
        <x:v>Etkileyici Konuşma</x:v>
      </x:c>
      <x:c r="F410" s="34" t="str">
        <x:v>Carmine Gallo</x:v>
      </x:c>
      <x:c r="G410" s="34" t="str">
        <x:v>2014</x:v>
      </x:c>
      <x:c r="H410" s="37" t="str">
        <x:v>Kural yüzde elli sekiz</x:v>
      </x:c>
      <x:c r="I410" s="37" t="str">
        <x:v>Gallo, bir konuşmanın başarısının yüzde elli sekizinin ses tonundan, yüzde otuz beşinin beden dilinden, yalnızca yüzde yedisinin sözcüklerden geldiğini ve bu nedenle nasıl söylendiğinin ne söylendiğinden önemli olduğunu anlatıyor.</x:v>
      </x:c>
      <x:c r="J410" s="37" t="str">
        <x:v>Carmine Gallo bir araştırmayı öne çıkarıyor.
Albert Mehrabian'ın 1960'lardaki çalışması: İletişimin etkisi üç kaynaktan geliyor.
Sözcükler: Yüzde yedi.
Ses tonu: Yüzde otuz sekiz.
Beden dili: Yüzde elli beş.
Bu rakamlar çok tartışıldı. Bağlamdan bağımsız kullanılmamalı. Ama temel mesaj güçlü kalıyor.
##Gallo şöyle diyor: "İnsanlar ne söylediğinizi değil, nasıl hissettirdiğinizi hatırlar."##
Ve bunu pratik sunum becerisine dönüştürüyor.
Ses tonu: Bir konuşmacı monoton sesle konuştuğunda, içerik ne kadar güçlü olursa olsun dikkat kayboluyor. Ton değişimi, vurgu, tempo — bunlar dinleyiciyi uyanık tutuyor.
Beden dili: Gözleri kaçan, omuzları çökmüş, elleri ceplerinde duran konuşmacının mesajı güvenilmez algılanıyor. Açık beden dili güven veriyor.
Ve en önemli nokta: Bu şeyler çalışılabilir. Pratik yapılabilir. Yansıtıcı pratikle geliştirilebilir.
Gallo şunu söylüyor: TED konuşmacıları sahneye hazır çıkmıyor. Ortalama 200 saat hazırlanıyor.
$$Mesajınız güçlü olabilir — ama onu taşıyan ses ve beden o mesajı büyütür ya da küçültür.$$
&amp;&amp;Konuşurken ses tonunuza ve beden dilinize ne kadar dikkat ediyorsunuz? Bu konuda gerçekten pratik yaptınız mı?&amp;&amp;</x:v>
      </x:c>
      <x:c r="K410" s="37" t="str"/>
      <x:c r="L410" s="37" t="str"/>
      <x:c r="M410" s="37" t="str"/>
      <x:c r="N410" s="37" t="str"/>
      <x:c r="O410" s="37" t="str"/>
    </x:row>
    <x:row r="411" ht="20" customHeight="1">
      <x:c r="A411" s="33" t="n">
        <x:v>1468</x:v>
      </x:c>
      <x:c r="B411" s="34" t="str">
        <x:v>1</x:v>
      </x:c>
      <x:c r="C411" s="34" t="str">
        <x:v>Verimlilik</x:v>
      </x:c>
      <x:c r="D411" s="34" t="str">
        <x:v>Yaratıcılık</x:v>
      </x:c>
      <x:c r="E411" s="34" t="str">
        <x:v>Büyük Fikirler</x:v>
      </x:c>
      <x:c r="F411" s="34" t="str">
        <x:v>Steven Johnson</x:v>
      </x:c>
      <x:c r="G411" s="34" t="str">
        <x:v>2010</x:v>
      </x:c>
      <x:c r="H411" s="37" t="str">
        <x:v>Kahve evi ve fikir ekosistemi</x:v>
      </x:c>
      <x:c r="I411" s="37" t="str">
        <x:v>Johnson, 18. yüzyıl Londra kahve evlerinin neden o dönemin en büyük inovasyonlarının merkezi olduğunu ve bu mekânların nasıl fikir kesişimleri yarattığını anlatıyor.</x:v>
      </x:c>
      <x:c r="J411" s="37" t="str">
        <x:v>Steven Johnson 18. yüzyıl Londra'sına bakıyor.
Bu dönemde bir devrimin gerçekleştiğini görüyor. Bilim, edebiyat, felsefe, ekonomi — tüm alanlarda olağanüstü bir yaratıcılık patladı.
Peki nerede?
Kahve evlerinde.
Bu tesadüf değildi.
##Johnson şöyle açıklıyor: "Kahve evleri farklı mesleklerden, farklı geçmişlerden insanları aynı masada bir araya getirdi. Ve o masa, fikirlerin kesiştiği yerdi."##
Bir matbaacı, bir doktor, bir tüccar, bir mühendis aynı masada oturuyordu. Birbirlerinin sorunlarını duyuyor, fikirlerini paylaşıyordu.
Ve çoğu zaman bir alandaki çözüm başka bir alandan geliyordu.
Johnson bunu "fikir ekosistemleri" olarak tanımlıyor. Büyük fikirler çoğu zaman yalnız bir dahinin kafasında değil, farklı fikirlerin çarpışmasıyla doğuyor.
Modern araştırmalar bunu destekliyor: En yaratıcı çözümler, kendi alanı dışındaki bilgiye erişimi olan insanlardan çıkıyor.
"Serendipity" tesadüf değil, tasarlanabilir bir şey. Farklı düşünen insanlarla bağlantı kurmak, fikirlerin kesişme olasılığını artırıyor.
$$Büyük fikirler yalnız kafadan değil, fikirlerin kesiştiği ortamdan doğar.$$
&amp;&amp;Farklı alanlardan insanlarla ne kadar sık temas kuruyorsunuz? Son önemli fikriniz nerede ve nasıl doğdu?&amp;&amp;</x:v>
      </x:c>
      <x:c r="K411" s="37" t="str"/>
      <x:c r="L411" s="37" t="str"/>
      <x:c r="M411" s="37" t="str"/>
      <x:c r="N411" s="37" t="str"/>
      <x:c r="O411" s="37" t="str"/>
    </x:row>
    <x:row r="412" ht="20" customHeight="1">
      <x:c r="A412" s="33" t="n">
        <x:v>1469</x:v>
      </x:c>
      <x:c r="B412" s="34" t="str">
        <x:v>1</x:v>
      </x:c>
      <x:c r="C412" s="34" t="str">
        <x:v>Verimlilik</x:v>
      </x:c>
      <x:c r="D412" s="34" t="str">
        <x:v>Yaratıcılık</x:v>
      </x:c>
      <x:c r="E412" s="34" t="str">
        <x:v>Büyük Fikirler</x:v>
      </x:c>
      <x:c r="F412" s="34" t="str">
        <x:v>Steven Johnson</x:v>
      </x:c>
      <x:c r="G412" s="34" t="str">
        <x:v>2010</x:v>
      </x:c>
      <x:c r="H412" s="37" t="str">
        <x:v>Yavaş sezgi ve uzun kuluçka</x:v>
      </x:c>
      <x:c r="I412" s="37" t="str">
        <x:v>Johnson, en büyük keşiflerin ani bir 'aha' anı değil yıllarca bilinçdışında olgunlaşan fikirlerin bir gün yüzeye çıkması olduğunu ve bu süreci nasıl besleyebileceğimizi anlatıyor.</x:v>
      </x:c>
      <x:c r="J412" s="37" t="str">
        <x:v>Steven Johnson şöyle bir soru soruyor: "Aha" anları gerçekten ani midir?
Sezgi aniden geliyormuş gibi hissettiriyor. Newton'ın elma ağacı. Archimedes'in banyosu. Darwin'in evrim anı.
Ama bu hikayelerin arka planına bakıldığında farklı bir şey görülüyor.
Newton o elmayı görmeden yıllarca yer çekimi üzerine düşünüyordu. Archimedes yoğunluk sorunuyla haftalarca boğuşuyordu. Darwin güney Amerika'daki notlarını on beş yıl boyunca yorumluyordu.
##Johnson bunu "yavaş sezgi" olarak adlandırıyor: Bilinçdışı uzun süre bir sorunu kuluçkaya yatırır. Ani görünen "aha" anı aslında uzun bir arka plan çalışmasının yüzeye çıkmasıdır.##
Pratik sonuç şu: Yaratıcılık yalnızca bilinçli çaba gerektirmiyor. Kuluçka süreci de gerekiyor.
Bu neden önemli? Çünkü zorlu bir problemi aşırı odaklanarak çözmeye çalışmak bazen çözümü engeller. Ama bir süre bırakıp dönmek — yürüyüşe çıkmak, uyumak, başka bir şeyle meşgul olmak — bilinçdışı işleme alan açıyor.
Ve o işleme zaman zaman sürpriz bir çözümle yüzeye çıkıyor.
$$Zorlu fikirler baskı altında değil, boşluk içinde olgunlaşır.$$
&amp;&amp;Uzun süredir çözüm aradığınız bir problem için hiç "bırakıp dönmek" denediniz mi? Sonuç ne oldu?&amp;&amp;</x:v>
      </x:c>
      <x:c r="K412" s="37" t="str"/>
      <x:c r="L412" s="37" t="str"/>
      <x:c r="M412" s="37" t="str"/>
      <x:c r="N412" s="37" t="str"/>
      <x:c r="O412" s="37" t="str"/>
    </x:row>
    <x:row r="413" ht="20" customHeight="1">
      <x:c r="A413" s="33" t="n">
        <x:v>1470</x:v>
      </x:c>
      <x:c r="B413" s="34" t="str">
        <x:v>1</x:v>
      </x:c>
      <x:c r="C413" s="34" t="str">
        <x:v>Verimlilik</x:v>
      </x:c>
      <x:c r="D413" s="34" t="str">
        <x:v>Yaratıcılık</x:v>
      </x:c>
      <x:c r="E413" s="34" t="str">
        <x:v>Büyük Fikirler</x:v>
      </x:c>
      <x:c r="F413" s="34" t="str">
        <x:v>Steven Johnson</x:v>
      </x:c>
      <x:c r="G413" s="34" t="str">
        <x:v>2010</x:v>
      </x:c>
      <x:c r="H413" s="37" t="str">
        <x:v>Bitişen olasılıklar — sınırı genişletmek</x:v>
      </x:c>
      <x:c r="I413" s="37" t="str">
        <x:v>Johnson, her yeni inovasyon yeni inovasyon olanaklarını da beraberinde getirdiğini ve bu nedenle inovasyonun katlanarak büyüyen bir süreç olduğunu açıklıyor.</x:v>
      </x:c>
      <x:c r="J413" s="37" t="str">
        <x:v>Steven Johnson şöyle bir kavram geliştiriyor: "Adjacent possible" — bitişen olasılıklar.
Bir düşünce deneyi: 1850'de iPhone'u icat edebilir miydiniz?
Hayır. Çünkü transistor yoktu. Entegre devre yoktu. İnternet yoktu. Bunlar henüz icat edilmemişti.
Ama 1950'de transistoru icat edebilirdiniz. Çünkü yarı iletkenler vardı.
##Johnson şöyle diyor: "Her çağın 'bitişen olasılıklar' alanı var. Bu alan mevcut bilgi ve teknolojinin ulaşabileceği bir sonraki adımı gösteriyor."##
Bir kapı açıldığında, o kapının arkasından yeni kapılar görünür oluyor.
Ve bu hem tarihin hem inovasyonun nasıl ilerlediğini açıklıyor.
Bunun pratik anlamı şu: Sizi hayal kırıklığına uğratan "neden bunu daha önce icat etmedim?" sorusunun cevabı çoğu zaman şu: Çünkü gerekli diğer bileşenler henüz hazır değildi.
Bir fikir "zamanlamasından önce" olabilir. Ve zamanlaması geldiğinde — eğer siz onu inşa etmezseniz, başkası inşa edecek.
Johnson'ın mesajı: Mevcut bilgi sınırlarının hemen ötesine bakın. Orada henüz birileri çözmemiş ama çözülebilir bir şey var.
$$İnovasyon tesadüf değil — mevcut olasılıkların sınırını görmek ve bir adım ötesine geçmek.$$
&amp;&amp;Şu an kendi alanınızda "bitişen olasılık" olarak gördüğünüz — var olan şeylerin üzerine inşa edilebilecek — bir şey var mı?&amp;&amp;</x:v>
      </x:c>
      <x:c r="K413" s="37" t="str"/>
      <x:c r="L413" s="37" t="str"/>
      <x:c r="M413" s="37" t="str"/>
      <x:c r="N413" s="37" t="str"/>
      <x:c r="O413" s="37" t="str"/>
    </x:row>
    <x:row r="414" ht="20" customHeight="1">
      <x:c r="A414" s="33" t="n">
        <x:v>1471</x:v>
      </x:c>
      <x:c r="B414" s="34" t="str">
        <x:v>1</x:v>
      </x:c>
      <x:c r="C414" s="34" t="str">
        <x:v>Verimlilik</x:v>
      </x:c>
      <x:c r="D414" s="34" t="str">
        <x:v>Verimlilik</x:v>
      </x:c>
      <x:c r="E414" s="34" t="str">
        <x:v>Dinlenmenin Gücü</x:v>
      </x:c>
      <x:c r="F414" s="34" t="str">
        <x:v>Alex Soojung-Kim Pang</x:v>
      </x:c>
      <x:c r="G414" s="34" t="str">
        <x:v>2016</x:v>
      </x:c>
      <x:c r="H414" s="37" t="str">
        <x:v>Darwin'in yürüyüş yolu</x:v>
      </x:c>
      <x:c r="I414" s="37" t="str">
        <x:v>Pang, Darwin'in her gün düzenli olarak yürüyüş yapmasının bir alışkanlık değil bilimsel metodolojisinin parçası olduğunu ve dinlenmenin onun en büyük çalışma aracı olduğunu anlatıyor.</x:v>
      </x:c>
      <x:c r="J414" s="37" t="str">
        <x:v>Alex Soojung-Kim Pang Darwin'in günlük rutinine bakıyor.
Darwin sabah sekizde kalkar, dokuzda çalışmaya başlar ve on buçuğa kadar yazardı. Sonra bırakırdı.
Bir buçuk saat.
Sonra postayı okurdu. Sonra yürüyüşe çıkardı. Sonra dinlenirdi. Sonra yemek. Sonra bitkilerini sulardı. Sonra okurdu. Sonra uyurdu.
Günde toplam dört ila beş saat çalışırdı.
##Ama Darwin tarihinin en üretken bilim insanlarından biriydi. Onlarca kitap. Yüzlerce makale. Evrim teorisi.##
Pang bu gözlemi yüzlerce büyük yaratıcıya uyguladı. Hemingway. Beethoven. Simone de Beauvoir. Charles Dickens. Hepsi günde dört ila beş saat yoğun çalışır, geri kalanı dinlenmeye ayırırdı.
Bu tesadüf değil. Pang'ın argümanı: Yaratıcı çalışma derin konsantrasyon gerektiriyor. Ve derin konsantrasyon beyin için çok yüksek enerji tüketiyor.
Dört beş saatten sonra o kapasite tükeniyor. Daha fazla oturmak üretkenlik yaratmıyor — sadece düşük kaliteli çalışma.
Ve dinlenme boşluk değil. Beyin işlemeye devam ediyor.
$$Daha az ama derin çalışmak, daha çok ama dağınık çalışmaktan her zaman üstündür.$$
&amp;&amp;Günde kaç saat gerçekten derin, odaklanmış çalışıyorsunuz? Geri kalanı ne kadar gerçekten üretken?&amp;&amp;</x:v>
      </x:c>
      <x:c r="K414" s="37" t="str"/>
      <x:c r="L414" s="37" t="str"/>
      <x:c r="M414" s="37" t="str"/>
      <x:c r="N414" s="37" t="str"/>
      <x:c r="O414" s="37" t="str"/>
    </x:row>
    <x:row r="415" ht="20" customHeight="1">
      <x:c r="A415" s="33" t="n">
        <x:v>1472</x:v>
      </x:c>
      <x:c r="B415" s="34" t="str">
        <x:v>1</x:v>
      </x:c>
      <x:c r="C415" s="34" t="str">
        <x:v>Verimlilik</x:v>
      </x:c>
      <x:c r="D415" s="34" t="str">
        <x:v>Verimlilik</x:v>
      </x:c>
      <x:c r="E415" s="34" t="str">
        <x:v>Dinlenmenin Gücü</x:v>
      </x:c>
      <x:c r="F415" s="34" t="str">
        <x:v>Alex Soojung-Kim Pang</x:v>
      </x:c>
      <x:c r="G415" s="34" t="str">
        <x:v>2016</x:v>
      </x:c>
      <x:c r="H415" s="37" t="str">
        <x:v>Uyku ve yaratıcı problem çözme</x:v>
      </x:c>
      <x:c r="I415" s="37" t="str">
        <x:v>Pang, uykunun edilgen bir dinlenme değil aktif bir yaratıcı süreç olduğunu ve uyku sırasında beynin bağlantısız görünen fikirleri nasıl birleştirdiğini anlatıyor.</x:v>
      </x:c>
      <x:c r="J415" s="37" t="str">
        <x:v>Alex Soojung-Kim Pang uyku araştırmalarına dalıyor.
Otto Loewi 1903'te bir şeyin var olduğuna inandı ama kanıtlayamıyordu.
Yıllar geçti. 1920'de bir gece uyandı. Aklında net bir deney tasarımı vardı. Notlar aldı ve tekrar uyudu.
Sabah notlara baktı. Hiçbirini okuyamıyordu.
Bir sonraki gece aynı şey oldu. Bu sefer laboratuvara gitti ve deneyi yaptı.
Bu deneyle sinir iletiminde kimyasal mesajcıları keşfetti. Nobel Ödülü kazandı.
##Pang şöyle açıklıyor: "Uyku sırasında beyin gün içinde birbiriyle bağlantısız olan fikirleri birleştiriyor. 'Aha' anları çoğu zaman bu birleştirmenin bilinç yüzeyine çıkmasıdır."##
Modern nörobilim bunu destekliyor. Hızlı Göz Hareketi uyku döneminde beyin uzak bağlantıları araştırıyor. Mantıksal düşüncede bastırılan olası bağlantılar serbestçe keşfediliyor.
Bu neden önemli? Çünkü "yarın sabah bak" tavsiyesi bilimsel temele sahip. Zor bir sorunla yatmak, beynin gece onu işlemesine izin vermek gerçekten işe yarıyor.
$$Uyku edilgen dinlenme değil — aktif yaratıcı süreçtir.$$
&amp;&amp;Zor bir sorunla yatıp sabah farklı bir bakış açısıyla uyandığınız bir an oldu mu?&amp;&amp;</x:v>
      </x:c>
      <x:c r="K415" s="37" t="str"/>
      <x:c r="L415" s="37" t="str"/>
      <x:c r="M415" s="37" t="str"/>
      <x:c r="N415" s="37" t="str"/>
      <x:c r="O415" s="37" t="str"/>
    </x:row>
    <x:row r="416" ht="20" customHeight="1">
      <x:c r="A416" s="33" t="n">
        <x:v>1473</x:v>
      </x:c>
      <x:c r="B416" s="34" t="str">
        <x:v>1</x:v>
      </x:c>
      <x:c r="C416" s="34" t="str">
        <x:v>Verimlilik</x:v>
      </x:c>
      <x:c r="D416" s="34" t="str">
        <x:v>Verimlilik</x:v>
      </x:c>
      <x:c r="E416" s="34" t="str">
        <x:v>Dinlenmenin Gücü</x:v>
      </x:c>
      <x:c r="F416" s="34" t="str">
        <x:v>Alex Soojung-Kim Pang</x:v>
      </x:c>
      <x:c r="G416" s="34" t="str">
        <x:v>2016</x:v>
      </x:c>
      <x:c r="H416" s="37" t="str">
        <x:v>Derin oyun ve yenileme</x:v>
      </x:c>
      <x:c r="I416" s="37" t="str">
        <x:v>Pang, en üretken insanların çalışmayan zamanlarını da çalışmaları gibi kasıtlı ve yoğun geçirdiğini ve bu 'derin oyunun' yaratıcı kapasiteyi nasıl yenilediğini anlatıyor.</x:v>
      </x:c>
      <x:c r="J416" s="37" t="str">
        <x:v>Alex Soojung-Kim Pang başarılı insanların hobilerini inceledi.
Ve şaşırtıcı bir örüntü buldu.
Winston Churchill resim yapardı. Richard Feynman bongo davul çalardı. Einstein keman çalardı. Darwin botanikle ilgilenirdi.
Bunlar "boş zaman doldurmak" için yapılan şeyler değildi. Ciddi, yoğun, sürekli pratik gerektiren etkinlikler.
##Pang buna "derin oyun" diyor: "Çalışma gibi yoğun ama farklı bir alanda gerçekleştirilen, derin bir katılım gerektiren etkinlikler."##
Neden bu işe yarıyor?
Çünkü yalnızca dinlenmek bazen yeterli değil. Beyin başarısız olmaya devam ettiğinde, pasif dinlenme o döngüyü sürdürüyor.
Ama farklı bir alanda yoğun bir etkinlik, zihni tamamen farklı bir sorunla meşgul ediyor. Ve bu meşguliyet, asıl problemden uzaklaşmayı — gerçek bir yenilenmeyi — mümkün kılıyor.
Churchill savaş kararları verirken tükendiğinde resim yapmaya giderdi. "Resim benim için gerçek bir terapist" derdi.
Boş zaman geçirmiyordu. Farklı biçimde çalışıyordu.
$$Gerçek dinlenme edilgenlik değil — farklı bir derinlikte etkinlik.$$
&amp;&amp;Çalışma dışında gerçekten daldığınız, kendinizi kaybettiğiniz bir etkinlik var mı? O etkinlik size ne veriyor?&amp;&amp;</x:v>
      </x:c>
      <x:c r="K416" s="37" t="str"/>
      <x:c r="L416" s="37" t="str"/>
      <x:c r="M416" s="37" t="str"/>
      <x:c r="N416" s="37" t="str"/>
      <x:c r="O416" s="37" t="str"/>
    </x:row>
    <x:row r="417" ht="20" customHeight="1">
      <x:c r="A417" s="33" t="n">
        <x:v>1474</x:v>
      </x:c>
      <x:c r="B417" s="34" t="str">
        <x:v>1</x:v>
      </x:c>
      <x:c r="C417" s="34" t="str">
        <x:v>Tarih</x:v>
      </x:c>
      <x:c r="D417" s="34" t="str">
        <x:v>Tarih</x:v>
      </x:c>
      <x:c r="E417" s="34" t="str">
        <x:v>İnsanlığın Kısa Tarihi</x:v>
      </x:c>
      <x:c r="F417" s="34" t="str">
        <x:v>Yuval Noah Harari</x:v>
      </x:c>
      <x:c r="G417" s="34" t="str">
        <x:v>2011</x:v>
      </x:c>
      <x:c r="H417" s="37" t="str">
        <x:v>Bilişsel devrim ve hayali gerçeklikler</x:v>
      </x:c>
      <x:c r="I417" s="37" t="str">
        <x:v>Harari, Homo sapiens'in diğer hayvan türlerini geçmesinin sırrının büyük gruplarda işbirliği yapabilmesine olanak tanıyan 'ortak kurgu' inşa etme kapasitesi olduğunu anlatıyor.</x:v>
      </x:c>
      <x:c r="J417" s="37" t="str">
        <x:v>Yuval Noah Harari şöyle bir soru soruyor.
Bir şempanze ile bir çalışan arasındaki temel fark ne?
Şempanzeler de sosyal hayvanlar. Yalan söyleyebiliyorlar. Küçük gruplarda işbirliği yapabiliyorlar.
Ama hiçbir şempanze "Tanrı" ya da "insan hakları" ya da "para" fikri etrafında bir milyar kişiyle işbirliği yapamıyor.
##Harari şöyle diyor: "Homo sapiens'in en büyük başarısı gerçek olmayan şeylere inanma kapasitesi."##
Para kağıt parçası. Ama herkes ona değer verdiği sürece işlev görüyor.
Ulus sınırları haritada çizgiler. Ama herkes onlara saygı gösterdiği sürece gerçek.
İnsan hakları fiziksel bir nesne değil. Ama herkes onlara inandığı sürece insanları koruyor.
Harari bu fikirleri "ortak kurgu" olarak tanımlıyor. Ve bu kurguların inşa etme kapasitesi, insanlığı milyonlarca kişinin koordinasyon halinde çalıştığı muazzam organizasyonlar kurmasına izin verdi.
Bu hem büyüleyici hem de düşündürücü. Çünkü medeniyetimizin temelleri paylaşılan kurgu üzerine inşa edilmiş.
$$İnsanlığın en büyük gücü gerçek olmayan şeylere birlikte inanabilme kapasitesidir.$$
&amp;&amp;Günlük hayatınızda "gerçek" saydığınız ama aslında paylaşılan bir inancın ürünü olan şeyler neler?&amp;&amp;</x:v>
      </x:c>
      <x:c r="K417" s="37" t="str"/>
      <x:c r="L417" s="37" t="str"/>
      <x:c r="M417" s="37" t="str"/>
      <x:c r="N417" s="37" t="str"/>
      <x:c r="O417" s="37" t="str"/>
    </x:row>
    <x:row r="418" ht="20" customHeight="1">
      <x:c r="A418" s="33" t="n">
        <x:v>1475</x:v>
      </x:c>
      <x:c r="B418" s="34" t="str">
        <x:v>1</x:v>
      </x:c>
      <x:c r="C418" s="34" t="str">
        <x:v>Tarih</x:v>
      </x:c>
      <x:c r="D418" s="34" t="str">
        <x:v>Tarih</x:v>
      </x:c>
      <x:c r="E418" s="34" t="str">
        <x:v>İnsanlığın Kısa Tarihi</x:v>
      </x:c>
      <x:c r="F418" s="34" t="str">
        <x:v>Yuval Noah Harari</x:v>
      </x:c>
      <x:c r="G418" s="34" t="str">
        <x:v>2011</x:v>
      </x:c>
      <x:c r="H418" s="37" t="str">
        <x:v>Tarım devrimi — insanlığın en büyük aldatmacası</x:v>
      </x:c>
      <x:c r="I418" s="37" t="str">
        <x:v>Harari, tarımın insanlığı özgürleştirdiği efsanesini yıkarak onu aslında daha uzun çalışma saatleri, daha kötü sağlık ve daha az özgürlükle sonuçlanan bir tuzak olarak değerlendiriyor.</x:v>
      </x:c>
      <x:c r="J418" s="37" t="str">
        <x:v>Yuval Noah Harari tarihin en büyük yanılgılarından birini ele alıyor.
"Tarım devrimi insanlığı özgürleştirdi."
Harari karşı argüman yapıyor.
Avcı-toplayıcı insanlar günde ortalama dört ile altı saat çalışırdı. Çeşitli beslenirdi. Serbest zamanları vardı.
Tarıma geçişten sonra ne oldu?
Daha uzun çalışma saatleri. Daha tekrarlayan hareketler. Daha kötü beslenme. Daha fazla hastalık — hem hayvanlardan hem kalabalık yaşamdan. Daha az özgürlük.
##"Tarım devrimi insanlığı özgürleştirmedi" diyor Harari. "İnsanlığı buğdaya, pirince ve patatese köle yaptı."##
Ama bu devrim nasıl yayıldı? Harari bunu şöyle açıklıyor: Tarım daha kötü yaşam kalitesi sundu ama daha fazla nüfusu besledi.
Ve daha fazla nüfus, daha fazla güç. Tarım toplumları avcı-toplayıcıları sayısal üstünlükle ezdiler.
Bireyler için daha kötüydü. Kolektif yayılma için daha iyiydi.
Harari bunu modern hayata taşıyor: Çoğu zaman "ilerleme" dediğimiz şeyler bireylerin refahını değil, kolektif büyümeyi optimize ediyor.
$$İlerleme her zaman bireysel refahı artırmaz — bazen onu feda eder.$$
&amp;&amp;Hayatınızda, bireysel mutluluğunuz yerine "kolektif ilerleme" için kabul ettiğiniz bir fedakarlık var mı?&amp;&amp;</x:v>
      </x:c>
      <x:c r="K418" s="37" t="str"/>
      <x:c r="L418" s="37" t="str"/>
      <x:c r="M418" s="37" t="str"/>
      <x:c r="N418" s="37" t="str"/>
      <x:c r="O418" s="37" t="str"/>
    </x:row>
    <x:row r="419" ht="20" customHeight="1">
      <x:c r="A419" s="33" t="n">
        <x:v>1476</x:v>
      </x:c>
      <x:c r="B419" s="34" t="str">
        <x:v>1</x:v>
      </x:c>
      <x:c r="C419" s="34" t="str">
        <x:v>Tarih</x:v>
      </x:c>
      <x:c r="D419" s="34" t="str">
        <x:v>Tarih</x:v>
      </x:c>
      <x:c r="E419" s="34" t="str">
        <x:v>İnsanlığın Kısa Tarihi</x:v>
      </x:c>
      <x:c r="F419" s="34" t="str">
        <x:v>Yuval Noah Harari</x:v>
      </x:c>
      <x:c r="G419" s="34" t="str">
        <x:v>2011</x:v>
      </x:c>
      <x:c r="H419" s="37" t="str">
        <x:v>Mutluluk ve anlam — tarihsel perspektif</x:v>
      </x:c>
      <x:c r="I419" s="37" t="str">
        <x:v>Harari, Homo sapiens'in tarihin en güçlü ve en zengin döneminde yaşamasına rağmen neden ortalama mutluluğun arttığı konusunda şüpheli olduğunu anlatıyor.</x:v>
      </x:c>
      <x:c r="J419" s="37" t="str">
        <x:v>Yuval Noah Harari tarihin sonunda bir soru soruyor.
İnsanlık olağanüstü bir ilerleme kaydetti. Ölümlü hastalıkları yendi. Açlığı büyük ölçüde azalttı. Şiddet tarihsel olarak düşüş yaşıyor. Teknoloji mucizeler üretiyor.
Peki insanlar daha mutlu mu?
Harari şüpheci.
##"Refah mutluluk değil" diyor. "Ve tarih boyunca insanların ne kadar mutlu olduğu, ne kadar iyi beslendiği ya da ne kadar uzun yaşadığıyla belirlenmiyor."##
Harari iki faktörün mutluluğu belirler gibi göründüğünü söylüyor.
Birincisi: Beklentiler. Orta Çağ köylüsü elektrik olmadığını bilmiyordu. Siz elektriği biliyorsunuz — kesilince acı çekiyorsunuz. Refah arttıkça beklentiler de artıyor.
İkincisi: Anlam. Tarihteki pek çok insan anlam odaklı bir hayat sürdü. Toplum, din, gelenek bir çerçeve sunuyordu.
Modern bireycilik daha fazla özgürlük verdi. Ama aynı zamanda anlam çerçevelerini zayıflattı.
Harari şunu soruyor: Özgürlük ile anlam arasındaki dengeyi doğru kuruyor muyuz?
$$Refah artarken mutluluk otomatik artmaz — çünkü mutluluk anlamla ilgilidir, koşullarla değil.$$
&amp;&amp;Şu an yaşadığınız dönemin tarihsel ayrıcalıklarını gerçekten takdir ediyor musunuz? Yoksa beklentiler refahı gölgeliyor mu?&amp;&amp;</x:v>
      </x:c>
      <x:c r="K419" s="37" t="str"/>
      <x:c r="L419" s="37" t="str"/>
      <x:c r="M419" s="37" t="str"/>
      <x:c r="N419" s="37" t="str"/>
      <x:c r="O419" s="37" t="str"/>
    </x:row>
    <x:row r="420" ht="20" customHeight="1">
      <x:c r="A420" s="33" t="n">
        <x:v>1477</x:v>
      </x:c>
      <x:c r="B420" s="34" t="str">
        <x:v>1</x:v>
      </x:c>
      <x:c r="C420" s="34" t="str">
        <x:v>Bilim</x:v>
      </x:c>
      <x:c r="D420" s="34" t="str">
        <x:v>Gelecek</x:v>
      </x:c>
      <x:c r="E420" s="34" t="str">
        <x:v>Homo Deus</x:v>
      </x:c>
      <x:c r="F420" s="34" t="str">
        <x:v>Yuval Noah Harari</x:v>
      </x:c>
      <x:c r="G420" s="34" t="str">
        <x:v>2015</x:v>
      </x:c>
      <x:c r="H420" s="37" t="str">
        <x:v>Ölümsüzlük projesi</x:v>
      </x:c>
      <x:c r="I420" s="37" t="str">
        <x:v>Harari, Silicon Valley'in en büyük şirketlerinin ölümü bir mühendislik problemi olarak ele aldığını ve insanlığın bu hedefe yaklaşırken ortaya çıkan derin felsefi soruları anlatıyor.</x:v>
      </x:c>
      <x:c r="J420" s="37" t="str">
        <x:v>Yuval Noah Harari 2015'te şaşırtıcı bir gözlem yapıyor.
Google'ın kurucularından Larry Page ve Sergey Brin, Calico adında bir şirket kurdu.
Misyon: Ölümü yenmek.
Bu bir metafor değildi. Google Ventures milyarlarca dolar yatırım yaptı. En iyi biyologları, genetikçileri, yapay zeka uzmanlarını topladı.
Amaç açıktı: Ölümü bir mühendislik problemi olarak çözmek.
##Harari şöyle diyor: "İnsanlık tarihte ilk kez ölümü kaçınılmaz değil, teknik bir sorun olarak ele alıyor."##
Bu düşünce deneyi ilginç sorular açıyor.
Eğer ölüm çözülürse, kim yaşar? Teknolojiye erişimi olan mı? Ve bu olağanüstü eşitsizlik ne anlama gelir?
Harari daha da ileri gidiyor: Ölümsüzlük, dini ve ideolojik çerçeveleri kökünden dönüştürür. Çünkü pek çok inanç sistemi ölümü anlamlı kılar — "bu dünya geçici" fikri üzerine inşa edilir.
Ölüm olmadığında anlam nerede?
Bu sorular cevapsız. Ama Harari'nin hedefi cevap vermek değil: Önümüzdeki en büyük soruları görmek.
$$İnsanlık en büyük başarılarını peşinde koşarken, aynı zamanda en büyük sorularıyla yüzleşiyor.$$
&amp;&amp;Eğer ölümsüz olsaydınız, hayatınızı nasıl farklı yaşardınız? Bugünkü seçimleriniz değişir miydi?&amp;&amp;</x:v>
      </x:c>
      <x:c r="K420" s="37" t="str"/>
      <x:c r="L420" s="37" t="str"/>
      <x:c r="M420" s="37" t="str"/>
      <x:c r="N420" s="37" t="str"/>
      <x:c r="O420" s="37" t="str"/>
    </x:row>
    <x:row r="421" ht="20" customHeight="1">
      <x:c r="A421" s="33" t="n">
        <x:v>1478</x:v>
      </x:c>
      <x:c r="B421" s="34" t="str">
        <x:v>1</x:v>
      </x:c>
      <x:c r="C421" s="34" t="str">
        <x:v>Bilim</x:v>
      </x:c>
      <x:c r="D421" s="34" t="str">
        <x:v>Gelecek</x:v>
      </x:c>
      <x:c r="E421" s="34" t="str">
        <x:v>Homo Deus</x:v>
      </x:c>
      <x:c r="F421" s="34" t="str">
        <x:v>Yuval Noah Harari</x:v>
      </x:c>
      <x:c r="G421" s="34" t="str">
        <x:v>2015</x:v>
      </x:c>
      <x:c r="H421" s="37" t="str">
        <x:v>Veri dini ve algoritmik otorite</x:v>
      </x:c>
      <x:c r="I421" s="37" t="str">
        <x:v>Harari, insanlığın giderek kararları tanrılara ya da liderlere değil algoritmalara bırakmaya başladığını ve bu geçişin demokrasi ve özgür irade için ne anlama geldiğini anlatıyor.</x:v>
      </x:c>
      <x:c r="J421" s="37" t="str">
        <x:v>Yuval Noah Harari şöyle bir soru soruyor.
"Kendinizi kim daha iyi tanır? Siz mi, Google mu?"
Kulağa provokasyon gibi geliyor. Ama Harari ciddi.
Google sizin her aramanızı, her tıklamanızı, her satın alımınızı, her konumunuzu biliyor. Yıllarca.
Siz kendi davranışlarınızı bu kadar sistematik izliyor musunuz?
##"Dataizm" diyor Harari — insanlığın giderek kararları ve otoriteyi algoritmalara bıraktığı yeni bir din gibi sistem.##
Tıp alanında: Bir doktor sizi muayene eder. Ama yapay zeka radyologları zaten bazı kanserleri doktordan daha erken ve daha doğru tespit ediyor.
Müzik alanında: Spotify sizin dinleme alışkanlıklarınızı analiz ederek beğeneceğiniz şeyleri tahmin ediyor. Çoğu zaman doğru.
Evlilik alanında: Matching algoritmaları büyük ölçekte partner önerisi yapıyor.
Harari şunu soruyor: Algoritmalara ne kadar güvenmeliyiz? Ve güvendiğimizde, özgür irade ne anlama geliyor?
Bu bir teknoloji eleştirisi değil. Bir uyanış daveti.
$$Kararlarınızı kim veriyor — sizin değerleriniz mi, algoritmanın önerileri mi?&amp;&amp;&amp;&amp;
&amp;&amp;Son önemli kararınızı düşünün — kariyer, ilişki, satın alma. Algoritmalar ya da veriler ne kadar rol oynadı?&amp;&amp;</x:v>
      </x:c>
      <x:c r="K421" s="37" t="str"/>
      <x:c r="L421" s="37" t="str"/>
      <x:c r="M421" s="37" t="str"/>
      <x:c r="N421" s="37" t="str"/>
      <x:c r="O421" s="37" t="str"/>
    </x:row>
    <x:row r="422" ht="20" customHeight="1">
      <x:c r="A422" s="33" t="n">
        <x:v>1479</x:v>
      </x:c>
      <x:c r="B422" s="34" t="str">
        <x:v>1</x:v>
      </x:c>
      <x:c r="C422" s="34" t="str">
        <x:v>Bilim</x:v>
      </x:c>
      <x:c r="D422" s="34" t="str">
        <x:v>Gelecek</x:v>
      </x:c>
      <x:c r="E422" s="34" t="str">
        <x:v>Homo Deus</x:v>
      </x:c>
      <x:c r="F422" s="34" t="str">
        <x:v>Yuval Noah Harari</x:v>
      </x:c>
      <x:c r="G422" s="34" t="str">
        <x:v>2015</x:v>
      </x:c>
      <x:c r="H422" s="37" t="str">
        <x:v>Özgür irade yanılsaması</x:v>
      </x:c>
      <x:c r="I422" s="37" t="str">
        <x:v>Harari, nörobilim araştırmalarının özgür iradenin bir yanılsama olabileceğini gösterdiğini ve bu bulgunun hukuk, etik ve kimlik anlayışımızı nasıl dönüştürebileceğini anlatıyor.</x:v>
      </x:c>
      <x:c r="J422" s="37" t="str">
        <x:v>Yuval Noah Harari nörobilimin rahatsız edici bir bulgusundan söz ediyor.
Benjamin Libet'in deneyi: Denekler istedikleri zaman bir düğmeye basacak. Bir elektrot ellerindeki hareketi ölçüyor. EEG ise beyin aktivitesini.
Sonuç şaşırtıcıydı.
Beyin, kişi bilinçli olarak "basayım" kararı vermeden 300 ila 500 milisaniye önce aktive oluyordu.
##Harari bunu şöyle yorumluyor: "Bilinçli karar verme sürecinden önce beyin zaten hazırlanmıştı. 'Ben' kararı vermeden önce, 'beyin' kararı vermişti."##
Bu özgür iradenin bir yanılsama olduğunu kanıtlamıyor. Ama soruyu ciddi biçimde derinleştiriyor.
Ve Harari bu soruyu hukuk, siyaset ve ekonomiye taşıyor.
Eğer kararlarımız büyük ölçüde genlerin, yetiştiriliş biçimimizin ve nörolojik önceki aktivitelerinin sonucuysa — suç nedir? Ceza neden verilir? Kişisel sorumluluk nasıl tanımlanır?
Harari cevap vermiyor. Ama şunu söylüyor: Bu soruları görmezden gelmek artık mümkün değil.
$$"Ben" kararı verdiğimi sanıyorum — ama o "ben"in ne olduğu giderek daha belirsiz hale geliyor.$$
&amp;&amp;Bir kararın gerçekten "sizin" olduğunu nasıl biliyorsunuz? Bu soruyu düşünmek sizi nasıl hissettiriyor?&amp;&amp;</x:v>
      </x:c>
      <x:c r="K422" s="37" t="str"/>
      <x:c r="L422" s="37" t="str"/>
      <x:c r="M422" s="37" t="str"/>
      <x:c r="N422" s="37" t="str"/>
      <x:c r="O422" s="37" t="str"/>
    </x:row>
    <x:row r="423" ht="20" customHeight="1">
      <x:c r="A423" s="33" t="n">
        <x:v>1480</x:v>
      </x:c>
      <x:c r="B423" s="34" t="str">
        <x:v>1</x:v>
      </x:c>
      <x:c r="C423" s="34" t="str">
        <x:v>Tarih</x:v>
      </x:c>
      <x:c r="D423" s="34" t="str">
        <x:v>Güncel</x:v>
      </x:c>
      <x:c r="E423" s="34" t="str">
        <x:v>21. Yüzyıl İçin 21 Ders</x:v>
      </x:c>
      <x:c r="F423" s="34" t="str">
        <x:v>Yuval Noah Harari</x:v>
      </x:c>
      <x:c r="G423" s="34" t="str">
        <x:v>2018</x:v>
      </x:c>
      <x:c r="H423" s="37" t="str">
        <x:v>Yapay zeka ve iş gücünün geleceği</x:v>
      </x:c>
      <x:c r="I423" s="37" t="str">
        <x:v>Harari, yapay zekanın yalnızca rutin işleri değil pek çok bilişsel işi de otomatize etmeye başlamasının yarattığı dönüşümü ve insanlığın bu geçişe nasıl hazırlanması gerektiğini anlatıyor.</x:v>
      </x:c>
      <x:c r="J423" s="37" t="str">
        <x:v>Yuval Noah Harari şöyle bir senaryo sunuyor.
18. yüzyılda sanayi devrimi pek çok tarım işçisini işsiz bıraktı. Ama aynı zamanda fabrika işçiliği doğdu. İnsanlar yeni alana geçti.
20. yüzyılda makineler pek çok fiziksel işi devraldı. Ama hizmet sektörü patladı. İnsanlar tekrar adapte oldu.
Şimdi yapay zeka hem fiziksel hem bilişsel işleri devralmaya başlıyor.
##"Bu sefer fark şu" diyor Harari. "Daha önce makineler belirli görevleri yapabiliyordu. Şimdi öğrenebilen makineler genel adaptasyon kapasitesi kazanıyor."##
Ve soru şu: Bu sefer de insanlar yeni alanlara geçebilecek mi?
Harari iyimser değil ama çözümsüz de değil. Şunu söylüyor: Piyasanın çözemeyeceği büyük bir dönüşüm bu. Eğitim sistemleri radikal biçimde değişmeli.
Ama ne öğretilmeli? Harari'nin cevabı: Teknik beceriler değil. Çünkü teknik beceriler zaten eskiyor.
Öğretilmesi gereken: Belirsizlikle başa çıkmak. Öğrenmeyi öğrenmek. Duygusal dayanıklılık. Eleştirel düşünme.
$$Teknik beceriler değil, öğrenme kapasitesi — geleceğin asıl para birimi.$$
&amp;&amp;Şu anki kariyerinizde hangi becerileriniz 10 yıl içinde hâlâ değerli olacak? Bunu gerçekten düşündünüz mü?&amp;&amp;</x:v>
      </x:c>
      <x:c r="K423" s="37" t="str"/>
      <x:c r="L423" s="37" t="str"/>
      <x:c r="M423" s="37" t="str"/>
      <x:c r="N423" s="37" t="str"/>
      <x:c r="O423" s="37" t="str"/>
    </x:row>
    <x:row r="424" ht="20" customHeight="1">
      <x:c r="A424" s="33" t="n">
        <x:v>1481</x:v>
      </x:c>
      <x:c r="B424" s="34" t="str">
        <x:v>1</x:v>
      </x:c>
      <x:c r="C424" s="34" t="str">
        <x:v>Tarih</x:v>
      </x:c>
      <x:c r="D424" s="34" t="str">
        <x:v>Güncel</x:v>
      </x:c>
      <x:c r="E424" s="34" t="str">
        <x:v>21. Yüzyıl İçin 21 Ders</x:v>
      </x:c>
      <x:c r="F424" s="34" t="str">
        <x:v>Yuval Noah Harari</x:v>
      </x:c>
      <x:c r="G424" s="34" t="str">
        <x:v>2018</x:v>
      </x:c>
      <x:c r="H424" s="37" t="str">
        <x:v>Dezenformasyon çağı ve gerçeği bulmak</x:v>
      </x:c>
      <x:c r="I424" s="37" t="str">
        <x:v>Harari, insanlığın tarihte hiç bu kadar çok bilgiye erişimi olmadığını ama aynı zamanda gerçeği yanlıştan ayırt etmenin de bu kadar zor olmadığını anlatıyor.</x:v>
      </x:c>
      <x:c r="J424" s="37" t="str">
        <x:v>Yuval Noah Harari şaşırtıcı bir gözlem yapıyor.
Tarihte hiçbir nesil bu kadar çok bilgiye bu kadar kolay erişemedi.
Ama aynı zamanda: Yanlış bilgi de bu kadar hızlı yayılmıyordu.
Cambridge Analytica skandalı. COVID-19 aşı yanlışları. Deepfake videolar.
##"Sorun bilgi eksikliği değil" diyor Harari. "Sorun hangi bilgiye güveneceğimizi bilmemek."##
Ve daha da derin bir sorun: Beyin bu tür sorunlar için tasarlanmamış.
Beyin, milyonlarca yılda küçük gruplarda yaşayan sosyal bir hayvan için evrildi. Kabile liderinin söylediklerine güvenmek genellikle iyi bir stratejiydi.
Ama artık milyarlarca insanın bilgi ürettiği bir dünyada yaşıyoruz. Ve "güven ama doğrula" refleksi gelişmemiş.
Harari şöyle diyor: Medya okuryazarlığı artık hayatta kalma becerisi. Hem bireysel hem toplumsal düzeyde.
Ve en güçlü savunma şu: Kendi inançlarınızı sorgulamak. Sizi rahatsız eden görüşleri aramak. Eko odanızdan çıkmak.
$$Bilgiye erişim değil, bilgiyi doğrulama kapasitesi — asıl güç bu.$$
&amp;&amp;Son önemli inancınızı ne zaman aktif olarak sorguladınız? Karşı argümanları ciddiye aldınız mı?&amp;&amp;</x:v>
      </x:c>
      <x:c r="K424" s="37" t="str"/>
      <x:c r="L424" s="37" t="str"/>
      <x:c r="M424" s="37" t="str"/>
      <x:c r="N424" s="37" t="str"/>
      <x:c r="O424" s="37" t="str"/>
    </x:row>
    <x:row r="425" ht="20" customHeight="1">
      <x:c r="A425" s="33" t="n">
        <x:v>1482</x:v>
      </x:c>
      <x:c r="B425" s="34" t="str">
        <x:v>1</x:v>
      </x:c>
      <x:c r="C425" s="34" t="str">
        <x:v>Tarih</x:v>
      </x:c>
      <x:c r="D425" s="34" t="str">
        <x:v>Güncel</x:v>
      </x:c>
      <x:c r="E425" s="34" t="str">
        <x:v>21. Yüzyıl İçin 21 Ders</x:v>
      </x:c>
      <x:c r="F425" s="34" t="str">
        <x:v>Yuval Noah Harari</x:v>
      </x:c>
      <x:c r="G425" s="34" t="str">
        <x:v>2018</x:v>
      </x:c>
      <x:c r="H425" s="37" t="str">
        <x:v>Meditasyon ve öz tanıma çağı</x:v>
      </x:c>
      <x:c r="I425" s="37" t="str">
        <x:v>Harari, kendi zihnini tanımanın 21. yüzyılın en kritik becerisi haline geldiğini ve bunun teknolojik değil kadim bir pratikle — meditasyonla — mümkün olduğunu savunuyor.</x:v>
      </x:c>
      <x:c r="J425" s="37" t="str">
        <x:v>Yuval Noah Harari kitabının sonunda beklenmedik bir öneriyle bitiyor.
Tüm teknolojik ve siyasi tartışmalardan sonra: Meditasyon.
Bu neden?
Harari şöyle açıklıyor: Algoritma şirketleri sizi tanımak için muazzam kaynaklar harcıyor. Sizin dikkatinizi, arzularınızı, korkularınızı anlamak için.
Eğer siz kendinizi bu kadar iyi tanımıyorsanız, onlar sizi sizden iyi tanıyor demektir.
##"Kendinizi tanımak 21. yüzyılın en önemli siyasi eylemidir" diyor Harari.##
Bu retorik değil. Pratik.
Kendi duygularını, dürtülerini, önyargılarını tanıyan insan manipülasyona daha az açık. Kendi değerlerini bilen insan başkasının değerleriyle daha az dolduruluyor.
Harari kendisi Vipassana meditasyonu yapıyor. Yılda iki kez on günlük sessizlik inzivasına gidiyor. Her gün iki saat meditasyon.
"Bu benim için bir dinlenme değil, araştırma. Zihnimin nasıl çalıştığını anlamak için."
Ve şunu söylüyor: Dışarıdaki dünyayı anlamak istiyorsanız, önce içerideki dünyayı anlayın.
$$Kendinizi ne kadar tanıyorsunuz — gerçekten, derinlemesine? Ve bu tanıma yetersizliği sizi nasıl savunmasız kılıyor?$$
&amp;&amp;Kendi düşüncelerinizi, duygularınızı ve motivasyonlarınızı ne kadar net görebiliyorsunuz? Bu görüşü derinleştirmek için ne yapıyorsunuz?&amp;&amp;</x:v>
      </x:c>
      <x:c r="K425" s="37" t="str"/>
      <x:c r="L425" s="37" t="str"/>
      <x:c r="M425" s="37" t="str"/>
      <x:c r="N425" s="37" t="str"/>
      <x:c r="O425" s="37" t="str"/>
    </x:row>
    <x:row r="426" ht="20" customHeight="1">
      <x:c r="A426" s="33" t="n">
        <x:v>1483</x:v>
      </x:c>
      <x:c r="B426" s="34" t="str">
        <x:v>1</x:v>
      </x:c>
      <x:c r="C426" s="34" t="str">
        <x:v>Liderlik</x:v>
      </x:c>
      <x:c r="D426" s="34" t="str">
        <x:v>Yönetim</x:v>
      </x:c>
      <x:c r="E426" s="34" t="str">
        <x:v>The Fearless Organization</x:v>
      </x:c>
      <x:c r="F426" s="34" t="str">
        <x:v>Amy Edmondson</x:v>
      </x:c>
      <x:c r="G426" s="34" t="str">
        <x:v>2018</x:v>
      </x:c>
      <x:c r="H426" s="37" t="str">
        <x:v>Columbia uzay mekiği ve sessizlik bedeli</x:v>
      </x:c>
      <x:c r="I426" s="37" t="str">
        <x:v>Edmondson, Columbia felaketi öncesinde mühendislerin endişelerini dile getirmekte çekindiklerini ve bu sessizliğin felaket konusunda rolünü araştırarak psikolojik güvenliğin ne kadar kritik olduğunu anlatıyor.</x:v>
      </x:c>
      <x:c r="J426" s="37" t="str">
        <x:v>Amy Edmondson 2003'teki Columbia uzay mekiği felaketini inceliyor.
Fırlatmadan iki hafta önce, köpük izolasyon mekiğin kanadına çarpmıştı. Mühendisler endişeliydi.
Ama toplantılarda o endişeleri tam olarak dile getiremediler.
Neden?
Bir yönetici şöyle demişti: "Şimdi bunu sorgulamak için çok geç. Bunu sorgulamazdım."
##Edmondson bu dinamiği "psikolojik güvenlik eksikliği" olarak tanımlıyor: İnsanlar konuşmanın kariyerlerine zarar vereceğinden korktuklarında susuyorlar.##
Ve o sessizlik bazen felaket maliyeti taşıyor.
Columbia'da on dört gün sonra mekik yeniden giriş sırasında parçalandı. Yedi astronot hayatını kaybetti.
Edmondson bu vakayı çarpıcı bir örnek olarak kullanıyor. Ama şunu da vurguluyor: Bu NASA'ya özgü değil.
Her organizasyonda insanlar konuşmaktan korktuğu için kritik bilgiler üst yönetimine ulaşmıyor. Hatalar erken tespit edilemiyor. Küçük sorunlar büyük krizlere dönüşüyor.
Çözüm psikolojik güvenlik inşa etmek. Ama bu kolay değil. Çünkü psikolojik güvenlik "nazik olmak" değil — "dürüst ve güvenli olmak."
$$Sessizlik uyumu değil — görünmez riskin birikimidir.$$
&amp;&amp;Bulunduğunuz ortamda gerçekten endişelerinizi ve fikirlerinizi özgürce dile getirebiliyor musunuz? Neden değilse, ne tutup tutuyor sizi?&amp;&amp;</x:v>
      </x:c>
      <x:c r="K426" s="37" t="str"/>
      <x:c r="L426" s="37" t="str"/>
      <x:c r="M426" s="37" t="str"/>
      <x:c r="N426" s="37" t="str"/>
      <x:c r="O426" s="37" t="str"/>
    </x:row>
    <x:row r="427" ht="20" customHeight="1">
      <x:c r="A427" s="33" t="n">
        <x:v>1484</x:v>
      </x:c>
      <x:c r="B427" s="34" t="str">
        <x:v>1</x:v>
      </x:c>
      <x:c r="C427" s="34" t="str">
        <x:v>Liderlik</x:v>
      </x:c>
      <x:c r="D427" s="34" t="str">
        <x:v>Yönetim</x:v>
      </x:c>
      <x:c r="E427" s="34" t="str">
        <x:v>The Fearless Organization</x:v>
      </x:c>
      <x:c r="F427" s="34" t="str">
        <x:v>Amy Edmondson</x:v>
      </x:c>
      <x:c r="G427" s="34" t="str">
        <x:v>2018</x:v>
      </x:c>
      <x:c r="H427" s="37" t="str">
        <x:v>Psikolojik güvenlik nedir, ne değildir</x:v>
      </x:c>
      <x:c r="I427" s="37" t="str">
        <x:v>Edmondson, psikolojik güvenliğin rahatlık ya da uyum demek olmadığını, aksine zorlu konuşmaları mümkün kılan güveni ifade ettiğini ve bu farkın kritik olduğunu anlatıyor.</x:v>
      </x:c>
      <x:c r="J427" s="37" t="str">
        <x:v>Amy Edmondson en yaygın yanlış anlamayı ele alıyor.
"Psikolojik güvenlik = herkesin her şeyi onayladığı yumuşak ortam."
Yanlış.
Edmondson şöyle açıklıyor: Psikolojik güvenlik, herkesin birbirine katıldığı ortam değil. Tam tersine, herkesin farklı düşüncelerini güvenle ifade edebildiği ortam.
##"Psikolojik güvenlik yüksek ekiplerde tartışma ve anlaşmazlık daha sık yaşanır. Ama bu tartışmalar kişisel değil, konuya odaklıdır."##
Edmondson tıp araştırmasından bir örnek veriyor.
Psikolojik güvenliği yüksek hemşire ekipleri daha fazla hata raporluyor. Bu başta kötü bir işaret gibi görünüyor.
Ama bu ekipler aslında daha az hata yapıyor. Çünkü küçük hatalar derhal görünür hale geliyor. Erken müdahale mümkün oluyor.
Psikolojik güvenliği düşük ekipler ise hataları gizliyor. Ve küçük hatalar büyük kazalara dönüşüyor.
Edmondson'ın mesajı liderler için: "Ekibiniz size sadece iyi haberler getiriyorsa, bu iyi bir işaret değil. Kötü haberleri duymuyorsunuz demektir."
$$Kötü haber getiren ekip en sağlıklı ekiptir — o haberi taşıyabildikleri için.$$
&amp;&amp;Size düzenli olarak kötü haberler ya da karşı görüşler getiren biri var mı? Yoksa neden yok?&amp;&amp;</x:v>
      </x:c>
      <x:c r="K427" s="37" t="str"/>
      <x:c r="L427" s="37" t="str"/>
      <x:c r="M427" s="37" t="str"/>
      <x:c r="N427" s="37" t="str"/>
      <x:c r="O427" s="37" t="str"/>
    </x:row>
    <x:row r="428" ht="20" customHeight="1">
      <x:c r="A428" s="33" t="n">
        <x:v>1485</x:v>
      </x:c>
      <x:c r="B428" s="34" t="str">
        <x:v>1</x:v>
      </x:c>
      <x:c r="C428" s="34" t="str">
        <x:v>Liderlik</x:v>
      </x:c>
      <x:c r="D428" s="34" t="str">
        <x:v>Yönetim</x:v>
      </x:c>
      <x:c r="E428" s="34" t="str">
        <x:v>The Fearless Organization</x:v>
      </x:c>
      <x:c r="F428" s="34" t="str">
        <x:v>Amy Edmondson</x:v>
      </x:c>
      <x:c r="G428" s="34" t="str">
        <x:v>2018</x:v>
      </x:c>
      <x:c r="H428" s="37" t="str">
        <x:v>Lider davranışı ve güvenlik iklimi</x:v>
      </x:c>
      <x:c r="I428" s="37" t="str">
        <x:v>Edmondson, psikolojik güvenliğin üstlerin davranışıyla doğrudan ilişkili olduğunu ve liderlerin günlük küçük davranışlarının ekip iklimini nasıl belirlediğini gösteriyor.</x:v>
      </x:c>
      <x:c r="J428" s="37" t="str">
        <x:v>Amy Edmondson araştırmasında tutarlı bir bulgu gördü.
Psikolojik güvenlik iklimi büyük ölçüde yöneticinin davranışıyla şekilleniyor.
Ama bu davranışlar büyük kararlarla değil, küçük günlük anlarla belirleniyor.
Birisi hata yaptığında ne oluyor? Suçlanıyor mu, öğrenme fırsatına mı dönüştürülüyor?
Birisi kötü bir fikir sunduğunda ne oluyor? Gülünüyor mu, ciddiye alınıyor mu?
Toplantıda sessiz kalan biri var mı? Lider onu fark ediyor ve davet ediyor mu?
##"Psikolojik güvenlik iklimini belirleyen, yöneticinin bu küçük anlardaki tepkileridir" diyor Edmondson.##
Ve araştırmalar şunu gösteriyor: Bir yönetici toplantıda birini küçümserse, oradaki herkes not alıyor. "Hata yapmak tehlikeli" mesajı tüm ekibe yayılıyor.
Tersine: Yönetici kendi hatasını açıkça kabul ederse, ekip "burada hata yapılabilir" mesajını alıyor.
Psikolojik güvenlik inşa etmek büyük jestler gerektirmiyor. Ama küçük, tutarlı, doğru tepkiler gerektiriyor.
$$Lider günlük küçük tepkileriyle ekibin cesaretini ya da korkusunu inşa eder.$$
&amp;&amp;Yakın zamanda bir ekip üyesi hata yaptığında nasıl tepki verdiniz? O tepki psikolojik güvenliği artırdı mı, azalttı mı?&amp;&amp;</x:v>
      </x:c>
      <x:c r="K428" s="37" t="str"/>
      <x:c r="L428" s="37" t="str"/>
      <x:c r="M428" s="37" t="str"/>
      <x:c r="N428" s="37" t="str"/>
      <x:c r="O428" s="37" t="str"/>
    </x:row>
    <x:row r="429" ht="20" customHeight="1">
      <x:c r="A429" s="33" t="n">
        <x:v>1486</x:v>
      </x:c>
      <x:c r="B429" s="34" t="str">
        <x:v>1</x:v>
      </x:c>
      <x:c r="C429" s="34" t="str">
        <x:v>Verimlilik</x:v>
      </x:c>
      <x:c r="D429" s="34" t="str">
        <x:v>Verimlilik</x:v>
      </x:c>
      <x:c r="E429" s="34" t="str">
        <x:v>Çalınan Dikkat</x:v>
      </x:c>
      <x:c r="F429" s="34" t="str">
        <x:v>Johann Hari</x:v>
      </x:c>
      <x:c r="G429" s="34" t="str">
        <x:v>2022</x:v>
      </x:c>
      <x:c r="H429" s="37" t="str">
        <x:v>Johann Hari'nin telefon deneyi</x:v>
      </x:c>
      <x:c r="I429" s="37" t="str">
        <x:v>Hari, tüm dijital cihazlarından üç ay boyunca uzak durduğu deneyinden ne öğrendiğini ve gerçek odaklanmanın ne zaman yaşandığını anlatıyor.</x:v>
      </x:c>
      <x:c r="J429" s="37" t="str">
        <x:v>Johann Hari bir gün durdu ve saydı.
Ortalama kaç dakikada bir telefona bakıyordu?
Cevap: Üç dakika.
Sonra hiç odaklanamadan geçen bir gün saydı. Tam konsantrasyon hissetmeden geçen haftalar.
Hari bir karar aldı: Üç ay boyunca telefonu bırakacaktı.
Provincetown, Massachusetts'te bir kiralık eve yerleşti. Telefon yok. Sosyal medya yok. E-posta sınırlı.
##"İlk birkaç günde şok geçirdim" diyor Hari. "Bir şeyler eksikmiş gibi hissettim. Ama sonra bir şey oldu: Gerçekten düşünmeye başladım."##
Bu kitap o deneyimden ve ardından yaptığı araştırmadan doğdu.
Hari'nin temel tezi şu: Dikkat sorunu bireysel bir zayıflık değil. Sistematik bir saldırı. Şirketler milyarlarca dolarlık kaynak kullanarak dikkatinizi çalmak için rekabet ediyor.
Ve bu savaşta bireysel irade gücü yeterli silah değil. Çünkü karşı taraf algoritmaları, psikoloji uzmanları ve sonsuz içerikle geliyor.
Hari şunu soruyor: Dikkatinizi geri almak için yalnızca telefonu bırakmak yeterli mi?
$$Dikkat kaybı bireysel başarısızlık değil — kasıtlı bir tasarım ürünü.$$
&amp;&amp;Günde kaç kez telefonunuza baktığınızı hiç saydınız mı? Bu frekansın gerçekte size ne maliyeti var?&amp;&amp;</x:v>
      </x:c>
      <x:c r="K429" s="37" t="str"/>
      <x:c r="L429" s="37" t="str"/>
      <x:c r="M429" s="37" t="str"/>
      <x:c r="N429" s="37" t="str"/>
      <x:c r="O429" s="37" t="str"/>
    </x:row>
    <x:row r="430" ht="20" customHeight="1">
      <x:c r="A430" s="33" t="n">
        <x:v>1487</x:v>
      </x:c>
      <x:c r="B430" s="34" t="str">
        <x:v>1</x:v>
      </x:c>
      <x:c r="C430" s="34" t="str">
        <x:v>Verimlilik</x:v>
      </x:c>
      <x:c r="D430" s="34" t="str">
        <x:v>Verimlilik</x:v>
      </x:c>
      <x:c r="E430" s="34" t="str">
        <x:v>Çalınan Dikkat</x:v>
      </x:c>
      <x:c r="F430" s="34" t="str">
        <x:v>Johann Hari</x:v>
      </x:c>
      <x:c r="G430" s="34" t="str">
        <x:v>2022</x:v>
      </x:c>
      <x:c r="H430" s="37" t="str">
        <x:v>Dikkat ekonomisi ve dikkat mimarisi</x:v>
      </x:c>
      <x:c r="I430" s="37" t="str">
        <x:v>Hari, sosyal medya şirketlerinin dikkatimizi maksimize etmek için tasarlandığını ve bu tasarımın bireysel değil yapısal bir sorun olduğunu anlatıyor.</x:v>
      </x:c>
      <x:c r="J430" s="37" t="str">
        <x:v>Johann Hari eski bir sosyal medya yöneticisiyle görüştü.
Adam platformların nasıl tasarlandığını anlattı.
Ekip başlangıçta kullanıcıların istedikleri içerikleri görmesini hedefleyerek başladı.
Ama zamanla bir şey keşfettiler: Öfke, korku ve olumsuz içerikler daha fazla etkileşim yaratıyordu. İnsanlar bu içeriklere daha uzun süre bakıyor, daha fazla tepki veriyordu.
##"Bizim ürününüz dikkat. Ve daha fazla dikkat için ne gerekiyorsa yapıldı" dedi.##
Hari bu mekanizmayı şöyle açıklıyor: Sosyal medya şirketleri kullanıcıların iyiliğini değil, etkileşimi maksimize etmek için tasarlandı.
Ve bu tasarım bireysel tercihi değil, yapıyı değiştirdi.
Bunu anlamak önemli. Çünkü "sadece daha az kullansam" çözümü bireyi suçluyor. Ama sorun bireyin zayıflığı değil, mimarinin gücü.
Hari şöyle soruyor: Sigara şirketleri nikotin koyduğunda bireysel sorumluluktan söz etmiyorduk. Neden dikkat madenciliğinde söz ediyoruz?
$$Dikkat sorunu bireysel bir zayıflık değil — yapısal bir sorun — ve yapısal sorunlar yapısal çözüm gerektirir.$$
&amp;&amp;Dijital araçların dikkatinize kasıtlı olarak tasarlandığını bilerek onlarla ilişkinizi nasıl yeniden değerlendirirsiniz?&amp;&amp;</x:v>
      </x:c>
      <x:c r="K430" s="37" t="str"/>
      <x:c r="L430" s="37" t="str"/>
      <x:c r="M430" s="37" t="str"/>
      <x:c r="N430" s="37" t="str"/>
      <x:c r="O430" s="37" t="str"/>
    </x:row>
    <x:row r="431" ht="20" customHeight="1">
      <x:c r="A431" s="33" t="n">
        <x:v>1488</x:v>
      </x:c>
      <x:c r="B431" s="34" t="str">
        <x:v>1</x:v>
      </x:c>
      <x:c r="C431" s="34" t="str">
        <x:v>Verimlilik</x:v>
      </x:c>
      <x:c r="D431" s="34" t="str">
        <x:v>Verimlilik</x:v>
      </x:c>
      <x:c r="E431" s="34" t="str">
        <x:v>Çalınan Dikkat</x:v>
      </x:c>
      <x:c r="F431" s="34" t="str">
        <x:v>Johann Hari</x:v>
      </x:c>
      <x:c r="G431" s="34" t="str">
        <x:v>2022</x:v>
      </x:c>
      <x:c r="H431" s="37" t="str">
        <x:v>Odaklanmanın gerçek düşmanları</x:v>
      </x:c>
      <x:c r="I431" s="37" t="str">
        <x:v>Hari, araştırmaları boyunca odaklanmayı engelleyen onikiden fazla faktör bulduğunu ve bunların çoğunun teknoloji değil uyku yoksunluğu, çevre ve anlam eksikliği olduğunu anlatıyor.</x:v>
      </x:c>
      <x:c r="J431" s="37" t="str">
        <x:v>Johann Hari kitabında beklediği keşfi yapmadı.
Sorunu araştırmaya başladığında teknoloji odaklı bir kitap yazmak istiyordu. "Telefonlar dikkatimizi çalıyor, işte nedenleri."
Ama araştırma onu farklı yerlere götürdü.
Uyku yoksunluğu dikkat kapasitesini dramatik biçimde düşürüyor.
İşlenmiş gıda beyin kimyasını etkiliyor.
Fiziksel aktivite eksikliği odaklanma süresini kısaltıyor.
Anlam eksikliği — işte ya da hayatta ne yaptığının önemi olmadığı hissi — dikkati dağıtıyor.
##"Teknoloji bir parça ama yalnızca bir parça" diyor Hari. "Dikkat krizi çok katmanlı."##
Ve belki en şaşırtıcı bulgu: Stres ve kaygı, odaklanma kapasitesini en çok bozan faktörler arasında yer alıyor.
Beyin tehdit altındayken "şimdi ve burada" olmak için evrilmemiş. Etrafı sürekli tarıyor. Tehlike var mı?
Bu evrimsel bir güç. Ama modern dünyada çoğumuz kronik bir "alçak düzeyli kaygı" içinde yaşıyoruz. Ve bu kaygı konsantrasyonu sürekli bozuyor.
Hari şunu öneriyor: Telefonu değiştirmek yeterli değil. Yaşam koşullarını değiştirmek gerekiyor.
$$Dikkat sorununuzu çözmek telefonu bırakmakla değil, yaşamı yeniden tasarlamakla başlar.$$
&amp;&amp;Dikkatinizi en çok ne dağıtıyor — teknoloji mi, uyku mu, kaygı mı, anlam eksikliği mi?&amp;&amp;</x:v>
      </x:c>
      <x:c r="K431" s="37" t="str"/>
      <x:c r="L431" s="37" t="str"/>
      <x:c r="M431" s="37" t="str"/>
      <x:c r="N431" s="37" t="str"/>
      <x:c r="O431" s="37" t="str"/>
    </x:row>
    <x:row r="432" ht="20" customHeight="1">
      <x:c r="A432" s="33" t="n">
        <x:v>1489</x:v>
      </x:c>
      <x:c r="B432" s="34" t="str">
        <x:v>1</x:v>
      </x:c>
      <x:c r="C432" s="34" t="str">
        <x:v>Felsefe</x:v>
      </x:c>
      <x:c r="D432" s="34" t="str">
        <x:v>Toplum</x:v>
      </x:c>
      <x:c r="E432" s="34" t="str">
        <x:v>Bağımlılık Çağı</x:v>
      </x:c>
      <x:c r="F432" s="34" t="str">
        <x:v>Johann Hari</x:v>
      </x:c>
      <x:c r="G432" s="34" t="str">
        <x:v>2015</x:v>
      </x:c>
      <x:c r="H432" s="37" t="str">
        <x:v>Rat Park deneyi — bağımlılığın gerçek nedeni</x:v>
      </x:c>
      <x:c r="I432" s="37" t="str">
        <x:v>Hari, farelerin sonsuz morfin erişimlerine rağmen zengin bir sosyal ortamda bağımlı olmadığını gösteren Rat Park deneyinin bağımlılık anlayışını nasıl kökten değiştirdiğini anlatıyor.</x:v>
      </x:c>
      <x:c r="J432" s="37" t="str">
        <x:v>Bruce Alexander 1970'lerde standart bağımlılık deneylerini sorguladı.
Standart deney şöyleydi: Yalnız bir farenin kafesine morfin sıvısı ve su koyuyorsunuz. Fare morfinle suyu seçiyor, seçiyor, seçiyor. Bağımlılık kaçınılmaz görünüyor.
Ama Alexander farklı bir soru sordu: Ya fare yalnız ve sıkışık olduğu için mi içiyor?
"Rat Park" kurdu. Büyük bir alan. Diğer fareler. Oyuncaklar. Hareket özgürlüğü. Sosyal yaşam.
##Rat Park farelerinin önüne de morfin kondu. Arada sırada içiyorlardı. Ama kompülsif biçimde, bağımlılık yapacak düzeyde hiç içmediler.##
Johann Hari bu deneyi şöyle yorumluyor: Bağımlılık kimyasal değil, çevresel bir sorun.
Vietnam'dan dönen askerlerin yüzde yirmisi Asya'da eroin kullanmıştı. Herkes bir bağımlılık krizi bekledi.
Ama askerlerin neredeyse tamamı eve dönünce bıraktı. Çünkü eve dönünce toplulukları, aileleri, anlamlı işleri vardı.
Madde bağımlılığı değil, bağlantı ihtiyacı.
$$Bağımlılık maddenin gücü değil — bağlantı eksikliğinin yansımasıdır.$$
&amp;&amp;Hayatınızda kaçmak için kullandığınız bir alışkanlık var mı? O alışkanlığın arkasında hangi gerçek ihtiyaç yatıyor?&amp;&amp;</x:v>
      </x:c>
      <x:c r="K432" s="37" t="str"/>
      <x:c r="L432" s="37" t="str"/>
      <x:c r="M432" s="37" t="str"/>
      <x:c r="N432" s="37" t="str"/>
      <x:c r="O432" s="37" t="str"/>
    </x:row>
    <x:row r="433" ht="20" customHeight="1">
      <x:c r="A433" s="33" t="n">
        <x:v>1490</x:v>
      </x:c>
      <x:c r="B433" s="34" t="str">
        <x:v>1</x:v>
      </x:c>
      <x:c r="C433" s="34" t="str">
        <x:v>Felsefe</x:v>
      </x:c>
      <x:c r="D433" s="34" t="str">
        <x:v>Toplum</x:v>
      </x:c>
      <x:c r="E433" s="34" t="str">
        <x:v>Bağımlılık Çağı</x:v>
      </x:c>
      <x:c r="F433" s="34" t="str">
        <x:v>Johann Hari</x:v>
      </x:c>
      <x:c r="G433" s="34" t="str">
        <x:v>2015</x:v>
      </x:c>
      <x:c r="H433" s="37" t="str">
        <x:v>Uyuşturucu savaşının paradoksu</x:v>
      </x:c>
      <x:c r="I433" s="37" t="str">
        <x:v>Hari, bağımlılıkla savaşın onlarca yıldır neden işe yaramadığını ve cezalandırma yerine bağlantı ve iyileştirme temelli yaklaşımların neden çok daha başarılı olduğunu anlatıyor.</x:v>
      </x:c>
      <x:c r="J433" s="37" t="str">
        <x:v>Johann Hari Portekiz'e gidiyor.
2001'de Portekiz radikal bir karar aldı: Tüm uyuşturucuları suç olmaktan çıkardı.
Dünya şaştı. "Uyuşturucu cenneti olacak, herkes kullanacak."
Ne oldu?
##Yirmi yıl sonra: Uyuşturucu kullanımı yarı yarıya düştü. HIV bulaşmaları çöktü. Bağımlılıktan ölümler dramatik azaldı. Ve topluma geri dönme oranları arttı.##
Sır neydi?
Portekiz cezayı kaldırdı ama bir şey daha yaptı: Bütçeyi bağımlıları cezalandırmaktan bağımlıları topluma yeniden bağlamaya aktardı.
İş buldular. Sosyal yardım verdiler. Topluluk kurdu.
Hari şunu söylüyor: Bağımlılıkla savaş on yıllardır cezalandırma üzerine kurulu. Ama ceza bağlantı kurmayı daha da zorlaştırıyor.
"Bağımlıya 'sen kötüsün' demek, tam da kaçmak zorunda hissettiği şeyi pekiştiriyor."
Portekiz modeli ise tam tersini söylüyor: "Seni görüyoruz. Seni istiyoruz. Toplumun bir parçasısın."
$$Bağımlılıkla savaşmak değil, bağlantı kurmak — bu asıl tedavi.$$
&amp;&amp;Kendinizde ya da çevrenizde, ceza yerine bağlantı ve anlayışın dönüşüm yarattığı bir örnek var mı?&amp;&amp;</x:v>
      </x:c>
      <x:c r="K433" s="37" t="str"/>
      <x:c r="L433" s="37" t="str"/>
      <x:c r="M433" s="37" t="str"/>
      <x:c r="N433" s="37" t="str"/>
      <x:c r="O433" s="37" t="str"/>
    </x:row>
    <x:row r="434" ht="20" customHeight="1">
      <x:c r="A434" s="33" t="n">
        <x:v>1491</x:v>
      </x:c>
      <x:c r="B434" s="34" t="str">
        <x:v>1</x:v>
      </x:c>
      <x:c r="C434" s="34" t="str">
        <x:v>Felsefe</x:v>
      </x:c>
      <x:c r="D434" s="34" t="str">
        <x:v>Toplum</x:v>
      </x:c>
      <x:c r="E434" s="34" t="str">
        <x:v>Bağımlılık Çağı</x:v>
      </x:c>
      <x:c r="F434" s="34" t="str">
        <x:v>Johann Hari</x:v>
      </x:c>
      <x:c r="G434" s="34" t="str">
        <x:v>2015</x:v>
      </x:c>
      <x:c r="H434" s="37" t="str">
        <x:v>Kapitalizm ve bağımlılık ekonomisi</x:v>
      </x:c>
      <x:c r="I434" s="37" t="str">
        <x:v>Hari, modern ekonominin giderek daha fazla bağımlılık üzerine inşa edildiğini ve dikkat, hız ve uyuşturucunun birbirine bağlı olduğunu anlatıyor.</x:v>
      </x:c>
      <x:c r="J434" s="37" t="str">
        <x:v>Johann Hari şöyle bir bağlantı kuruyor.
Uyuşturucu şirketleri OxyContin'i "bağımlılık yapmaz" diye sattı. Yalan söyledi. Onlarca yıl boyunca. Milyonlarca insan bağımlı oldu.
Teknoloji şirketleri ürünlerini mümkün olduğunca bağımlılık yapacak biçimde tasarladı. Dikkatinizi maksimize etti.
Yiyecek şirketleri "bliss point" mühendisliği yaptı — beyin ödül sistemini tetikleyecek tatlı-tuzlu-yağ kombinasyonları.
##Hari şöyle diyor: "Bağımlılık artık sadece madde bağımlılığı değil. Bağımlılık modeli büyük bir ekonomik güç haline geldi."##
Ve bu bağlantı önemli. Çünkü bireysel irade üzerine inşa edilmiş bir yaklaşım sorunu çözmüyor.
Sigara şirketi binlerce mühendis kullanarak ürünü bağımlılık yapıcı hale getiriyorsa, bireyden "güçlü ol" demek yeterli değil.
Hari şunu öneriyor: Bağımlılığı hem bireysel hem yapısal olarak ele almak gerekiyor.
Bireysel: Gerçek ihtiyacınızı anlayın. Bağlantı kurun. Anlam bulun.
Yapısal: Bağımlılık ekonomisini düzenleyin. Şirketleri sorumlu tutun.
$$Bağımlılık bireysel zayıflık değil — toplumsal tasarımın ürünü.$$
&amp;&amp;Hayatınızda hangi alanlarda sistematik olarak bağımlılık yaratmak için tasarlanmış şeylerle karşılaşıyorsunuz?&amp;&amp;</x:v>
      </x:c>
      <x:c r="K434" s="37" t="str"/>
      <x:c r="L434" s="37" t="str"/>
      <x:c r="M434" s="37" t="str"/>
      <x:c r="N434" s="37" t="str"/>
      <x:c r="O434" s="37" t="str"/>
    </x:row>
    <x:row r="435" ht="20" customHeight="1">
      <x:c r="A435" s="33" t="n">
        <x:v>1492</x:v>
      </x:c>
      <x:c r="B435" s="34" t="str">
        <x:v>1</x:v>
      </x:c>
      <x:c r="C435" s="34" t="str">
        <x:v>Psikoloji</x:v>
      </x:c>
      <x:c r="D435" s="34" t="str">
        <x:v>Psikoloji</x:v>
      </x:c>
      <x:c r="E435" s="34" t="str">
        <x:v>Kayıp Bağlantılar</x:v>
      </x:c>
      <x:c r="F435" s="34" t="str">
        <x:v>Johann Hari</x:v>
      </x:c>
      <x:c r="G435" s="34" t="str">
        <x:v>2018</x:v>
      </x:c>
      <x:c r="H435" s="37" t="str">
        <x:v>Depresyonun dokuz nedeni</x:v>
      </x:c>
      <x:c r="I435" s="37" t="str">
        <x:v>Hari, depresyonun salt bir beyin kimyası sorunu olmadığını ve araştırmaların depresyonun dokuz farklı çevresel ve psikolojik kaynağı olduğunu gösterdiğini anlatıyor.</x:v>
      </x:c>
      <x:c r="J435" s="37" t="str">
        <x:v>Johann Hari yıllarca antidepresan kullandı. İşe yarıyordu — biraz. Ama hiçbir zaman gerçekten iyileşmedi.
Ve şu soruyu sordu: Neden?
Araştırma başladı. Ve şaşırtıcı bir şey buldu.
##"Depresyon bir beyin kimyası bozukluğu" — bu anlatı çok basitleştirilmiş. Ve büyük ilaç şirketlerinin pazarlama söylemleri bu anlatıyı güçlendirdi.##
Hari dokuz farklı depresyon kaynağı tanımladı.
Anlamlı işten kopukluk. Diğer insanlardan kopukluk. Anlamlı değerlerden kopukluk. Çocukluktaki travma. Statü ve saygı kaybı. Doğadan kopukluk. Güvenli bir geleceğe olan inancın kaybı. Gerçek saygıyı hak ettiğinizi hissetmemek. Ve gen-çevre etkileşimi.
Hari şunu söylüyor: Bu nedenler kimyasal değil, anlam ve bağlantı sorunları.
Ve çözüm de kimyasal olmak zorunda değil.
Ancak eklemelidir: Antidepresanlar bazı insanlar için gerçekten hayat kurtarıcı. Hari bunu reddetmiyor. Ama şunu sorguluyor: Tek çözüm bu mu?
$$Depresyon beyin kimyasının ötesinde — anlam ve bağlantı krizinin işareti olabilir.$$
&amp;&amp;Kendinizi ya da çevrenizdekileri düşündüğünüzde, depresyonun arkasında hangi "kopukluk" en çok görünüyor?&amp;&amp;</x:v>
      </x:c>
      <x:c r="K435" s="37" t="str"/>
      <x:c r="L435" s="37" t="str"/>
      <x:c r="M435" s="37" t="str"/>
      <x:c r="N435" s="37" t="str"/>
      <x:c r="O435" s="37" t="str"/>
    </x:row>
    <x:row r="436" ht="20" customHeight="1">
      <x:c r="A436" s="33" t="n">
        <x:v>1493</x:v>
      </x:c>
      <x:c r="B436" s="34" t="str">
        <x:v>1</x:v>
      </x:c>
      <x:c r="C436" s="34" t="str">
        <x:v>Psikoloji</x:v>
      </x:c>
      <x:c r="D436" s="34" t="str">
        <x:v>Psikoloji</x:v>
      </x:c>
      <x:c r="E436" s="34" t="str">
        <x:v>Kayıp Bağlantılar</x:v>
      </x:c>
      <x:c r="F436" s="34" t="str">
        <x:v>Johann Hari</x:v>
      </x:c>
      <x:c r="G436" s="34" t="str">
        <x:v>2018</x:v>
      </x:c>
      <x:c r="H436" s="37" t="str">
        <x:v>İş ve anlam — Londra bankacısı</x:v>
      </x:c>
      <x:c r="I436" s="37" t="str">
        <x:v>Hari, yüksek maaşlı ama anlamsız hissettiren bir işte çalışan bankacının depresyon hikayesini ve anlamlı işe geçişin nasıl dönüşüm yarattığını anlatıyor.</x:v>
      </x:c>
      <x:c r="J436" s="37" t="str">
        <x:v>Johann Hari Londralı bir bankacıyla görüştü.
Yüksek maaş. Prestijli kariyer. Her şey "doğru" görünüyordu.
Ama adam her sabah işe gitmek istemiyordu. Haftalarca depresyon içindeydi. Neden?
##"Yaptığım işin hiçbir farkı olmadığını hissediyorum" dedi. "Rakamları hareket ettiriyorum. Başkası için para kazanıyorum. Bu benim değil."##
Sonunda istifa etti. Daha az para kazanacak bir alana geçti. Gençlere mentor oldu.
Birkaç ay içinde depresyon hafifledi.
Hari bunu "anlam kopukluğu" olarak tanımlıyor. Yaptığınız işin neden önemli olduğunu göremediğinizde, beyin "bu enerjiyi harcamaya değmez" sinyali veriyor.
Araştırmalar da destekliyor: "Anlamsız iş" hissi, depresyon ve kaygı için güçlü bir öngörücü.
Hari şöyle soruyor: Çalışma hayatını sadece ekonomik değil, psikolojik olarak düşünüyor muyuz?
Ve bireysel düzeyde: "Bu işi neden yapıyorum?" sorusu, kariyer seçiminin en temel sorusu olmalı.
$$Anlamsız hissettiren bir iş, maaşı ne kadar yüksek olursa olsun ruh sağlığını yıpratır.$$
&amp;&amp;Şu an yaptığınız işin neden önemli olduğunu gerçekten hissediyor musunuz? Yoksa anlam kopukluğu yaşıyor musunuz?&amp;&amp;</x:v>
      </x:c>
      <x:c r="K436" s="37" t="str"/>
      <x:c r="L436" s="37" t="str"/>
      <x:c r="M436" s="37" t="str"/>
      <x:c r="N436" s="37" t="str"/>
      <x:c r="O436" s="37" t="str"/>
    </x:row>
    <x:row r="437" ht="20" customHeight="1">
      <x:c r="A437" s="33" t="n">
        <x:v>1494</x:v>
      </x:c>
      <x:c r="B437" s="34" t="str">
        <x:v>1</x:v>
      </x:c>
      <x:c r="C437" s="34" t="str">
        <x:v>Psikoloji</x:v>
      </x:c>
      <x:c r="D437" s="34" t="str">
        <x:v>Psikoloji</x:v>
      </x:c>
      <x:c r="E437" s="34" t="str">
        <x:v>Kayıp Bağlantılar</x:v>
      </x:c>
      <x:c r="F437" s="34" t="str">
        <x:v>Johann Hari</x:v>
      </x:c>
      <x:c r="G437" s="34" t="str">
        <x:v>2018</x:v>
      </x:c>
      <x:c r="H437" s="37" t="str">
        <x:v>Sosyal bağlantı ve iyileşme</x:v>
      </x:c>
      <x:c r="I437" s="37" t="str">
        <x:v>Hari, depresyon tedavisinde en güçlü müdahalelerden birinin sosyal bağlantı olduğunu ve grup terapi modellerinin ilaçlardan daha uzun süreli iyileşme sağladığını anlatıyor.</x:v>
      </x:c>
      <x:c r="J437" s="37" t="str">
        <x:v>Johann Hari Cambodya'da garip bir terapi programını araştırdı.
Bir çiftçi çalışırken traktör kazası geçirmiş, bacağını kaybetmişti.
Artık çalışamıyordu. Aile baskısı altındaydı. Ağır depresyon.
Doktorlar ilaç verdi. İşe yaramadı.
Köy hekimi farklı bir yol denedi. Çiftçinin ne yapmaktan hoşlandığını sordu. Adamın sığır sevdiği ortaya çıktı. Köy hekimi köylüleri ikna etti — çiftçiye inek aldılar.
Adam süt üretmeye, satmaya, komşularla paylaşmaya başladı.
##Depresyon geçti.##
Hari şöyle yorumluyor: "Antidepresan olmadan iyileşti. Çünkü depresyonun gerçek nedeni — anlam kaybı ve izolasyon — tedavi edildi."
Bu hikayeyi kliniğe taşıyor. Araştırmalar grup terapisinin, sosyal bağlantının ve anlam odaklı müdahalelerin depresyon tedavisinde ilaçlarla kıyaslanabilir ya da daha kalıcı sonuçlar verdiğini gösteriyor.
Hari şunu söylüyor: Herkese aynı tedavi değil. Ama bağlantı ve anlam her tedavinin bir parçası olmalı.
$$İyileşme çoğu zaman kimyasal değil — anlam ve bağlantıda başlar.$$
&amp;&amp;Son dönemde kendinizi en iyi hissettiren an ne oldu? O anda bağlantı ya da anlam hissediyor muydunuz?&amp;&amp;</x:v>
      </x:c>
      <x:c r="K437" s="37" t="str"/>
      <x:c r="L437" s="37" t="str"/>
      <x:c r="M437" s="37" t="str"/>
      <x:c r="N437" s="37" t="str"/>
      <x:c r="O437" s="37" t="str"/>
    </x:row>
    <x:row r="438" ht="20" customHeight="1">
      <x:c r="A438" s="33" t="n">
        <x:v>1495</x:v>
      </x:c>
      <x:c r="B438" s="34" t="str">
        <x:v>1</x:v>
      </x:c>
      <x:c r="C438" s="34" t="str">
        <x:v>Finans</x:v>
      </x:c>
      <x:c r="D438" s="34" t="str">
        <x:v>Kariyer</x:v>
      </x:c>
      <x:c r="E438" s="34" t="str">
        <x:v>Güçlü Yönler Bulma</x:v>
      </x:c>
      <x:c r="F438" s="34" t="str">
        <x:v>Marcus Buckingham</x:v>
      </x:c>
      <x:c r="G438" s="34" t="str">
        <x:v>2001</x:v>
      </x:c>
      <x:c r="H438" s="37" t="str">
        <x:v>Zayıfları düzeltmek değil güçlüleri geliştirmek</x:v>
      </x:c>
      <x:c r="I438" s="37" t="str">
        <x:v>Buckingham, geleneksel yönetim anlayışının insanların zayıflıklarını geliştirmeye odaklandığını ve bunun neden verimsiz olduğunu ve güçlü yönlere odaklanmanın neden çok daha büyük kazanımlar sağladığını gösteriyor.</x:v>
      </x:c>
      <x:c r="J438" s="37" t="str">
        <x:v>Marcus Buckingham şöyle bir soru soruyor.
Çocuğunuz matematik dersinden A, İngilizce'den F aldı. Hangi derse daha fazla zaman ayırırsınız?
Çoğu ebeveyn: İngilizce'ye.
Çoğu yönetici de aynı mantıkla hareket ediyor: Performans değerlendirmelerinde zayıf noktaları bulun ve geliştirin.
Buckingham bunun yanlış olduğunu savunuyor.
##"Güçlü yönlerinizi geliştirmek, zayıf yönlerinizi geliştirmekten on kata kadar daha fazla performans artışı sağlıyor."##
Neden? Çünkü güçlü yönler hem daha hızlı gelişiyor hem de sürdürülebilir motivasyon sağlıyor.
Zayıf yönde çalışmak sizi "yeterli" yapar. Güçlü yönte çalışmak sizi "olağanüstü" yapar.
Ve Buckingham'ın tespiti: Gerçekten başarılı insanlar zayıflıklarını yönetir — tamamen ortadan kaldırmak yerine. Ve güçlü yönlerini sistematik olarak geliştirir.
Yöneticiler için pratik sonuç: Ekipteki herkesin güçlü yönlerini bilin. Ve işleri o güçlü yönlere göre dağıtın. Herkesin zayıf olduğu alanlarda zorlamayın.
$$Herkesin güçlü yönleri var — ama çoğu örgüt onları geliştirmek yerine zayıflıkları düzeltmeye çalışır.$$
&amp;&amp;Kendi güçlü yönlerinizi gerçekten biliyor musunuz? Son haftada o güçlere kaç saat ayırdınız?&amp;&amp;</x:v>
      </x:c>
      <x:c r="K438" s="37" t="str"/>
      <x:c r="L438" s="37" t="str"/>
      <x:c r="M438" s="37" t="str"/>
      <x:c r="N438" s="37" t="str"/>
      <x:c r="O438" s="37" t="str"/>
    </x:row>
    <x:row r="439" ht="20" customHeight="1">
      <x:c r="A439" s="33" t="n">
        <x:v>1496</x:v>
      </x:c>
      <x:c r="B439" s="34" t="str">
        <x:v>1</x:v>
      </x:c>
      <x:c r="C439" s="34" t="str">
        <x:v>Finans</x:v>
      </x:c>
      <x:c r="D439" s="34" t="str">
        <x:v>Kariyer</x:v>
      </x:c>
      <x:c r="E439" s="34" t="str">
        <x:v>Güçlü Yönler Bulma</x:v>
      </x:c>
      <x:c r="F439" s="34" t="str">
        <x:v>Marcus Buckingham</x:v>
      </x:c>
      <x:c r="G439" s="34" t="str">
        <x:v>2001</x:v>
      </x:c>
      <x:c r="H439" s="37" t="str">
        <x:v>Akış anı ve yetenek işareti</x:v>
      </x:c>
      <x:c r="I439" s="37" t="str">
        <x:v>Buckingham, güçlü yönlerin en güvenilir göstergesinin akış anı — zaman geçtiğini fark etmeden yapılan işler — olduğunu ve bu anların bir rehber gibi kullanılabileceğini anlatıyor.</x:v>
      </x:c>
      <x:c r="J439" s="37" t="str">
        <x:v>Marcus Buckingham güçlü yönleri bulmak için basit bir yöntem öneriyor.
Şu soruyu sorun: "Bu işi yaparken zaman geçtiğini fark etmiyor muyum?"
Bu akış anı. Ve Buckingham'a göre bu an, yeteneğinizin en güçlü sinyali.
##"Akış anınızda yaptığınız şey, doğal olarak iyi olduğunuz şeyin göstergesidir" diyor.##
Ama dikkat: Güçlü yön yalnızca "iyi olduğunuz şey" değil. "İyi olduğunuz ve size enerji veren şey."
Birisi mükemmel hesap yapabilir ama muhasebe yaparken tükenir. Bu onun güçlü yönü değil — teknik bir beceri.
Güçlü yön hem yetkinlik hem enerji vermeli.
Buckingham şu egzersizi öneriyor: Bir hafta boyunca dikkat edin. Hangi görevleri bitirmek istemiyor musunuz? Hangi görevleri yaparken saatler nasıl geçiyor?
O liste, güçlü yönlerinizin haritası.
Ve o haritayı görmek hem kariyer hem de günlük enerji yönetimi için kritik.
$$Akış anlarınız güçlü yönlerinizin haritasıdır — o haritayı çizdiniz mi?&amp;&amp;&amp;&amp;
&amp;&amp;Son bir haftada zaman geçtiğini fark etmeden yaptığınız bir şey ne oldu? O şey kariyerinizde ya da hayatınızda ne kadar yer kaplıyor?&amp;&amp;</x:v>
      </x:c>
      <x:c r="K439" s="37" t="str"/>
      <x:c r="L439" s="37" t="str"/>
      <x:c r="M439" s="37" t="str"/>
      <x:c r="N439" s="37" t="str"/>
      <x:c r="O439" s="37" t="str"/>
    </x:row>
    <x:row r="440" ht="20" customHeight="1">
      <x:c r="A440" s="33" t="n">
        <x:v>1497</x:v>
      </x:c>
      <x:c r="B440" s="34" t="str">
        <x:v>1</x:v>
      </x:c>
      <x:c r="C440" s="34" t="str">
        <x:v>Finans</x:v>
      </x:c>
      <x:c r="D440" s="34" t="str">
        <x:v>Kariyer</x:v>
      </x:c>
      <x:c r="E440" s="34" t="str">
        <x:v>Güçlü Yönler Bulma</x:v>
      </x:c>
      <x:c r="F440" s="34" t="str">
        <x:v>Marcus Buckingham</x:v>
      </x:c>
      <x:c r="G440" s="34" t="str">
        <x:v>2001</x:v>
      </x:c>
      <x:c r="H440" s="37" t="str">
        <x:v>Gallup araştırması ve iş tatmini</x:v>
      </x:c>
      <x:c r="I440" s="37" t="str">
        <x:v>Buckingham, Gallup'un yüz binlerce çalışanla yaptığı araştırmanın en tatmin ve üretken çalışanların her gün güçlü yönlerini kullanma fırsatı bulanlar olduğunu nasıl ortaya koyduğunu anlatıyor.</x:v>
      </x:c>
      <x:c r="J440" s="37" t="str">
        <x:v>Marcus Buckingham Gallup'un dev araştırmasını aktarıyor.
100 ülkede milyonlarca çalışana sorular soruldu. Ve bir soru öne çıktı.
"İşinizde her gün yaptıklarınız sizin için en iyi şeyleri yapma fırsatı veriyor mu?"
Bu soruya "evet" diyenler: Daha üretken, daha bağlı, daha az hasta izni kullanan, daha düşük devir hızına sahip şirketlerde çalışıyor.
##Bu soruya "evet" diyenlerin oranı? Yüzde on yedi.##
Yani çalışanların yüzde seksen üçü güçlü yönlerini kullanma fırsatı bulamıyor.
Buckingham bu rakamı hem bir sorun hem bir fırsat olarak sunuyor.
Sorun: Muazzam bir insan potansiyeli boşa gidiyor.
Fırsat: Eğer bir lider ekibindeki insanların güçlü yönlerini keşfeder ve onlara uygun roller yaratabilirse, rekabet avantajı muazzam.
Ve bireysel düzeyde: Güçlü yönlerinizi kullanan bir işte çalışmak yalnızca performansı değil, hayat kalitesini de artırıyor.
$$Güçlü yönlerini kullanan çalışan hem verimli hem de mutludur — ikisi birbirini besler.$$
&amp;&amp;Şu anki işinizde güçlü yönlerinizi kullanma fırsatınız var mı? Kullanamıyorsanız, nasıl değiştirebilirsiniz bunu?&amp;&amp;</x:v>
      </x:c>
      <x:c r="K440" s="37" t="str"/>
      <x:c r="L440" s="37" t="str"/>
      <x:c r="M440" s="37" t="str"/>
      <x:c r="N440" s="37" t="str"/>
      <x:c r="O440" s="37" t="str"/>
    </x:row>
    <x:row r="441" ht="20" customHeight="1">
      <x:c r="A441" s="33" t="n">
        <x:v>1498</x:v>
      </x:c>
      <x:c r="B441" s="34" t="str">
        <x:v>1</x:v>
      </x:c>
      <x:c r="C441" s="34" t="str">
        <x:v>Liderlik</x:v>
      </x:c>
      <x:c r="D441" s="34" t="str">
        <x:v>Liderlik</x:v>
      </x:c>
      <x:c r="E441" s="34" t="str">
        <x:v>Kabile Liderliği</x:v>
      </x:c>
      <x:c r="F441" s="34" t="str">
        <x:v>Dave Logan</x:v>
      </x:c>
      <x:c r="G441" s="34" t="str">
        <x:v>2008</x:v>
      </x:c>
      <x:c r="H441" s="37" t="str">
        <x:v>Beş kabile aşaması</x:v>
      </x:c>
      <x:c r="I441" s="37" t="str">
        <x:v>Logan ve ekibi, organizasyonlardaki her grubun beş kültür aşamasından birinde olduğunu ve bu aşamanın o grubun performansını ve potansiyelini nasıl belirlediğini anlatıyor.</x:v>
      </x:c>
      <x:c r="J441" s="37" t="str">
        <x:v>Dave Logan on yıl boyunca 24.000'den fazla çalışanı inceledi.
Ve her organizasyonda grupların farklı "kültür dilinde" konuştuğunu fark etti.
Beş aşama vardı.
Birincisi: "Hayat berbat." Hayal kırıklığı, sinizm, umutsuzluk.
İkincisi: "Hayatım berbat." Kişisel kurban modu.
Üçüncüsü: "Ben harikayım." Bireysel başarıya odaklı, rekabetçi, işbirliğine kapalı.
Dördüncüsü: "Biz harikayız." Takım kimliği, ortak değerler, kolektif başarı.
##"Beşincisi: Hayat harika. Bu aşamadaki gruplar tarih yazan performanslar sergiledi."##
Logan şunu söylüyor: Çoğu organizasyon üçüncü aşamada takılı. Bireyler parlak ama koordinasyon zayıf.
Dördüncü ve beşinci aşamaya geçiş, kabile liderliğinin işi.
Ve bu geçiş dil değişimiyle başlıyor. "Ben harikayım" yerine "biz harikayız." Bu yalnızca kelime değişimi değil — kimlik dönüşümü.
Logan pratik bir çıkarım sunuyor: Kültürünüzün dilini dinleyin. İnsanlar genellikle hangi aşamada konuşuyor?
$$Bir organizasyonun kültürü, insanların kullandığı dilden okunabilir.$$
&amp;&amp;Çalıştığınız ortamda ya da çevrenizde en sık hangi "kabile dili" duyulur? Bu hangi aşamaya işaret ediyor?&amp;&amp;</x:v>
      </x:c>
      <x:c r="K441" s="37" t="str"/>
      <x:c r="L441" s="37" t="str"/>
      <x:c r="M441" s="37" t="str"/>
      <x:c r="N441" s="37" t="str"/>
      <x:c r="O441" s="37" t="str"/>
    </x:row>
    <x:row r="442" ht="20" customHeight="1">
      <x:c r="A442" s="33" t="n">
        <x:v>1499</x:v>
      </x:c>
      <x:c r="B442" s="34" t="str">
        <x:v>1</x:v>
      </x:c>
      <x:c r="C442" s="34" t="str">
        <x:v>Liderlik</x:v>
      </x:c>
      <x:c r="D442" s="34" t="str">
        <x:v>Liderlik</x:v>
      </x:c>
      <x:c r="E442" s="34" t="str">
        <x:v>Kabile Liderliği</x:v>
      </x:c>
      <x:c r="F442" s="34" t="str">
        <x:v>Dave Logan</x:v>
      </x:c>
      <x:c r="G442" s="34" t="str">
        <x:v>2008</x:v>
      </x:c>
      <x:c r="H442" s="37" t="str">
        <x:v>Ortak düşman kültürünün tehlikesi</x:v>
      </x:c>
      <x:c r="I442" s="37" t="str">
        <x:v>Logan, dördüncü aşama kabilelerin bazen bir ortak düşman etrafında birleştiğini ve bu stratejinin kısa vadede işe yarasa da uzun vadede kırılgan bir kültür yarattığını anlatıyor.</x:v>
      </x:c>
      <x:c r="J442" s="37" t="str">
        <x:v>Dave Logan dördüncü aşama kabilelerin bir tuzağını anlatıyor.
Bu aşamada gruplar "biz harikayız" dilini konuşuyor. Güçlü. Koordineli. Bağlı.
Ama bazen bu "biz" kimliği bir şeyin etrafında kurulmuş: Ortak düşman.
"Biz harikayız çünkü rakibimiz berbat."
"Biz birliğiz çünkü müşteriler bize karşı."
"Biz güçlüyüz çünkü diğer departman rakibimiz."
##Logan şöyle diyor: "Ortak düşman etrafında kurulan kimlik çabuk birleştirir ama uzun sürmez. Çünkü düşman kaybolduğunda kimlik de çözülür."##
Apple'ın "IBM'e karşı savaşıyoruz" kimliğini anlatıyor. Güçlü motivasyon. Ama zamanla bu kimlik değişmek zorunda kaldı.
Logan'ın önerisi: Dördüncü aşamayı beşinciye taşımak için "biz ne için harikayız?" sorusunu değiştirin. Dışarıya karşı değil, daha büyük bir amaca doğru.
"Biz bu ürünü insanların hayatını kolaylaştırmak için yapıyoruz" — bu beşinci aşama dili.
Düşman ortadan kalksa bile kimlik kalıyor. Çünkü anlam dışarıda değil, içeride.
$$Ortak düşman birleştirir ama anlam tutunur — uzun ömürlü kültür anlam üzerine kurulur.$$
&amp;&amp;Bulunduğunuz grup ya da organizasyon, birliğini neyin etrafında kuruyor? Bir düşman mı, bir amaç mı?&amp;&amp;</x:v>
      </x:c>
      <x:c r="K442" s="37" t="str"/>
      <x:c r="L442" s="37" t="str"/>
      <x:c r="M442" s="37" t="str"/>
      <x:c r="N442" s="37" t="str"/>
      <x:c r="O442" s="37" t="str"/>
    </x:row>
    <x:row r="443" ht="20" customHeight="1">
      <x:c r="A443" s="33" t="n">
        <x:v>1500</x:v>
      </x:c>
      <x:c r="B443" s="34" t="str">
        <x:v>1</x:v>
      </x:c>
      <x:c r="C443" s="34" t="str">
        <x:v>Liderlik</x:v>
      </x:c>
      <x:c r="D443" s="34" t="str">
        <x:v>Liderlik</x:v>
      </x:c>
      <x:c r="E443" s="34" t="str">
        <x:v>Kabile Liderliği</x:v>
      </x:c>
      <x:c r="F443" s="34" t="str">
        <x:v>Dave Logan</x:v>
      </x:c>
      <x:c r="G443" s="34" t="str">
        <x:v>2008</x:v>
      </x:c>
      <x:c r="H443" s="37" t="str">
        <x:v>Liderlik ve kültür şekillendirme</x:v>
      </x:c>
      <x:c r="I443" s="37" t="str">
        <x:v>Logan, kabile liderliğinin pozisyon değil bağlantı kurma ve kültürü aktif şekillendirme kapasitesi olduğunu ve herkesin bu liderliği uygulayabileceğini anlatıyor.</x:v>
      </x:c>
      <x:c r="J443" s="37" t="str">
        <x:v>Dave Logan şöyle bir gözlem yapıyor.
Geleneksel liderlik modeli hiyerarşik: CEO'dan müdüre, müdürden çalışana.
Ama en etkili liderler bu modele uymuyordu.
En etkili liderler "düğüm noktalarıydı" — farklı gruplarla bağlantı kuran, aralarında köprü oluşturan insanlar.
##"Kabile lideri direktif vermez" diyor Logan. "Kabile liderinin işi kültürü aktif olarak şekillendirmek — dil, değerler ve bağlantılar aracılığıyla."##
Bu pratik ne anlama geliyor?
Bir toplantıda iki kişi arasında gerginlik var. Kabile lideri müdahale ediyor: "Peki ikisi de aynı değere bağlı — müşteri deneyimine. Bu konuda nasıl birleşebilirsiniz?"
Birinin güçlü yönü başkasının ihtiyacıyla örtüşüyor. Kabile lideri bu bağlantıyı görüyor ve kuruyor.
Bu pozisyon gerektirmiyor. Gözlem ve bağlantı kapasitesi gerektiriyor.
Logan şunu söylüyor: Beşinci aşama kabileler, liderliği yalnızca bir kişiye bırakmıyor. Herkes kendi çevresinde kültürü şekillendiriyor.
$$Liderlik direktif vermek değil — kültürü kasıtlı olarak şekillendirmektir.$$
&amp;&amp;Çevrenizde kültürü kasıtlı olarak şekillendiren birisi var mı? Siz bunu yapıyor musunuz?&amp;&amp;</x:v>
      </x:c>
      <x:c r="K443" s="37" t="str"/>
      <x:c r="L443" s="37" t="str"/>
      <x:c r="M443" s="37" t="str"/>
      <x:c r="N443" s="37" t="str"/>
      <x:c r="O443" s="37" t="str"/>
    </x:row>
    <x:row r="444" ht="20" customHeight="1">
      <x:c r="A444" s="33" t="n">
        <x:v>1501</x:v>
      </x:c>
      <x:c r="B444" s="34" t="str">
        <x:v>1</x:v>
      </x:c>
      <x:c r="C444" s="34" t="str">
        <x:v>Tarih</x:v>
      </x:c>
      <x:c r="D444" s="34" t="str">
        <x:v>Güvenlik</x:v>
      </x:c>
      <x:c r="E444" s="34" t="str">
        <x:v>Korkudan Öğrenmek</x:v>
      </x:c>
      <x:c r="F444" s="34" t="str">
        <x:v>Gavin de Becker</x:v>
      </x:c>
      <x:c r="G444" s="34" t="str">
        <x:v>1997</x:v>
      </x:c>
      <x:c r="H444" s="37" t="str">
        <x:v>Sezginin gerçek değeri</x:v>
      </x:c>
      <x:c r="I444" s="37" t="str">
        <x:v>De Becker, insanların tehlike anında hissettikleri sezginin gerçek bir bilgi kaynağı olduğunu ve bu sezginin nasıl çalıştığını ve neden dinlenmesi gerektiğini anlatıyor.</x:v>
      </x:c>
      <x:c r="J444" s="37" t="str">
        <x:v>Gavin de Becker şöyle bir senaryo kuruyor.
Bir kadın asansöre bindi. Kapılar kapanmak üzereydi.
Bir adam elinde çantayla koşarak girdi.
Kadın içinde bir his hissetti: "Çıkmalıyım." Ama mantıksal bir neden bulamadı. "Saçma görünür" diye düşündü. Ve kaldı.
O gün o adam onu saldırıya uğrattı.
##De Becker şöyle diyor: "Sezgi gerçek bir bilgi kaynağı. Beyin bilinçsizce tehlike sinyalleri işledi. Ve bedeni uyardı. Ama o uyarı görmezden gelindi."##
De Becker şunu araştırdı: Sezgide ne var?
Cevap: Veri. Beyin yüzlerce küçük uyumsuzluğu bilinçsizce işliyor. Davranış kalıplarındaki garip küçük şeyler. Mikro ifadeler. Konuşmadaki tutarsızlıklar.
Hepsi kısa sürede hesaplanıyor. Ve "rahatsızlık" ya da "tehlike" hissi olarak yüzeye çıkıyor.
De Becker şunu söylüyor: Bu hisi mantıklı gerekçeyle açıklayamasanız da, reddetmeyin.
$$Sezgi sahte değil — işlenmemiş verinin hissedilmiş hali.$$
&amp;&amp;Bir durumda sezginizi dinlemediniz ve sonra "keşke dinleseydim" dediniz mi? O his size ne söylüyordu?&amp;&amp;</x:v>
      </x:c>
      <x:c r="K444" s="37" t="str"/>
      <x:c r="L444" s="37" t="str"/>
      <x:c r="M444" s="37" t="str"/>
      <x:c r="N444" s="37" t="str"/>
      <x:c r="O444" s="37" t="str"/>
    </x:row>
    <x:row r="445" ht="20" customHeight="1">
      <x:c r="A445" s="33" t="n">
        <x:v>1502</x:v>
      </x:c>
      <x:c r="B445" s="34" t="str">
        <x:v>1</x:v>
      </x:c>
      <x:c r="C445" s="34" t="str">
        <x:v>Tarih</x:v>
      </x:c>
      <x:c r="D445" s="34" t="str">
        <x:v>Güvenlik</x:v>
      </x:c>
      <x:c r="E445" s="34" t="str">
        <x:v>Korkudan Öğrenmek</x:v>
      </x:c>
      <x:c r="F445" s="34" t="str">
        <x:v>Gavin de Becker</x:v>
      </x:c>
      <x:c r="G445" s="34" t="str">
        <x:v>1997</x:v>
      </x:c>
      <x:c r="H445" s="37" t="str">
        <x:v>Gerçek korku ile endişe arasındaki fark</x:v>
      </x:c>
      <x:c r="I445" s="37" t="str">
        <x:v>De Becker, gerçek tehlikenin uyardığı korku ile kronik endişe arasındaki kritik farkı ve bu ayrımı yapabilmenin hem güvenliği hem de hayat kalitesini nasıl artırdığını anlatıyor.</x:v>
      </x:c>
      <x:c r="J445" s="37" t="str">
        <x:v>Gavin de Becker şöyle bir ayrım yapıyor.
Gerçek korku: Şu an, burada, gerçek bir tehlikeye karşı bedenin verdiği tepki.
Endişe: Belirsiz, uzak, hayali tehditlere karşı zihnin ürettiği senaryo.
Bu iki his birbirinden çok farklı. Ama çoğu insan ikisini karıştırıyor.
##"Endişe bir savunma mekanizması değil" diyor de Becker. "Gerçek tehlikeyi görmemizi engelleyen bir gürültü."##
Düşünün: Sürekli endişelenen insan, gerçek bir tehlike anında ne yapar?
Büyük ihtimalle o tehlikeyi de "endişelerinden biri" olarak işliyor. Ve gerçek ile hayal arasındaki fark bulanıklaşıyor.
De Becker şunu öneriyor: Endişeyi tanıyın. "Bu şu an gerçek mi, yoksa kafamda bir senaryo mu?" diye sorun.
Gerçekse, hareket edin.
Değilse, bırakın.
Bu ayrım hem güvenlik hem de ruh sağlığı için kritik.
$$Gerçek korku sizi korur; endişe sizi tüketir — ikisini ayırt etmek hayat kalitesini değiştirir.$$
&amp;&amp;Şu an en çok hangi endişeyi taşıyorsunuz? Bu şu an gerçek bir tehdit mi, yoksa zihinsel bir senaryo mu?&amp;&amp;</x:v>
      </x:c>
      <x:c r="K445" s="37" t="str"/>
      <x:c r="L445" s="37" t="str"/>
      <x:c r="M445" s="37" t="str"/>
      <x:c r="N445" s="37" t="str"/>
      <x:c r="O445" s="37" t="str"/>
    </x:row>
    <x:row r="446" ht="20" customHeight="1">
      <x:c r="A446" s="33" t="n">
        <x:v>1503</x:v>
      </x:c>
      <x:c r="B446" s="34" t="str">
        <x:v>1</x:v>
      </x:c>
      <x:c r="C446" s="34" t="str">
        <x:v>Tarih</x:v>
      </x:c>
      <x:c r="D446" s="34" t="str">
        <x:v>Güvenlik</x:v>
      </x:c>
      <x:c r="E446" s="34" t="str">
        <x:v>Korkudan Öğrenmek</x:v>
      </x:c>
      <x:c r="F446" s="34" t="str">
        <x:v>Gavin de Becker</x:v>
      </x:c>
      <x:c r="G446" s="34" t="str">
        <x:v>1997</x:v>
      </x:c>
      <x:c r="H446" s="37" t="str">
        <x:v>Şiddetin öngörülebilirliği</x:v>
      </x:c>
      <x:c r="I446" s="37" t="str">
        <x:v>De Becker, şiddetin çoğunlukla öngörülebilir olduğunu ve insanların çevresindeki tehlike işaretlerini nasıl okuyabileceğini anlatıyor.</x:v>
      </x:c>
      <x:c r="J446" s="37" t="str">
        <x:v>Gavin de Becker şaşırtıcı bir iddia yapıyor.
"Şiddet kaçınılmaz değil. Çoğu zaman öngörülebilir."
Ve bu öngörülme kapasitesi öğrenilebilir.
De Becker yıllarca şiddet vakalarını inceledi. Ve tekrar eden örüntüler buldu.
Örüntü birincisi: Tehdit eden kişi genellikle "mağdur" rolünde kendini görüyor. "Beni bu noktaya getirdiler. Seçeneğim kalmadı."
İkincisi: Şiddet öncesinde genellikle açıkça ya da örtük sinyal geldi. Ama görmezden gelindi.
##"Her uyarıya 'deli' ya da 'güvensiz' gibi reddedici bir etiket yapıştırıldığında, o sinyal kayboldu" diyor de Becker.##
Pratik ders: Birileri tehdit edici bir şey söylediğinde, "şakayı büyüttüm" diye geçmeyin. Bir noktayı not alın.
Ve özellikle şunu dikkat edin: Birileri "bunu yapacak hiçbir şeyim kalmadı" ya da "bunun sonu olmayacak" gibi şeyler söylediğinde, bu ifadeleri ciddiye alın.
De Becker şunu söylüyor: İnsanların söylediği şeyler genellikle gerçek bir pencere. Ama dinlemek alışkanlık gerektiriyor.
$$Tehlike çoğu zaman habersiz gelmez — ama biz sinyalleri görmezden geliriz.$$
&amp;&amp;Çevrenizde görmezden geldiğiniz ya da "aşırı yorumlama" diye geçiştirdiğiniz bir uyarı sinyali var mıydı? Ne oldu?&amp;&amp;</x:v>
      </x:c>
      <x:c r="K446" s="37" t="str"/>
      <x:c r="L446" s="37" t="str"/>
      <x:c r="M446" s="37" t="str"/>
      <x:c r="N446" s="37" t="str"/>
      <x:c r="O446" s="37" t="str"/>
    </x:row>
    <x:row r="447" ht="20" customHeight="1">
      <x:c r="A447" s="33" t="n">
        <x:v>1504</x:v>
      </x:c>
      <x:c r="B447" s="34" t="str">
        <x:v>1</x:v>
      </x:c>
      <x:c r="C447" s="34" t="str">
        <x:v>İletişim</x:v>
      </x:c>
      <x:c r="D447" s="34" t="str">
        <x:v>Müzakere</x:v>
      </x:c>
      <x:c r="E447" s="34" t="str">
        <x:v>Müzakerede Evet Almak</x:v>
      </x:c>
      <x:c r="F447" s="34" t="str">
        <x:v>Roger Fisher</x:v>
      </x:c>
      <x:c r="G447" s="34" t="str">
        <x:v>1981</x:v>
      </x:c>
      <x:c r="H447" s="37" t="str">
        <x:v>Mevzisel müzakere tuzağı</x:v>
      </x:c>
      <x:c r="I447" s="37" t="str">
        <x:v>Fisher ve Ury, insanların müzakerede genellikle taleplerinin arkasına mevzi kurduklarını ve bu mevziden ödün vermenin hem zor hem de verimsiz olduğunu anlatıyor.</x:v>
      </x:c>
      <x:c r="J447" s="37" t="str">
        <x:v>Roger Fisher şöyle bir senaryo sunuyor.
İki kardeş bir portakalı paylaşmak için tartışıyor.
Birincisi: "Ben istiyorum."
İkincisi: "Ben istiyorum."
Anne müdahale ediyor. Ortadan kesiyor. Her biri yarım alıyor.
Sonra ortaya çıktı: Birincisi suyunu yapmak istiyordu. İkincisi kabuğunu hamuruna katmak istiyordu.
##Fisher bunu "mevzisel müzakere tuzağı" olarak tanımlıyor: İnsanlar pozisyonlarını savunur, ihtiyaçlarını değil.##
Ve o ihtiyaçlar sorulmadan, müzakere yarım portakal paylaştırmaya çalışıyor.
Gerçekte ise tam bir çözüm mümkündü.
Fisher ve Ury'nin temel ilkesi: Pozisyonların arkasındaki çıkarları keşfedin.
"Ne istiyorsunuz?" yerine "neden istiyorsunuz?" sorusu.
Bu soru çoğu zaman müzakereyi tamamen değiştiriyor. Çünkü çıkarlar çoğu zaman birbiriyle çelişmiyor — pozisyonlar çelişiyor.
$$Pozisyonlar çatışır; çıkarlar çoğu zaman birbirini tamamlar.$$
&amp;&amp;Son müzakere ya da anlaşmazlıkta, karşı tarafın gerçekte ne istediğini sorguladınız mı? Yoksa yalnızca söylediklerine mi odaklandınız?&amp;&amp;</x:v>
      </x:c>
      <x:c r="K447" s="37" t="str"/>
      <x:c r="L447" s="37" t="str"/>
      <x:c r="M447" s="37" t="str"/>
      <x:c r="N447" s="37" t="str"/>
      <x:c r="O447" s="37" t="str"/>
    </x:row>
    <x:row r="448" ht="20" customHeight="1">
      <x:c r="A448" s="33" t="n">
        <x:v>1505</x:v>
      </x:c>
      <x:c r="B448" s="34" t="str">
        <x:v>1</x:v>
      </x:c>
      <x:c r="C448" s="34" t="str">
        <x:v>İletişim</x:v>
      </x:c>
      <x:c r="D448" s="34" t="str">
        <x:v>Müzakere</x:v>
      </x:c>
      <x:c r="E448" s="34" t="str">
        <x:v>Müzakerede Evet Almak</x:v>
      </x:c>
      <x:c r="F448" s="34" t="str">
        <x:v>Roger Fisher</x:v>
      </x:c>
      <x:c r="G448" s="34" t="str">
        <x:v>1981</x:v>
      </x:c>
      <x:c r="H448" s="37" t="str">
        <x:v>BATNA — en iyi alternatif</x:v>
      </x:c>
      <x:c r="I448" s="37" t="str">
        <x:v>Fisher ve Ury, her müzakerenin gücünün karşı tarafın teklifini reddetme kapasitesinden geldiğini ve güçlü bir BATNA'nın müzakere masasındaki en önemli silah olduğunu anlatıyor.</x:v>
      </x:c>
      <x:c r="J448" s="37" t="str">
        <x:v>Roger Fisher şöyle bir soru soruyor.
Müzakerede ne zaman "hayır" diyebilirsiniz?
Cevap: Masadan kalktığınızda sahip olduğunuz alternatif, masadaki tekliften daha iyiyse.
BATNA: Best Alternative To a Negotiated Agreement — müzakere anlaşması olmazsa en iyi alternatifiniz.
##Fisher şöyle diyor: "BATNA'nız güçlüyse müzakerede güçlüsünüz. BATNA'nız zayıfsa, anlaşmak zorunda gibi hissedersiniz."##
Pratik örnek: Bir iş görüşmesine gidiyorsunuz. Zaten başka bir teklifiniz varsa, bu görüşmedeki gücünüz artıyor. Çünkü reddedemeyeceğiniz bir teklife ihtiyacınız yok.
BATNA'nız yoksa — başka seçeneğiniz yoksa — karşı taraf bunu hisseder. Ve baskı uygular.
Fisher'ın tavsiyesi: Her önemli müzakereden önce şunu sorun: "Bu anlaşma olmazsa ne yaparım?"
Eğer cevabınız zayıfsa, önce alternatifinizi güçlendirin. Sonra müzakere masasına oturun.
$$BATNA gücü silah değil — özgürlük. Hayır diyebilmek güçlü müzakerenin temelidir.$$
&amp;&amp;Son önemli müzakeredeki alternatifleriniz ne kadar güçlüydü? Bu güç müzakereyi nasıl etkiledi?&amp;&amp;</x:v>
      </x:c>
      <x:c r="K448" s="37" t="str"/>
      <x:c r="L448" s="37" t="str"/>
      <x:c r="M448" s="37" t="str"/>
      <x:c r="N448" s="37" t="str"/>
      <x:c r="O448" s="37" t="str"/>
    </x:row>
    <x:row r="449" ht="20" customHeight="1">
      <x:c r="A449" s="33" t="n">
        <x:v>1506</x:v>
      </x:c>
      <x:c r="B449" s="34" t="str">
        <x:v>1</x:v>
      </x:c>
      <x:c r="C449" s="34" t="str">
        <x:v>İletişim</x:v>
      </x:c>
      <x:c r="D449" s="34" t="str">
        <x:v>Müzakere</x:v>
      </x:c>
      <x:c r="E449" s="34" t="str">
        <x:v>Müzakerede Evet Almak</x:v>
      </x:c>
      <x:c r="F449" s="34" t="str">
        <x:v>Roger Fisher</x:v>
      </x:c>
      <x:c r="G449" s="34" t="str">
        <x:v>1981</x:v>
      </x:c>
      <x:c r="H449" s="37" t="str">
        <x:v>Nesnel kriterler ve meşruiyet</x:v>
      </x:c>
      <x:c r="I449" s="37" t="str">
        <x:v>Fisher ve Ury, kişisel baskı yerine nesnel kriterlere dayalı müzakerenin neden hem daha adil hem de daha uzun ömürlü sonuçlar ürettiğini anlatıyor.</x:v>
      </x:c>
      <x:c r="J449" s="37" t="str">
        <x:v>Roger Fisher şöyle bir durumu anlatıyor.
İkinci el araba alıyorsunuz. Satıcı bir fiyat söylüyor. Siz başka bir fiyat söylüyorsunuz.
Klasik pazarlık. Kim daha ısrarcı?
Fisher şöyle diyor: Bu müzakere yöntemi hem verimsiz hem de ilişkiyi zedeliyor.
Alternatif: Nesnel kriter.
##"Bu araba piyasada ortalama ne kadar? Benzer araçlar bu yıl ne fiyata satıldı? Bağımsız değerleme ne söylüyor?"##
Fiyat artık kişisel bir savaş değil — nesnel bir standarda referans.
Fisher şunu söylüyor: Nesnel kriterler müzakereyi kişisellikten çıkarıyor. Artık "sen-ben" değil, "birlikte nesnel kriteri buluyoruz."
Bu özellikle uzun vadeli ilişkilerde kritik. İş ortakları, aile üyeleri, uzun vadeli müşterilerle müzakerede, birinin kazanıp diğerinin kaybettiği bir sonuç ilişkiyi zedeliyor.
Nesnel kriterler ise her iki tarafın da kabul edebileceği bir çerçeve sağlıyor.
$$Kişisel baskı değil, meşru standartlar — güçlü ve kalıcı anlaşmaların temeli.$$
&amp;&amp;Bir müzakerede ya da anlaşmazlıkta nesnel kriterleri nasıl kullanabilirdiniz? Bu yaklaşım sonucu nasıl değiştirir?&amp;&amp;</x:v>
      </x:c>
      <x:c r="K449" s="37" t="str"/>
      <x:c r="L449" s="37" t="str"/>
      <x:c r="M449" s="37" t="str"/>
      <x:c r="N449" s="37" t="str"/>
      <x:c r="O449" s="37" t="str"/>
    </x:row>
    <x:row r="450" ht="20" customHeight="1">
      <x:c r="A450" s="33" t="n">
        <x:v>1507</x:v>
      </x:c>
      <x:c r="B450" s="34" t="str">
        <x:v>1</x:v>
      </x:c>
      <x:c r="C450" s="34" t="str">
        <x:v>Liderlik</x:v>
      </x:c>
      <x:c r="D450" s="34" t="str">
        <x:v>Yönetim</x:v>
      </x:c>
      <x:c r="E450" s="34" t="str">
        <x:v>Değişim Yönetimi</x:v>
      </x:c>
      <x:c r="F450" s="34" t="str">
        <x:v>John Kotter</x:v>
      </x:c>
      <x:c r="G450" s="34" t="str">
        <x:v>1996</x:v>
      </x:c>
      <x:c r="H450" s="37" t="str">
        <x:v>Sekiz adım ve hata bir</x:v>
      </x:c>
      <x:c r="I450" s="37" t="str">
        <x:v>Kotter, büyük organizasyonel değişimlerin yüzde yetmişten fazlasının başarısız olduğunu ve bu başarısızlığın büyük çoğunluğunun ilk adımı atlamaktan — aciliyet hissi yaratmaktan — kaynaklandığını anlatıyor.</x:v>
      </x:c>
      <x:c r="J450" s="37" t="str">
        <x:v>John Kotter onlarca yıl boyunca yüzlerce şirket dönüşümünü inceledi.
Sonuç çarpıcıydı: Büyük değişim girişimlerinin yüzde yetmiş ila sekseninden fazlası başarısız oluyor.
Neden?
Kotter sekiz ortak hata buldu. Ve en sık yapılan hata ilk adımda yapılıyordu.
##"Değişim aciliyet hissi olmadan başarısız olur" diyor Kotter. "İnsanlar 'neden şimdi değişelim?' diye düşündüklerinde, direnç kaçınılmaz."##
Aciliyet hissi ne demek? "Eğer değişmezsek, ne kaybederiz?" sorusunun gerçek ve somut bir cevabı olması.
Soyut tehditler işe yaramıyor. "Rakipler gelişiyor" — herkes bunu söylüyor. Ama "şu rakip geçen çeyrekte pazar payımızın yüzde onunu aldı" — bu aciliyet yaratıyor.
Kotter şunu ekliyor: Yanlış aciliyet de var. Organizasyonu sürekli kriz modu gösteren liderler, çalışanlarda "bu da geçer" yorgunluğu yaratıyor.
Doğru aciliyet: Gerçek, spesifik, verilerle desteklenen tehdit ya da fırsat.
$$Değişim aciliyet hissiyle başlar — bu hissi yaratamamak, her adımı önceden sabote eder.$$
&amp;&amp;Hayatınızda ya da işinizde gerçekten değişim yaratmak istediğiniz bir şey var mı? O alanda gerçek aciliyet hissediyor musunuz?&amp;&amp;</x:v>
      </x:c>
      <x:c r="K450" s="37" t="str"/>
      <x:c r="L450" s="37" t="str"/>
      <x:c r="M450" s="37" t="str"/>
      <x:c r="N450" s="37" t="str"/>
      <x:c r="O450" s="37" t="str"/>
    </x:row>
    <x:row r="451" ht="20" customHeight="1">
      <x:c r="A451" s="33" t="n">
        <x:v>1508</x:v>
      </x:c>
      <x:c r="B451" s="34" t="str">
        <x:v>1</x:v>
      </x:c>
      <x:c r="C451" s="34" t="str">
        <x:v>Liderlik</x:v>
      </x:c>
      <x:c r="D451" s="34" t="str">
        <x:v>Yönetim</x:v>
      </x:c>
      <x:c r="E451" s="34" t="str">
        <x:v>Değişim Yönetimi</x:v>
      </x:c>
      <x:c r="F451" s="34" t="str">
        <x:v>John Kotter</x:v>
      </x:c>
      <x:c r="G451" s="34" t="str">
        <x:v>1996</x:v>
      </x:c>
      <x:c r="H451" s="37" t="str">
        <x:v>Güçlendirici koalisyon</x:v>
      </x:c>
      <x:c r="I451" s="37" t="str">
        <x:v>Kotter, büyük değişimlerin hiçbir zaman tek bir kişinin çabasıyla gerçekleşmediğini ve başarılı dönüşümlerin arkasında güçlü bir rehberlik koalisyonu olduğunu anlatıyor.</x:v>
      </x:c>
      <x:c r="J451" s="37" t="str">
        <x:v>John Kotter şöyle bir hata görüyor.
CEO büyük bir değişim ilan ediyor. Tüm organizasyona duyuruyor. Ve sonra bekliyor.
Neden işe yaramıyor?
##"Büyük değişim tek bir kişinin enerjisiyle taşınmaz" diyor Kotter. "Güçlü bir değişim koalisyonu olmadan, direnç değişimi yener."##
Bu koalisyon kim olmalı?
Kotter dört özellik tanımlıyor.
Birincisi yeterli pozisyonel güç: Değişimi fiilen hayata geçirebilecek pozisyonlarda insanlar.
İkincisi uzmanlık: Değişimin teknik ve insani boyutlarını anlayan kişiler.
Üçüncüsü güvenilirlik: Organizasyonun saygı duyduğu isimler.
Dördüncüsü liderlik kapasitesi: Sadece yönetim değil, gerçek liderlik.
Ve bu koalisyon sadece görevden oluşmamalı. Gerçek bir inanç taşımalı.
Kotter şunu ekliyor: En güçlü koalisyonlar, en yüksek rütbelileri değil, en inananları içeriyor.
$$Değişim koalisyon gerektirir — tek kahraman değişimi taşıyamaz.$$
&amp;&amp;Hayatınızda ya da işinizde gerçekleştirmek istediğiniz bir değişim için yanınızda bir koalisyon var mı?&amp;&amp;</x:v>
      </x:c>
      <x:c r="K451" s="37" t="str"/>
      <x:c r="L451" s="37" t="str"/>
      <x:c r="M451" s="37" t="str"/>
      <x:c r="N451" s="37" t="str"/>
      <x:c r="O451" s="37" t="str"/>
    </x:row>
    <x:row r="452" ht="20" customHeight="1">
      <x:c r="A452" s="33" t="n">
        <x:v>1509</x:v>
      </x:c>
      <x:c r="B452" s="34" t="str">
        <x:v>1</x:v>
      </x:c>
      <x:c r="C452" s="34" t="str">
        <x:v>Liderlik</x:v>
      </x:c>
      <x:c r="D452" s="34" t="str">
        <x:v>Yönetim</x:v>
      </x:c>
      <x:c r="E452" s="34" t="str">
        <x:v>Değişim Yönetimi</x:v>
      </x:c>
      <x:c r="F452" s="34" t="str">
        <x:v>John Kotter</x:v>
      </x:c>
      <x:c r="G452" s="34" t="str">
        <x:v>1996</x:v>
      </x:c>
      <x:c r="H452" s="37" t="str">
        <x:v>Kısa vadeli kazanımlar ve değişim momentumu</x:v>
      </x:c>
      <x:c r="I452" s="37" t="str">
        <x:v>Kotter, uzun vadeli değişim programlarının kısa vadeli kazanım planlamadan neden tutarsız bir şekilde başarısız olduğunu ve insanların somut sonuçlar görmeden değişim enerjisini nasıl kaybettiğini anlatıyor.</x:v>
      </x:c>
      <x:c r="J452" s="37" t="str">
        <x:v>John Kotter şöyle bir örüntü görüyor.
Büyük değişim programları başlıyor. Herkes heyecanlı. Vizyon net. Strateji hazır.
Altı ay geçiyor. Somut bir şey yok.
İnsanlar sorgulamaya başlıyor: "Bu gerçekten olacak mı?"
Bir yıl geçiyor. Hâlâ somut sonuç yok.
Sinizm yayılıyor. "Yine aynı şirket söylemi."
##Kotter şöyle diyor: "Büyük değişimler uzun sürer. Ama insanların değişime olan inancı kısa vadeli somut kazanımlarla beslenmek zorunda."##
Kısa vadeli kazanım ne?
Küçük ama görünür ve tartışılmaz bir başarı. "Bu bölümde şu süreç değişti ve şu sonuç geldi."
Bu küçük başarı iki şey yapıyor.
Birincisi, değişimin mümkün olduğunu kanıtlıyor. "Bu gerçekten işe yarıyor."
İkincisi, değişimi destekleyenleri ödüllendiriyor. "Katılmaya değer."
Kotter şunu söylüyor: Büyük vizyona ulaşmak için yolu küçük kazanım taşlarıyla döşeyin.
$$Uzun yolculuklar kısa adımların motivasyonuyla sürdürülür.$$
&amp;&amp;Hayatınızdaki ya da işinizdeki uzun vadeli bir değişim için bugün elde edebileceğiniz küçük ama görünür bir kazanım ne olabilir?&amp;&amp;</x:v>
      </x:c>
      <x:c r="K452" s="37" t="str"/>
      <x:c r="L452" s="37" t="str"/>
      <x:c r="M452" s="37" t="str"/>
      <x:c r="N452" s="37" t="str"/>
      <x:c r="O452" s="37" t="str"/>
    </x:row>
    <x:row r="453" ht="20" customHeight="1">
      <x:c r="A453" s="33" t="n">
        <x:v>1510</x:v>
      </x:c>
      <x:c r="B453" s="34" t="str">
        <x:v>1</x:v>
      </x:c>
      <x:c r="C453" s="34" t="str">
        <x:v>Felsefe</x:v>
      </x:c>
      <x:c r="D453" s="34" t="str">
        <x:v>Felsefe</x:v>
      </x:c>
      <x:c r="E453" s="34" t="str">
        <x:v>Pratik Stoacılık</x:v>
      </x:c>
      <x:c r="F453" s="34" t="str">
        <x:v>William Irvine</x:v>
      </x:c>
      <x:c r="G453" s="34" t="str">
        <x:v>2008</x:v>
      </x:c>
      <x:c r="H453" s="37" t="str">
        <x:v>Negatif görselleştirme — kaybı hayal etmek</x:v>
      </x:c>
      <x:c r="I453" s="37" t="str">
        <x:v>Irvine, Stoacıların sahip olunanları kaybetmeyi hayal etme pratiğinin nasıl hem endişeyi azalttığını hem de mevcut güzelliklere derin bir şükran duygusu yarattığını anlatıyor.</x:v>
      </x:c>
      <x:c r="J453" s="37" t="str">
        <x:v>William Irvine Stoacıların garip bir pratiğini anlatıyor.
Her sabah düşünüyorlar: "Eğer bugün bu kaybetseydim ne olurdu?"
Sevdiklerini. Sağlıklarını. İşlerini. Sahip olduklarını.
Bu karamsar ya da üzücü bir pratik gibi görünüyor. Ama tam tersi bir etkisi var.
##Irvine şöyle açıklıyor: "Sahip olduklarınızı zaten kaybetmiş gibi deneyimlediğinizde, hâlâ sahip olduğunuzda derin bir şükran hissediyorsunuz."##
Kahvenizi içiyorsunuz. Normalde sıradan. Ama "bunu içemeyeceğimi hayal ettikten sonra" — bu kahve birden çok daha değerli hissettiriyor.
Birini seviyorsunuz. Onu kaybetmeyi hayal ettikten sonra — bu an çok daha derin hissettiriyor.
Irvine bunu "hedonik adaptasyon"a karşı bir panzehir olarak sunuyor. Beyin sahip olduğuna alışıyor. Ve alışınca değerini kaybediyor.
Negatif görselleştirme bu adaptasyonu kırıyor. Her an yeni gibi yaşanıyor.
Ve bir yan faydası daha var: Gerçekten kaybettiğinizde, beyin hazırlıklı. Şok daha az. Adaptasyon daha hızlı.
$$Kaybı hayal etmek mevcut anı hem daha değerli hem de daha kalıcı kılar.$$
&amp;&amp;Şu an hayatınızda "zaten var" diye fark etmediğiniz ama kaybettiğinizde çok özleyeceğiniz şeyler neler?&amp;&amp;</x:v>
      </x:c>
      <x:c r="K453" s="37" t="str"/>
      <x:c r="L453" s="37" t="str"/>
      <x:c r="M453" s="37" t="str"/>
      <x:c r="N453" s="37" t="str"/>
      <x:c r="O453" s="37" t="str"/>
    </x:row>
    <x:row r="454" ht="20" customHeight="1">
      <x:c r="A454" s="33" t="n">
        <x:v>1511</x:v>
      </x:c>
      <x:c r="B454" s="34" t="str">
        <x:v>1</x:v>
      </x:c>
      <x:c r="C454" s="34" t="str">
        <x:v>Felsefe</x:v>
      </x:c>
      <x:c r="D454" s="34" t="str">
        <x:v>Felsefe</x:v>
      </x:c>
      <x:c r="E454" s="34" t="str">
        <x:v>Pratik Stoacılık</x:v>
      </x:c>
      <x:c r="F454" s="34" t="str">
        <x:v>William Irvine</x:v>
      </x:c>
      <x:c r="G454" s="34" t="str">
        <x:v>2008</x:v>
      </x:c>
      <x:c r="H454" s="37" t="str">
        <x:v>Kontrol dışındaki şeylerle barışmak</x:v>
      </x:c>
      <x:c r="I454" s="37" t="str">
        <x:v>Irvine, Stoacıların kontroldeki ve kontroldışındaki şeyleri sistematik biçimde ayırt ettiğini ve bu ayrımın anksiyete ve hayal kırıklığını nasıl azalttığını anlatıyor.</x:v>
      </x:c>
      <x:c r="J454" s="37" t="str">
        <x:v>William Irvine Stoacılığın temel pratiğini aktarıyor.
Her sabah bir soruyla başlıyorlar: "Bu benim kontrolümde mi?"
Hava: Hayır. Başkalarının düşünceleri: Hayır. Geçmiş: Hayır. Hastalık: Hayır.
Kendi düşünceleri: Evet. Tepkileri: Evet. Çabaları: Evet. Değerleri: Evet.
##Irvine şöyle diyor: "Stoacılar enerjilerini yalnızca kontrollerindeki şeylere harcıyordu. Kontroldışındakilere ise kabul ile yaklaşıyorlardı."##
Bu kulağa pasiflik gibi geliyor. Ama değil.
Kontroldışı şeylere enerji harcamamak, kontroldeki şeylere daha fazla enerji bırakmak demek.
Irvine bunu modern yaşama taşıyor.
Trafik: Kontrolde değil. Enerji harcama. Ama cevabın trafikte geçirilen zamanı nasıl kullanacağın: Kontrolde.
Başkasının görüşü: Kontrolde değil. Ama görüşe nasıl tepki vereceğin: Kontrolde.
Hava durumu: Değil. Ama hava ne olursa olsun iyi planlamak: Evet.
Bu ayrım hem pratik hem de derin. Çünkü anksiyetenin büyük çoğunluğu kontroldışı şeyler üzerine yapılan zihinsel enerji harcamasından geliyor.
$$Kontrolünüzdeki şeylere maksimum enerji, kontrolünüz dışındakilere sıfır enerji — Stoacı özgürlük budur.$$
&amp;&amp;Bu hafta en çok hangi şeye enerji harcadınız — ve o şey gerçekten kontrolünüzde miydi?&amp;&amp;</x:v>
      </x:c>
      <x:c r="K454" s="37" t="str"/>
      <x:c r="L454" s="37" t="str"/>
      <x:c r="M454" s="37" t="str"/>
      <x:c r="N454" s="37" t="str"/>
      <x:c r="O454" s="37" t="str"/>
    </x:row>
    <x:row r="455" ht="20" customHeight="1">
      <x:c r="A455" s="33" t="n">
        <x:v>1512</x:v>
      </x:c>
      <x:c r="B455" s="34" t="str">
        <x:v>1</x:v>
      </x:c>
      <x:c r="C455" s="34" t="str">
        <x:v>Felsefe</x:v>
      </x:c>
      <x:c r="D455" s="34" t="str">
        <x:v>Felsefe</x:v>
      </x:c>
      <x:c r="E455" s="34" t="str">
        <x:v>Pratik Stoacılık</x:v>
      </x:c>
      <x:c r="F455" s="34" t="str">
        <x:v>William Irvine</x:v>
      </x:c>
      <x:c r="G455" s="34" t="str">
        <x:v>2008</x:v>
      </x:c>
      <x:c r="H455" s="37" t="str">
        <x:v>Stoacı akşam muhasebesi</x:v>
      </x:c>
      <x:c r="I455" s="37" t="str">
        <x:v>Irvine, Marcus Aurelius ve Seneca'nın her akşam günün olaylarını Stoacı değerlerle değerlendirdiğini ve bu pratiğin karakter inşasının en etkili yolu olduğunu anlatıyor.</x:v>
      </x:c>
      <x:c r="J455" s="37" t="str">
        <x:v>William Irvine Stoacıların akşam pratiğini anlatıyor.
Her gece yatmadan önce üç soru.
Birincisi: "Bugün hangi kötü alışkanlıklarımla mücadele ettim?"
İkincisi: "Bugün nasıl daha iyi davranabilirdim?"
Üçüncüsü: "Bugün hangi değerime uygun davrandım?"
Bu sorular otomatik olarak sorulmuyor. Bir ritual.
##Irvine şöyle diyor: "Stoacılar günü muhasebesiz kapatmıyordu. Çünkü muhasebe olmadan büyüme de olmaz."##
Marcus Aurelius bunu "Düşünceler" kitabında yaptı — ama kendisine karşı acımasızca dürüstlüktü. Kendini övmüyordu. Düştüğü yerleri not alıyordu.
"Bugün sinirimi kaybettim. Neden? Bir dahaki seferde nasıl farklı yapabilirim?"
Bu günlük değil — mühendislik defteri.
Ve Irvine şunu söylüyor: Bu pratik küçük görünüyor. Ama aylarca yıllar içinde devasa bir karakter birikimi yaratıyor.
Her gece küçük bir adım. Her sabah biraz daha Stoacı.
$$Karakter muhasebe gerektiriyor — her gece küçük bir hesap, zamanla büyük bir birikim yaratır.$$
&amp;&amp;Bu akşam günün bir bölümünü üç Stoacı soruyla değerlendirseniz, hangi yanıtlar çıkar?&amp;&amp;</x:v>
      </x:c>
      <x:c r="K455" s="37" t="str"/>
      <x:c r="L455" s="37" t="str"/>
      <x:c r="M455" s="37" t="str"/>
      <x:c r="N455" s="37" t="str"/>
      <x:c r="O455" s="37" t="str"/>
    </x:row>
    <x:row r="456" ht="20" customHeight="1">
      <x:c r="A456" s="33" t="n">
        <x:v>1513</x:v>
      </x:c>
      <x:c r="B456" s="34" t="str">
        <x:v>1</x:v>
      </x:c>
      <x:c r="C456" s="34" t="str">
        <x:v>Verimlilik</x:v>
      </x:c>
      <x:c r="D456" s="34" t="str">
        <x:v>İş Dünyası</x:v>
      </x:c>
      <x:c r="E456" s="34" t="str">
        <x:v>Yıkıcı İnovasyon</x:v>
      </x:c>
      <x:c r="F456" s="34" t="str">
        <x:v>Clayton Christensen</x:v>
      </x:c>
      <x:c r="G456" s="34" t="str">
        <x:v>1997</x:v>
      </x:c>
      <x:c r="H456" s="37" t="str">
        <x:v>Sabit disk sanayisinin dersi</x:v>
      </x:c>
      <x:c r="I456" s="37" t="str">
        <x:v>Christensen, sabit disk sektöründe lider şirketlerin müşterilerini dinledikleri için nasıl piyasadan silindiklerini ve 'iyi yönetimin' bazen yıkımın nedeni olduğunu anlatıyor.</x:v>
      </x:c>
      <x:c r="J456" s="37" t="str">
        <x:v>Clayton Christensen sabit disk sektörünü inceledi.
Her on yılda liderler değişiyordu. Ama yeni liderlere yenik düşen şirketler aptal ya da tembeldi değil.
Tam tersine. Müşterileri iyi dinliyorlardı. Yatırımcılarına hesap veriyorlardı. Kalite odaklıydılar.
##"Başarıyla yönetilen şirketler tam da bu sebepten battı" diyor Christensen. "İyi yönetim kuralları onları yerinden etti."##
Nasıl?
Mevcut müşteriler mevcut ürünü iyileştirmek istiyordu. Büyük, hızlı, güvenilir. Şirket bunu yaptı.
Ama küçük, daha az performanslı ama çok daha ucuz bir ürün ortaya çıktı. Mevcut müşteriler istemiyordu. Yeni pazarlar istiyordu.
Lider şirket bu fırsatı küçümsedi. "Müşterilerimiz bunu istemiyor."
Ama küçük girişim o piyasayı büyüttü. Ve sonunda lider şirketin pazarına da girdi.
Christensen bu mekanizmayı "yıkıcı inovasyon" olarak adlandırdı. Ve her endüstride görülüyor.
Soru şu: Sizi yıkacak olan şirketi bugün görüyor musunuz?
$$Mevcut müşterileri dinlemek bazen geleceği kaçırmak demektir.$$
&amp;&amp;Şu an bulunduğunuz alanda mevcut oyuncuları tehdit eden küçük ama büyüyen bir alternatif var mı?&amp;&amp;</x:v>
      </x:c>
      <x:c r="K456" s="37" t="str"/>
      <x:c r="L456" s="37" t="str"/>
      <x:c r="M456" s="37" t="str"/>
      <x:c r="N456" s="37" t="str"/>
      <x:c r="O456" s="37" t="str"/>
    </x:row>
    <x:row r="457" ht="20" customHeight="1">
      <x:c r="A457" s="33" t="n">
        <x:v>1514</x:v>
      </x:c>
      <x:c r="B457" s="34" t="str">
        <x:v>1</x:v>
      </x:c>
      <x:c r="C457" s="34" t="str">
        <x:v>Verimlilik</x:v>
      </x:c>
      <x:c r="D457" s="34" t="str">
        <x:v>İş Dünyası</x:v>
      </x:c>
      <x:c r="E457" s="34" t="str">
        <x:v>Yıkıcı İnovasyon</x:v>
      </x:c>
      <x:c r="F457" s="34" t="str">
        <x:v>Clayton Christensen</x:v>
      </x:c>
      <x:c r="G457" s="34" t="str">
        <x:v>1997</x:v>
      </x:c>
      <x:c r="H457" s="37" t="str">
        <x:v>İki tür inovasyon</x:v>
      </x:c>
      <x:c r="I457" s="37" t="str">
        <x:v>Christensen, sürdürücü ve yıkıcı inovasyon arasındaki kritik farkı açıklıyor ve büyük şirketlerin neden yıkıcı inovasyon yapmakta sistematik olarak başarısız olduğunu gösteriyor.</x:v>
      </x:c>
      <x:c r="J457" s="37" t="str">
        <x:v>Clayton Christensen iki inovasyon türü tanımlıyor.
Birincisi sürdürücü inovasyon: Mevcut müşterilere mevcut ürünü daha iyi hale getirmek. Daha hızlı araba, daha büyük ekran, daha az hata.
Bu inovasyon lider şirketlerin güçlü olduğu yer. Kaynakları var. Süreçleri var. Müşteri ilişkileri var.
İkincisi yıkıcı inovasyon: Genellikle daha basit, daha ucuz ya da farklı bir özellik seti sunarak yeni bir pazar yaratmak.
##"Büyük şirketler yıkıcı inovasyona bakarlar ve mantıklı bir şekilde kaçınırlar" diyor Christensen. "Çünkü kısa vadede mantıklı olan karar, uzun vadede ölümcüldür."##
Neden kaçınırlar?
Yeni ürünün marjı düşük. Mevcut müşteriler istemez. Başarı belirsiz.
Mevcut müşterileri dinleyerek, mevcut işi sürdürerek — tüm mantıklı kararlar veriyorlar.
Ve küçük bir girişim o "mantıksız" yatırımı yapıyor. Başarısız olabiliyor. Ama bazen de tüm piyasayı dönüştürüyor.
Christensen'ın mesajı: Yıkıcı inovasyon ayrı bir birim gerektiriyor. Mevcut iş kültüründen korunmuş, farklı kurallarla çalışan bir yapı.
$$Sürdürücü inovasyon bugünü iyileştirir; yıkıcı inovasyon geleceği şekillendirir.$$
&amp;&amp;Bulunduğunuz alanda şu an "mantıksız" görünen ama geleceği şekillendirebilecek bir inovasyon fikri var mı?&amp;&amp;</x:v>
      </x:c>
      <x:c r="K457" s="37" t="str"/>
      <x:c r="L457" s="37" t="str"/>
      <x:c r="M457" s="37" t="str"/>
      <x:c r="N457" s="37" t="str"/>
      <x:c r="O457" s="37" t="str"/>
    </x:row>
    <x:row r="458" ht="20" customHeight="1">
      <x:c r="A458" s="33" t="n">
        <x:v>1515</x:v>
      </x:c>
      <x:c r="B458" s="34" t="str">
        <x:v>1</x:v>
      </x:c>
      <x:c r="C458" s="34" t="str">
        <x:v>Verimlilik</x:v>
      </x:c>
      <x:c r="D458" s="34" t="str">
        <x:v>İş Dünyası</x:v>
      </x:c>
      <x:c r="E458" s="34" t="str">
        <x:v>Yıkıcı İnovasyon</x:v>
      </x:c>
      <x:c r="F458" s="34" t="str">
        <x:v>Clayton Christensen</x:v>
      </x:c>
      <x:c r="G458" s="34" t="str">
        <x:v>1997</x:v>
      </x:c>
      <x:c r="H458" s="37" t="str">
        <x:v>Kaynak dağıtımı ve strateji icra uçurumu</x:v>
      </x:c>
      <x:c r="I458" s="37" t="str">
        <x:v>Christensen, şirketlerin ilan ettikleri stratejilerle kaynak dağıtım kararları arasında kronik bir uçurum olduğunu ve bu uçurumun gerçek stratejinin söylemden değil kararlardan okunduğunu gösteriyor.</x:v>
      </x:c>
      <x:c r="J458" s="37" t="str">
        <x:v>Clayton Christensen şöyle bir gözlem yapıyor.
Bir şirket strateji toplantısı yapıyor. "Yeni pazarlara giriyoruz. İnovasyon önceliğimiz. Geleceğe yatırım yapıyoruz."
Sonra bütçe görüşmeleri başlıyor.
Yeni pazara giriş projesi talep ediyor: 50 milyon.
Mevcut müşteriye yeni özellik talebi: 20 milyon.
Ne onaylanıyor?
##"Mevcut müşteri projesi" diyor Christensen. "Her zaman. Çünkü mevcut müşterinin getirisi kesin, yeni piyasanın belirsiz."##
Bu strateji-uygulama uçurumu şirketleri yıkıyor. Çünkü söylenen strateji değil, finansman kararları gerçek stratejiyi gösteriyor.
Ve bu yalnızca şirketler için geçerli değil.
Bireyler de aynı tuzağa düşüyor. "Sağlıklı yaşam önceliğim" diyor. Ama zamanını nereye harcıyor?
"Aile benim için her şey" diyor. Ama takvim ne söylüyor?
Gerçek stratejinizi bulmak istiyorsanız, söylediklerinize değil kararlarınıza bakın.
$$Gerçek strateji ilan edilmez — kaynak kararlarından okunur.$$
&amp;&amp;Şu an söylediğiniz önceliklerinizle gerçek zaman ve para harcamalarınız ne kadar örtüşüyor?&amp;&amp;</x:v>
      </x:c>
      <x:c r="K458" s="37" t="str"/>
      <x:c r="L458" s="37" t="str"/>
      <x:c r="M458" s="37" t="str"/>
      <x:c r="N458" s="37" t="str"/>
      <x:c r="O458" s="37" t="str"/>
    </x:row>
    <x:row r="459" ht="20" customHeight="1">
      <x:c r="A459" s="33" t="n">
        <x:v>1516</x:v>
      </x:c>
      <x:c r="B459" s="34" t="str">
        <x:v>1</x:v>
      </x:c>
      <x:c r="C459" s="34" t="str">
        <x:v>Verimlilik</x:v>
      </x:c>
      <x:c r="D459" s="34" t="str">
        <x:v>Girişimcilik</x:v>
      </x:c>
      <x:c r="E459" s="34" t="str">
        <x:v>Müşteri Geliştirme</x:v>
      </x:c>
      <x:c r="F459" s="34" t="str">
        <x:v>Rob Fitzpatrick</x:v>
      </x:c>
      <x:c r="G459" s="34" t="str">
        <x:v>2013</x:v>
      </x:c>
      <x:c r="H459" s="37" t="str">
        <x:v>Anne testi nedir</x:v>
      </x:c>
      <x:c r="I459" s="37" t="str">
        <x:v>Fitzpatrick, müşteri araştırmasının neden çoğu zaman yanıltıcı sonuçlar verdiğini ve 'anne testini' geçen soruların gerçek veri ürettiğini anlatıyor.</x:v>
      </x:c>
      <x:c r="J459" s="37" t="str">
        <x:v>Rob Fitzpatrick şöyle bir senaryo kuruyor.
Bir girişimci annesine iş fikrini anlattı.
"Anne, bu fikri beğeniyor musun?"
Anne: "Harika! Çok akıllısın. Mutlaka dene."
Girişimci mutlu çıktı. "Fikrim çalışıyor!"
##Fitzpatrick şöyle diyor: "Annen sizi sevdiği için yalan söylüyor. Bu veri değil — nezaket."##
Ve daha kötüsü: Bu sadece anneniz için geçerli değil. İnsanlar fikir sahibiyle yüz yüze konuştuklarında, onu kırmamak için olumlu konuşuyorlar.
Bu yüzden "fikrinizi beğendiniz mi?" sorusu her zaman yanlış.
Doğru sorular şunlar:
"Bu konuda en zor olan ne?" (Geçmiş deneyim soruyor)
"Bu problemi şu an nasıl çözüyorsunuz?" (Gerçek davranışı soruyor)
"Bu konuda ne kadar para harcadınız?" (Önceliği ölçüyor)
Anne testi: Bir soruyu annenize sorsanız, ve o sizi sevdiği için yalan söylemek zorunda kalsa bile gerçek veri alırsanız — o soruyu geçmiştir.
$$Doğrulama değil, gerçeği öğrenme — doğru müşteri araştırması bu farkı bilir.$$
&amp;&amp;Bir projeniz ya da fikriniz için yaptığınız araştırmada, insanlar gerçekten mi konuştu yoksa nezaketen mi?&amp;&amp;</x:v>
      </x:c>
      <x:c r="K459" s="37" t="str"/>
      <x:c r="L459" s="37" t="str"/>
      <x:c r="M459" s="37" t="str"/>
      <x:c r="N459" s="37" t="str"/>
      <x:c r="O459" s="37" t="str"/>
    </x:row>
    <x:row r="460" ht="20" customHeight="1">
      <x:c r="A460" s="33" t="n">
        <x:v>1517</x:v>
      </x:c>
      <x:c r="B460" s="34" t="str">
        <x:v>1</x:v>
      </x:c>
      <x:c r="C460" s="34" t="str">
        <x:v>Verimlilik</x:v>
      </x:c>
      <x:c r="D460" s="34" t="str">
        <x:v>Girişimcilik</x:v>
      </x:c>
      <x:c r="E460" s="34" t="str">
        <x:v>Müşteri Geliştirme</x:v>
      </x:c>
      <x:c r="F460" s="34" t="str">
        <x:v>Rob Fitzpatrick</x:v>
      </x:c>
      <x:c r="G460" s="34" t="str">
        <x:v>2013</x:v>
      </x:c>
      <x:c r="H460" s="37" t="str">
        <x:v>Konuşmaların en kötü hataları</x:v>
      </x:c>
      <x:c r="I460" s="37" t="str">
        <x:v>Fitzpatrick, girişimcilerin müşteri görüşmelerinde yaptığı üç ölümcül hatayı ve bunların gerçek veriyi nasıl mahvettiğini anlatıyor.</x:v>
      </x:c>
      <x:c r="J460" s="37" t="str">
        <x:v>Rob Fitzpatrick müşteri görüşmelerinin nasıl mahvolduğunu anlatıyor.
Hata bir: Fikrinizi anlatmak.
Görüşmenin amacı müşteriye fikirden bahsetmek değil. Müşteriyi anlamak.
Ama girişimciler sabırsızlanıyor. "Şunu yapsak?" Müşteri: "İlginç." Bu bilgi değil.
Hata iki: Geleceği sormak.
"Böyle bir ürün olsa kullanır mıydınız?" Müşteri: "Evet, muhtemelen." Bu da bilgi değil.
##Fitzpatrick şöyle diyor: "İnsanlar geçmişteki davranışları hakkında dürüst, gelecekteki niyetleri hakkında iyimserdir."##
Gelecek yerine geçmiş sorun: "Bunu en son ne zaman yaptınız?" "Ne kadar para harcadınız buna?"
Hata üç: Iltifat kabul etmek.
"Bu harika bir fikir!" duyduğunuzda mutlu oluyorsunuz. Ama bu bilgi değil.
Fitzpatrick şöyle diyor: Iltifattan kaçın. Öğrenmeyi isteyin. "Bu harika — neden harika? Hangi sorunumu çözüyor?"
Iyi veri can yakıyor. Kötü veri sizi mutlu ediyor ama yanlış yöne götürüyor.
$$Sizi mutlu eden veriye değil, doğru olan veriye ihtiyacınız var — ikisi çoğu zaman aynı değil.$$
&amp;&amp;Son önemli geri bildirim aldığınızda, gerçek veri mi aldınız yoksa nezaket mi? Nasıl ayırt ettin?&amp;&amp;</x:v>
      </x:c>
      <x:c r="K460" s="37" t="str"/>
      <x:c r="L460" s="37" t="str"/>
      <x:c r="M460" s="37" t="str"/>
      <x:c r="N460" s="37" t="str"/>
      <x:c r="O460" s="37" t="str"/>
    </x:row>
    <x:row r="461" ht="20" customHeight="1">
      <x:c r="A461" s="33" t="n">
        <x:v>1518</x:v>
      </x:c>
      <x:c r="B461" s="34" t="str">
        <x:v>1</x:v>
      </x:c>
      <x:c r="C461" s="34" t="str">
        <x:v>Verimlilik</x:v>
      </x:c>
      <x:c r="D461" s="34" t="str">
        <x:v>Girişimcilik</x:v>
      </x:c>
      <x:c r="E461" s="34" t="str">
        <x:v>Müşteri Geliştirme</x:v>
      </x:c>
      <x:c r="F461" s="34" t="str">
        <x:v>Rob Fitzpatrick</x:v>
      </x:c>
      <x:c r="G461" s="34" t="str">
        <x:v>2013</x:v>
      </x:c>
      <x:c r="H461" s="37" t="str">
        <x:v>İlerleme belirtisi olarak para</x:v>
      </x:c>
      <x:c r="I461" s="37" t="str">
        <x:v>Fitzpatrick, gerçek müşteri taahhüdünün tek güvenilir göstergesinin para ya da somut bir taahhüt olduğunu ve 'ilginç' ve 'kullanırım' ifadelerinin neden değersiz olduğunu anlatıyor.</x:v>
      </x:c>
      <x:c r="J461" s="37" t="str">
        <x:v>Rob Fitzpatrick şöyle bir durumu anlatıyor.
Bir girişimci on müşteri görüşmesi yaptı. Hepsi "harika fikir" dedi. Üçü "kesinlikle kullanırım" dedi.
Mutlu çıktı. "Doğrulama aldım."
Ürünü geliştirdi. Piyasaya çıkardı. Kimse almadı.
##Fitzpatrick şöyle diyor: "Insanlar ilginç şeylere 'evet' derler. Ama para ya da somut taahhüt, gerçek önceliği gösterir."##
Görüşmenin amacı şu olmalı: Müşterinin bir sonraki adım için taahhüdünü almak.
"Bu ürünü ön sipariş eder misiniz?" 
"Bu sorun için şu an ne kadar ödüyorsunuz?"
"Pilot programımıza katılır mısınız?"
Eğer müşteri "evet ama..." diyorsa — bu onaylanmış bir hayır.
Eğer müşteri kredi kartını çıkarıyorsa — bu gerçek onay.
Fitzpatrick bunu "taahhüt merdiveni" olarak tanımlıyor. Her görüşmede küçük ama somut bir taahhüt isteyin. Tavsiye vermek. İletişim bilgisi paylaşmak. Pilot programa kayıt. Ön ödeme.
Her somut taahhüt gerçek bir veri noktası.
$$Onay para ya da somut taahhütle ölçülür — sözel coşku veri değildir.$$
&amp;&amp;Son müşteri ya da fikir görüşmenizde somut bir taahhüt istediniz mi? Yanıt ne oldu?&amp;&amp;</x:v>
      </x:c>
      <x:c r="K461" s="37" t="str"/>
      <x:c r="L461" s="37" t="str"/>
      <x:c r="M461" s="37" t="str"/>
      <x:c r="N461" s="37" t="str"/>
      <x:c r="O461" s="37" t="str"/>
    </x:row>
    <x:row r="462" ht="20" customHeight="1">
      <x:c r="A462" s="33" t="n">
        <x:v>1519</x:v>
      </x:c>
      <x:c r="B462" s="34" t="str">
        <x:v>1</x:v>
      </x:c>
      <x:c r="C462" s="34" t="str">
        <x:v>Psikoloji</x:v>
      </x:c>
      <x:c r="D462" s="34" t="str">
        <x:v>Farkındalık</x:v>
      </x:c>
      <x:c r="E462" s="34" t="str">
        <x:v>İç Yolculuk</x:v>
      </x:c>
      <x:c r="F462" s="34" t="str">
        <x:v>Michael A. Singer</x:v>
      </x:c>
      <x:c r="G462" s="34" t="str">
        <x:v>2007</x:v>
      </x:c>
      <x:c r="H462" s="37" t="str">
        <x:v>Evin kiracısı değil sahibi olmak</x:v>
      </x:c>
      <x:c r="I462" s="37" t="str">
        <x:v>Singer, çoğu insanın kendi zihninde misafir gibi yaşadığını ve düşüncelerini 'ben' olarak deneyimlediğini, oysa gerçek benliğin bunları gözlemleyen bilinç olduğunu anlatıyor.</x:v>
      </x:c>
      <x:c r="J462" s="37" t="str">
        <x:v>Michael Singer şöyle bir soru soruyor.
Kafanızın içindeki sesi duyor musunuz?
O sesi — planlayan, yorumlayan, şikayet eden, hayal kuran ses.
Şimdi şu soruyu sorun: O sesi kim duyuyor?
##Singer şöyle diyor: "O sesi duyabilen biri var. Ve o biri, ses değil. Sen, o sesi dinleyensin."##
Bu ayrım çok basit görünüyor. Ama içselleştirildiğinde her şeyi değiştiriyor.
Çoğu insan o sesle özdeşleşiyor. Ses "başaramam" dediğinde, gerçekten öyle inanıyorlar. Ses "sevilmiyorum" dediğinde, bu gerçekmiş gibi hissettiriyor.
Ama Singer şöyle diyor: Sen o ses değilsin. O sesi izleyen bilinçsin.
Bu fark özgürleştirici. Çünkü bir düşünce gelip geçtiğinde, onu "ben buyum" diye tutmak zorunda değilsiniz.
Singer bunu "iç yolculuğun" başlangıcı olarak tanımlıyor. Kendi bilincinizle tanışmak. Ve o bilinçten hareket etmeyi öğrenmek — düşüncelerden değil.
Bu mistik değil. Her an uygulanabilir. Bir düşünce geldiğinde: "Ah, bu düşünce geliyor." Ve gitmesine izin vermek.
$$Sen düşüncelerinin toplamı değil, onları izleyen bilinçsin.$$
&amp;&amp;Şu an zihninizde en aktif olan sesi fark edebiliyor musunuz? O sesi "siz" mi, yoksa "sizi ziyaret eden bir düşünce" olarak mı deneyimliyorsunuz?&amp;&amp;</x:v>
      </x:c>
      <x:c r="K462" s="37" t="str"/>
      <x:c r="L462" s="37" t="str"/>
      <x:c r="M462" s="37" t="str"/>
      <x:c r="N462" s="37" t="str"/>
      <x:c r="O462" s="37" t="str"/>
    </x:row>
    <x:row r="463" ht="20" customHeight="1">
      <x:c r="A463" s="33" t="n">
        <x:v>1520</x:v>
      </x:c>
      <x:c r="B463" s="34" t="str">
        <x:v>1</x:v>
      </x:c>
      <x:c r="C463" s="34" t="str">
        <x:v>Psikoloji</x:v>
      </x:c>
      <x:c r="D463" s="34" t="str">
        <x:v>Farkındalık</x:v>
      </x:c>
      <x:c r="E463" s="34" t="str">
        <x:v>İç Yolculuk</x:v>
      </x:c>
      <x:c r="F463" s="34" t="str">
        <x:v>Michael A. Singer</x:v>
      </x:c>
      <x:c r="G463" s="34" t="str">
        <x:v>2007</x:v>
      </x:c>
      <x:c r="H463" s="37" t="str">
        <x:v>Kalbi açık tutmak</x:v>
      </x:c>
      <x:c r="I463" s="37" t="str">
        <x:v>Singer, insanların çoğunun geçmiş yaralanmalar ve korkular nedeniyle kalplerini kapattığını ve bu kapanmanın yaşam enerjisini nasıl bloke ettiğini anlatıyor.</x:v>
      </x:c>
      <x:c r="J463" s="37" t="str">
        <x:v>Michael Singer şöyle bir gözlem paylaşıyor.
Bir çocuk oyun oynarken düşüp dizini kanatıyor. Ağlıyor. Ama kısa süre sonra tekrar oyuna dönüyor.
Aynı çocuk büyüdüğünde birisi ona kötü bir şey söylüyor. Yıllar sonra hâlâ o anı taşıyor.
Fark ne?
##Singer şöyle diyor: "Diz yarası bedensel. İçsel yaralar ise bilinç alanında donup kalıyor — çünkü onları bırakmadık."##
Bu "donmuş enerji" Singer'ın en güçlü kavramlarından biri.
Bir şey sizi incitiyor. O an bunun üzerinden geçemiyorsunuz. Beyin o enerjiyi depoluyor. Ve sonra her benzer durumda o enerji yeniden aktive oluyor.
Singer bunu "sansör" olarak tanımlıyor: Belirli bir his ya da durum geldiğinde, içeride bir şey kapanıyor.
Ama kapanan kalp aynı zamanda yaşamdan da kapanıyor.
Çözüm Singer'a göre: Kapanmaya çalışmak yerine, ne gelirse gelsin açık kalmayı seçmek. "Bu beni incitiyor. Ve ben açık kalıyorum."
Bu naif değil. Cesur.
$$Kalp kapandığında hem acıyı hem de yaşamı dışarıda bırakır.$$
&amp;&amp;Hangi durumlarda ya da insanlar karşısında kendinizi otomatik olarak kapandığınızı hissediyorsunuz? O kapanmanın ardında ne var?&amp;&amp;</x:v>
      </x:c>
      <x:c r="K463" s="37" t="str"/>
      <x:c r="L463" s="37" t="str"/>
      <x:c r="M463" s="37" t="str"/>
      <x:c r="N463" s="37" t="str"/>
      <x:c r="O463" s="37" t="str"/>
    </x:row>
    <x:row r="464" ht="20" customHeight="1">
      <x:c r="A464" s="33" t="n">
        <x:v>1521</x:v>
      </x:c>
      <x:c r="B464" s="34" t="str">
        <x:v>1</x:v>
      </x:c>
      <x:c r="C464" s="34" t="str">
        <x:v>Psikoloji</x:v>
      </x:c>
      <x:c r="D464" s="34" t="str">
        <x:v>Farkındalık</x:v>
      </x:c>
      <x:c r="E464" s="34" t="str">
        <x:v>İç Yolculuk</x:v>
      </x:c>
      <x:c r="F464" s="34" t="str">
        <x:v>Michael A. Singer</x:v>
      </x:c>
      <x:c r="G464" s="34" t="str">
        <x:v>2007</x:v>
      </x:c>
      <x:c r="H464" s="37" t="str">
        <x:v>Bırakmak ve gerçek özgürlük</x:v>
      </x:c>
      <x:c r="I464" s="37" t="str">
        <x:v>Singer, gerçek özgürlüğün dışsal koşulların değil içsel tutumun sonucu olduğunu ve 'bırakma' pratiğinin nasıl kalıcı bir huzura kapı açtığını anlatıyor.</x:v>
      </x:c>
      <x:c r="J464" s="37" t="str">
        <x:v>Michael Singer kendi hayatından bir dönemin hikayesini anlatıyor.
Hayatının her alanında "bırakmak" pratiği yapıyordu. Bir şey olduğunda — iyi ya da kötü — ona tutunmak yerine bırakmak.
Sonra beklenmedik bir şey oldu. Şirketi büyüdü. Çok büyüdü. Federal soruşturma başladı. Her şey tehlike altına girdi.
Singer bu anda da aynı soruyu sordu: "Bunu bırakabilir miyim?"
##"Bu benim yaptığım en zor pratikti" diyor Singer. "Ama tam da o noktada şunu anladım: Tutunmak acı yaratıyor. Bırakmak özgürleştiriyor."##
Bırakmak kayıtsızlık değil. Singer şunu söylüyor: Bırakmak, sonuçtan bağımsız olarak elinizden gelenin en iyisini yapmak — ama o sonucu kontrol etmeye çalışmamak.
Bu yaklaşım hem pratik hem derin.
Pratik: Kontrol edemediğiniz şeylere harcanan enerji azalıyor. O enerji gerçekten yapabileceklerinize yönlenebiliyor.
Derin: Kimlik koşullardan değil, içsel bir durumdan geliyor.
Singer şöyle diyor: Özgürlük dışarıda değil — içeride.
$$Tutunmak sizi korur ama aynı zamanda hapsetler; bırakmak ise özgürleştirir.$$
&amp;&amp;Şu an hayatınızda tutunduğunuz ve belki bırakmanız gereken bir şey var mı? O şeyi bırakmak nasıl bir his uyandırıyor?&amp;&amp;</x:v>
      </x:c>
      <x:c r="K464" s="37" t="str"/>
      <x:c r="L464" s="37" t="str"/>
      <x:c r="M464" s="37" t="str"/>
      <x:c r="N464" s="37" t="str"/>
      <x:c r="O464" s="37" t="str"/>
    </x:row>
    <x:row r="465" ht="20" customHeight="1">
      <x:c r="A465" s="33" t="n">
        <x:v>1522</x:v>
      </x:c>
      <x:c r="B465" s="34" t="str">
        <x:v>1</x:v>
      </x:c>
      <x:c r="C465" s="34" t="str">
        <x:v>Psikoloji</x:v>
      </x:c>
      <x:c r="D465" s="34" t="str">
        <x:v>Psikoloji</x:v>
      </x:c>
      <x:c r="E465" s="34" t="str">
        <x:v>Az Gitme Yolu</x:v>
      </x:c>
      <x:c r="F465" s="34" t="str">
        <x:v>M. Scott Peck</x:v>
      </x:c>
      <x:c r="G465" s="34" t="str">
        <x:v>1978</x:v>
      </x:c>
      <x:c r="H465" s="37" t="str">
        <x:v>Sevgi ve disiplinin birlikte çalışması</x:v>
      </x:c>
      <x:c r="I465" s="37" t="str">
        <x:v>Peck, gerçek sevginin duygu değil eylem olduğunu ve bununla birlikte disiplinin gerçek büyümenin aracı olarak sevginin en yüksek ifadesi olduğunu anlatıyor.</x:v>
      </x:c>
      <x:c r="J465" s="37" t="str">
        <x:v>M. Scott Peck şöyle başlıyor: "Hayat zordur."
Ve şunu ekliyor: "Bu gerçeği tam olarak kabul ettiğimizde, artık zorluğa karşı savaşmayı bırakırız."
Peck'in kitabının merkezinde iki kavram var: Sevgi ve disiplin.
##"Gerçek sevgi, birinin ruhsal büyümesine katkıda bulunmak için iradeyi genişletmektir" diyor Peck. "Duygu değil, eylem."##
Ve disiplin, o büyümenin aracı.
Peck dört disiplin tanımlıyor: Tatmini erteleme. Sorumluluk alma. Gerçeğe bağlılık. Ve dengeyi koruma.
Bu dört araç birlikte çalışıyor. Tatmini erteleyebilen insan uzun vadeli değerler için kısa vadeli konfordan vazgeçebiliyor. Sorumluluk alan insan dışsal sebeplere sığınmıyor.
Ve gerçekten ilginç olan şu: Peck, bu disiplinlerin sevgiden beslendiğini söylüyor. Çocuğunu seven ebeveyn onunla zor konuşmalar yapıyor. Kendini seven insan zorlu bir disiplini seçiyor.
Sevgisiz disiplin yıkıcı. Disiplinsiz sevgi yetersiz.
$$Gerçek sevgi hem rahat hissettirmez hem de büyütür — zorlu olan buytur.$$
&amp;&amp;Hayatınızda gerçekten sevdiğiniz biri için yaptığınız en zor şey neydi? O eylem sevginizin ifadesiydi mi?&amp;&amp;</x:v>
      </x:c>
      <x:c r="K465" s="37" t="str"/>
      <x:c r="L465" s="37" t="str"/>
      <x:c r="M465" s="37" t="str"/>
      <x:c r="N465" s="37" t="str"/>
      <x:c r="O465" s="37" t="str"/>
    </x:row>
    <x:row r="466" ht="20" customHeight="1">
      <x:c r="A466" s="33" t="n">
        <x:v>1523</x:v>
      </x:c>
      <x:c r="B466" s="34" t="str">
        <x:v>1</x:v>
      </x:c>
      <x:c r="C466" s="34" t="str">
        <x:v>Psikoloji</x:v>
      </x:c>
      <x:c r="D466" s="34" t="str">
        <x:v>Psikoloji</x:v>
      </x:c>
      <x:c r="E466" s="34" t="str">
        <x:v>Az Gitme Yolu</x:v>
      </x:c>
      <x:c r="F466" s="34" t="str">
        <x:v>M. Scott Peck</x:v>
      </x:c>
      <x:c r="G466" s="34" t="str">
        <x:v>1978</x:v>
      </x:c>
      <x:c r="H466" s="37" t="str">
        <x:v>Gerçeği kabul etme cesareti</x:v>
      </x:c>
      <x:c r="I466" s="37" t="str">
        <x:v>Peck, çoğu insanın psikolojik sorunlarının gerçeklikten kaçmaktan kaynaklandığını ve gerçeği görme ve kabul etme cesaretinin ruhsal sağlığın temeli olduğunu anlatıyor.</x:v>
      </x:c>
      <x:c r="J466" s="37" t="str">
        <x:v>M. Scott Peck psikiyatrist olarak uzun yıllar boyunca şunu fark etti.
Hastalarının büyük çoğunluğunun sorunu bir travma ya da beyin kimyası değildi.
Gerçeği görmeyi reddetmekti.
İlişki bitmişti — ama kabul edemiyordu. İş artık uygun değildi — ama "değişemem" diyordu. Kendi rolünü bir çatışmada görmüyordu — çünkü görmek acı veriyordu.
##"Nöroz gerçeği görmekten kaçınmanın yarattığı acıdır" diyor Peck. "Tedavi ise gerçeği görme cesareti."##
Bu kolay değil. Gerçeği görmek genellikle değişimi gerektiriyor. Ve değişim konfor bölgesini yıkıyor.
Peck şunu söylüyor: Terapi sürecinde en zor an, hastanın gerçeği görme anı. Çünkü o an "böyle devam edemem" farkındalığı geliyor.
Ama o farkındalıktan kaçmak yerine onunla oturmak — tam da orada büyüme başlıyor.
Peck bunu bireyin ötesine taşıyor: Toplumlar ve kurumlar da aynı şekilde çalışıyor. Gerçeği kabul etmek her düzeyde hem zor hem de zorunlu.
$$Pek çok acı gerçeklikten değil, gerçeği görmekten kaçmaktan kaynaklanır.$$
&amp;&amp;Hayatınızda görüyorsunuz ama görmek istemediğiniz için baktığınız yeri değiştirdiğiniz bir gerçek var mı?&amp;&amp;</x:v>
      </x:c>
      <x:c r="K466" s="37" t="str"/>
      <x:c r="L466" s="37" t="str"/>
      <x:c r="M466" s="37" t="str"/>
      <x:c r="N466" s="37" t="str"/>
      <x:c r="O466" s="37" t="str"/>
    </x:row>
    <x:row r="467" ht="20" customHeight="1">
      <x:c r="A467" s="33" t="n">
        <x:v>1524</x:v>
      </x:c>
      <x:c r="B467" s="34" t="str">
        <x:v>1</x:v>
      </x:c>
      <x:c r="C467" s="34" t="str">
        <x:v>Psikoloji</x:v>
      </x:c>
      <x:c r="D467" s="34" t="str">
        <x:v>Psikoloji</x:v>
      </x:c>
      <x:c r="E467" s="34" t="str">
        <x:v>Az Gitme Yolu</x:v>
      </x:c>
      <x:c r="F467" s="34" t="str">
        <x:v>M. Scott Peck</x:v>
      </x:c>
      <x:c r="G467" s="34" t="str">
        <x:v>1978</x:v>
      </x:c>
      <x:c r="H467" s="37" t="str">
        <x:v>Sorumluluk ve kurban kimliği</x:v>
      </x:c>
      <x:c r="I467" s="37" t="str">
        <x:v>Peck, tam sorumluluk almanın hem psikolojik sağlık hem de ruhsal olgunluk için kaçınılmaz olduğunu ve kurban kimliğinin nasıl büyümeyi engellediğini anlatıyor.</x:v>
      </x:c>
      <x:c r="J467" s="37" t="str">
        <x:v>M. Scott Peck iki hasta tipi tanımlıyor.
Birincisi aşırı sorumlu: Her şeyi üstleniyor. Partnerinin öfkesi benim suçum. Çocuğumun başarısızlığı benim hatam.
İkincisi sorumluluktan kaçan: Hiçbir şey kendi suçu değil. Her başarısızlığın dışarıda bir açıklaması var. "Sistem bozuk." "Şans yardım etmedi."
##Peck şöyle diyor: "Her iki uç da büyümeyi engelliyor. Gerçek olgunluk ise ne fazla ne eksik — tam sorumlulukla yaşamak."##
Kurban kimliği özellikle ilgi çekici.
Kurban olmak acı veriyor. Ama aynı zamanda belirli bir konfor sağlıyor. Değişmek zorunda değilsiniz — çünkü değişim sizin elinizde değil.
Peck şunu soruyor: "Eğer bu durum kısmen sizin seçiminizin sonucuysa, o zaman değişebilirsiniz. Bu sizi güçlendiriyor — ama aynı zamanda sorumluluk yüklüyor."
Bu yük ağır hissettiriyor. Ama o yükü taşımak güç kazanmak demek.
$$Sorumluluk ağır bir yük — ama onu taşımak değiştirme gücünü de getirir.$$
&amp;&amp;Şu an "benim suçum değil" dediğiniz ama aslında küçük bir payınız olduğu bir durum var mı?&amp;&amp;</x:v>
      </x:c>
      <x:c r="K467" s="37" t="str"/>
      <x:c r="L467" s="37" t="str"/>
      <x:c r="M467" s="37" t="str"/>
      <x:c r="N467" s="37" t="str"/>
      <x:c r="O467" s="37" t="str"/>
    </x:row>
    <x:row r="468" ht="20" customHeight="1">
      <x:c r="A468" s="33" t="n">
        <x:v>1525</x:v>
      </x:c>
      <x:c r="B468" s="34" t="str">
        <x:v>1</x:v>
      </x:c>
      <x:c r="C468" s="34" t="str">
        <x:v>Finans</x:v>
      </x:c>
      <x:c r="D468" s="34" t="str">
        <x:v>Finans</x:v>
      </x:c>
      <x:c r="E468" s="34" t="str">
        <x:v>Parça Parça Yazmak</x:v>
      </x:c>
      <x:c r="F468" s="34" t="str">
        <x:v>Anne Lamott</x:v>
      </x:c>
      <x:c r="G468" s="34" t="str">
        <x:v>1994</x:v>
      </x:c>
      <x:c r="H468" s="37" t="str">
        <x:v>Berbat ilk taslak</x:v>
      </x:c>
      <x:c r="I468" s="37" t="str">
        <x:v>Lamott, tüm iyi yazıların önce korkunç derecede kötü bir taslaktan geçtiğini ve bu kabul etmenin yazı bloğunu nasıl çözdüğünü anlatıyor.</x:v>
      </x:c>
      <x:c r="J468" s="37" t="str">
        <x:v>Anne Lamott şöyle bir kural koyuyor.
"İzniniz var. Berbat yazmaya."
Bu kulağa şaka gibi geliyor. Ama değil.
Lamott'un en güçlü kavramlarından biri: "Shitty first draft" — berbat ilk taslak. Ve şöyle diyor:
##"Tüm iyi yazarlar berbat ilk taslaklar yazar. Fark, onların bunu bildikleri."##
Çoğu insan yazmaya başladığında aynı anda iki şey yapmaya çalışıyor: Yaratmak ve yargılamak.
"Bu cümle iyi mi?" diye düşünürken bir sonraki cümleyi kurmaya çalışıyor.
Bu iki süreç birbirini felç ediyor.
Lamott şunu öneriyor: İlk taslakta yargıyı susturun. Sadece yazın. Kötü olsun. Mantıksız olsun. Konudan çıksın.
Çünkü kötü bir taslaktan iyi bir yazı çıkabilir. Boş sayfadan hiçbir şey çıkmaz.
Bu sadece yazarlık için değil. Herhangi bir yaratıcı süreç için geçerli. Proje fikri, sunum taslağı, çözüm önerisi — önce berbatça ortaya koyun. Sonra düzeltin.
$$Mükemmel başlamak yerine berbat başlamak — yaratıcılığın kapısını açar.$$
&amp;&amp;Yaratıcı bir şey üzerinde çalışırken "mükemmel olmayacak" korkusuyla başlamaktan kaçındığınız bir şey var mı?&amp;&amp;</x:v>
      </x:c>
      <x:c r="K468" s="37" t="str"/>
      <x:c r="L468" s="37" t="str"/>
      <x:c r="M468" s="37" t="str"/>
      <x:c r="N468" s="37" t="str"/>
      <x:c r="O468" s="37" t="str"/>
    </x:row>
    <x:row r="469" ht="20" customHeight="1">
      <x:c r="A469" s="33" t="n">
        <x:v>1526</x:v>
      </x:c>
      <x:c r="B469" s="34" t="str">
        <x:v>1</x:v>
      </x:c>
      <x:c r="C469" s="34" t="str">
        <x:v>Finans</x:v>
      </x:c>
      <x:c r="D469" s="34" t="str">
        <x:v>Finans</x:v>
      </x:c>
      <x:c r="E469" s="34" t="str">
        <x:v>Parça Parça Yazmak</x:v>
      </x:c>
      <x:c r="F469" s="34" t="str">
        <x:v>Anne Lamott</x:v>
      </x:c>
      <x:c r="G469" s="34" t="str">
        <x:v>1994</x:v>
      </x:c>
      <x:c r="H469" s="37" t="str">
        <x:v>Bir inç çerçevesi</x:v>
      </x:c>
      <x:c r="I469" s="37" t="str">
        <x:v>Lamott, bunaltıcı büyük projeleri küçük parçalara bölmenin hem yazarlıkta hem de her alanda nasıl ilerlemeyi mümkün kıldığını anlatan klasik 'bir inç' dersini aktarıyor.</x:v>
      </x:c>
      <x:c r="J469" s="37" t="str">
        <x:v>Anne Lamott ağabeyinden öğrendiği bir dersi anlatıyor.
Ağabeyi okulda bir proje yapmak zorundaydı. Biyoloji. Kuşlar. Aylardır ertelemiş, teslim günü gelmiş.
Masanın başında otururken ağlıyordu. "Yapamam. Çok fazla."
Babaları geldi. Masaya oturdu. Ve şöyle dedi:
##"Kuş kuş, oğlum. Kuş kuş."##
Anne Lamott bu anı "bir inç çerçevesi" olarak yazıyor.
Büyük bir proje önünüzde duruyor. Kitap. Tez. Büyük bir sunum. Ve tümü birden görününce felç oluyorsunuz.
Lamott şöyle diyor: Tüm kitabı yazmak zorunda değilsiniz. Sadece bu bir paragrafı yazın. Sadece bu bölümün başlığını düşünün. Sadece bugünün kotasını doldurun.
Bir inç. Küçük bir pencere kadar. Şu anda oraya odaklanın.
Bu fikir hem yazarlık hem de her büyük proje için geçerli. Beyin büyüklükten bunalıyor. Ama tek bir somut adım — çoğu zaman mümkün hissettiriyor.
Ve o adım atıldıktan sonra bir sonraki adım görünür hale geliyor.
$$Büyük projeyi görmek felç eder — bir sonraki tek adımı görmek harekete geçirir.$$
&amp;&amp;Şu an çok büyük hissettirdiği için ertelediğiniz bir şeyi "bir inç"e indirgeyebilir misiniz? O ilk küçük adım ne olurdu?&amp;&amp;</x:v>
      </x:c>
      <x:c r="K469" s="37" t="str"/>
      <x:c r="L469" s="37" t="str"/>
      <x:c r="M469" s="37" t="str"/>
      <x:c r="N469" s="37" t="str"/>
      <x:c r="O469" s="37" t="str"/>
    </x:row>
    <x:row r="470" ht="20" customHeight="1">
      <x:c r="A470" s="33" t="n">
        <x:v>1527</x:v>
      </x:c>
      <x:c r="B470" s="34" t="str">
        <x:v>1</x:v>
      </x:c>
      <x:c r="C470" s="34" t="str">
        <x:v>Finans</x:v>
      </x:c>
      <x:c r="D470" s="34" t="str">
        <x:v>Finans</x:v>
      </x:c>
      <x:c r="E470" s="34" t="str">
        <x:v>Parça Parça Yazmak</x:v>
      </x:c>
      <x:c r="F470" s="34" t="str">
        <x:v>Anne Lamott</x:v>
      </x:c>
      <x:c r="G470" s="34" t="str">
        <x:v>1994</x:v>
      </x:c>
      <x:c r="H470" s="37" t="str">
        <x:v>İçsel eleştirmen ve radyo istasyonları</x:v>
      </x:c>
      <x:c r="I470" s="37" t="str">
        <x:v>Lamott, her yazarın zihninde eleştiren sesler olduğunu ve bu seslerle nasıl çalışılabileceğini — onları susturmaya çalışmadan — anlatıyor.</x:v>
      </x:c>
      <x:c r="J470" s="37" t="str">
        <x:v>Anne Lamott "radyo istasyonları" diyor iç sesler için.
Her yazarın kafasında çalışan istasyonlar var.
Mükemmeliyetçilik istasyonu: "Bu iyi değil. Yeniden yaz. Daha iyi olabilirdi."
Karşılaştırma istasyonu: "Diğer yazarlar çok daha iyi yapıyor. Sen kim oluyorsun?"
Sahtekar istasyonu: "Aslında bunu yapmayı bilmiyorsun. Herkes anlayacak."
##Lamott şöyle diyor: "Bu sesler gitmeyecek. Ama onları susturmak yerine, küçültebilirsiniz."##
Pratik tekniği şöyle: O sesleri hayal edin. Gerçek yüzleri var. Ve onları bir kutuya ya da şişeye koyduğunuzu hayal edin. Sesi düşürüyorsunuz.
Bu saçma mı? Belki. Ama beyin görsel metaforlarla çalışıyor.
Ve daha önemli bir mesaj var: O sesler sizi özel kılmıyor. Her yazar, her sanatçı, her yaratıcı insan aynı kalabalıkla çalışıyor.
Fark: Üretken insanlar o seslerle birlikte çalışmayı öğrendi. Beklemiyor. Sesi susturmak için izin beklemiyor.
$$İç eleştirmeni susturmak mümkün değil — ama onu küçültüp çalışmaya devam etmek mümkün.$$
&amp;&amp;Yaratıcı çalışmalarınızda en çok hangi iç ses sizi durduruyor? Ona nasıl yanıt veriyorsunuz?&amp;&amp;</x:v>
      </x:c>
      <x:c r="K470" s="37" t="str"/>
      <x:c r="L470" s="37" t="str"/>
      <x:c r="M470" s="37" t="str"/>
      <x:c r="N470" s="37" t="str"/>
      <x:c r="O470" s="37" t="str"/>
    </x:row>
    <x:row r="471" ht="20" customHeight="1">
      <x:c r="A471" s="33" t="n">
        <x:v>1528</x:v>
      </x:c>
      <x:c r="B471" s="34" t="str">
        <x:v>1</x:v>
      </x:c>
      <x:c r="C471" s="34" t="str">
        <x:v>Liderlik</x:v>
      </x:c>
      <x:c r="D471" s="34" t="str">
        <x:v>Yönetim</x:v>
      </x:c>
      <x:c r="E471" s="34" t="str">
        <x:v>Çevik Yönetim</x:v>
      </x:c>
      <x:c r="F471" s="34" t="str">
        <x:v>Jeff Sutherland</x:v>
      </x:c>
      <x:c r="G471" s="34" t="str">
        <x:v>2014</x:v>
      </x:c>
      <x:c r="H471" s="37" t="str">
        <x:v>Scrum'ın doğuşu</x:v>
      </x:c>
      <x:c r="I471" s="37" t="str">
        <x:v>Sutherland, yazılım projelerinin sürekli başarısız olmasının ardından geliştirdiği Scrum metodolojisinin büyük planlar yerine küçük döngülerle nasıl çalıştığını anlatıyor.</x:v>
      </x:c>
      <x:c r="J471" s="37" t="str">
        <x:v>Jeff Sutherland 1990'larda ciddi bir sorunla karşılaştı.
Yazılım projeleri sürekli geç kalıyor, bütçeyi aşıyor, müşteri beklentilerini karşılamıyordu.
Geleneksel yöntem "şelale" idi: Her şeyi planla, sonra uygula. Ama planlama ne kadar iyi olursa olsun, gerçek uygulama farklı çıkıyordu.
Sutherland Japon üretim felsefelerini, rugby oyunundan esinlenerek ve beyin araştırmalarını birleştirerek farklı bir yaklaşım geliştirdi.
##"Büyük planlar yerine küçük denemeler. Uzun süreler yerine kısa döngüler. Ve her döngü sonunda öğren, düzelt, ilerle."##
Scrum doğdu.
İki haftalık "sprint"ler. Her sprint sonunda çalışan bir ürün. Günlük kısa toplantılar. Ve sürekli geri bildirim.
Sutherland şunu söylüyor: Bu yaklaşım yazılımla sınırlı kalmadı. Tıptan eğitime, inşaattan kişisel hedeflere kadar her alanda uygulandı.
Neden? Çünkü Scrum belirsizlikle başa çıkmanın evrensel bir yolu. Başlangıçta her şeyi bilmek zorunda değilsiniz. Deniyorsunuz. Öğreniyorsunuz. Uyarlıyorsunuz.
$$Büyük planlar belirsizliği gizler; küçük döngüler gerçeği ortaya çıkarır.$$
&amp;&amp;Hayatınızda ya da işinizde "sprint" mantığıyla yaklaşabileceğiniz — iki haftalık odaklanma, sonra değerlendirme — bir proje var mı?&amp;&amp;</x:v>
      </x:c>
      <x:c r="K471" s="37" t="str"/>
      <x:c r="L471" s="37" t="str"/>
      <x:c r="M471" s="37" t="str"/>
      <x:c r="N471" s="37" t="str"/>
      <x:c r="O471" s="37" t="str"/>
    </x:row>
    <x:row r="472" ht="20" customHeight="1">
      <x:c r="A472" s="33" t="n">
        <x:v>1529</x:v>
      </x:c>
      <x:c r="B472" s="34" t="str">
        <x:v>1</x:v>
      </x:c>
      <x:c r="C472" s="34" t="str">
        <x:v>Liderlik</x:v>
      </x:c>
      <x:c r="D472" s="34" t="str">
        <x:v>Yönetim</x:v>
      </x:c>
      <x:c r="E472" s="34" t="str">
        <x:v>Çevik Yönetim</x:v>
      </x:c>
      <x:c r="F472" s="34" t="str">
        <x:v>Jeff Sutherland</x:v>
      </x:c>
      <x:c r="G472" s="34" t="str">
        <x:v>2014</x:v>
      </x:c>
      <x:c r="H472" s="37" t="str">
        <x:v>Günlük stand-up ve şeffaflık</x:v>
      </x:c>
      <x:c r="I472" s="37" t="str">
        <x:v>Sutherland, her sabah 15 dakikalık ayakta toplantının ekipleri nasıl senkronize ettiğini ve bu küçük ritüelin koordinasyon maliyetlerini nasıl dramatik biçimde düşürdüğünü anlatıyor.</x:v>
      </x:c>
      <x:c r="J472" s="37" t="str">
        <x:v>Jeff Sutherland şöyle bir sorun görüyordu.
Ekip üyeleri aynı proje üzerinde çalışıyordu. Ama birbirinin ne yaptığını bilmiyordu.
Biri bir engelle karşılaşıyordu. Saatlerce çözmeye çalışıyordu. Oysa o engeli başka biri zaten çözmüştü.
Koordinasyon maliyeti devasa.
Sutherland basit bir çözüm geliştirdi: Her sabah 15 dakika. Ayakta. Üç soru.
##"Dün ne yaptım? Bugün ne yapacağım? Önümde ne gibi engeller var?"##
Ayakta durmak önemli: Uzun konuşmalar engelleniyor. İnsanlar kısa ve öz anlatıyor.
Bu rutinin birkaç kritik etkisi var.
Birincisi senkronizasyon: Herkes herkesin durumunu biliyor. Çakışmalar görünür oluyor. Yardım fırsatları ortaya çıkıyor.
İkincisi engel görünürlüğü: "Önümde engel var" demek, o engelin gün içinde çözülme olasılığını artırıyor.
Üçüncüsü hesap verebilirlik: "Dün bunu yapacaktım, yapmadım" demek — kişisel değil, süreçsel bir not.
Sutherland şunu söylüyor: Bu 15 dakika, günlük yüzlerce anlık koordinasyon ihtiyacını ortadan kaldırıyor.
$$15 dakikalık şeffaflık, gün boyu süren belirsizliği önler.$$
&amp;&amp;Ekibinizde ya da yakın çevrenizde daha fazla şeffaflık yaratmak için yapabileceğiniz en küçük ritüel ne olabilir?&amp;&amp;</x:v>
      </x:c>
      <x:c r="K472" s="37" t="str"/>
      <x:c r="L472" s="37" t="str"/>
      <x:c r="M472" s="37" t="str"/>
      <x:c r="N472" s="37" t="str"/>
      <x:c r="O472" s="37" t="str"/>
    </x:row>
    <x:row r="473" ht="20" customHeight="1">
      <x:c r="A473" s="33" t="n">
        <x:v>1530</x:v>
      </x:c>
      <x:c r="B473" s="34" t="str">
        <x:v>1</x:v>
      </x:c>
      <x:c r="C473" s="34" t="str">
        <x:v>Liderlik</x:v>
      </x:c>
      <x:c r="D473" s="34" t="str">
        <x:v>Yönetim</x:v>
      </x:c>
      <x:c r="E473" s="34" t="str">
        <x:v>Çevik Yönetim</x:v>
      </x:c>
      <x:c r="F473" s="34" t="str">
        <x:v>Jeff Sutherland</x:v>
      </x:c>
      <x:c r="G473" s="34" t="str">
        <x:v>2014</x:v>
      </x:c>
      <x:c r="H473" s="37" t="str">
        <x:v>Tahmin etmek değil ölçmek</x:v>
      </x:c>
      <x:c r="I473" s="37" t="str">
        <x:v>Sutherland, geleneksel proje tahminlerinin neden sistematik biçimde yanlış olduğunu ve velocity ölçümünün nasıl gerçek kapasiteye dayalı planlama yapılmasını sağladığını anlatıyor.</x:v>
      </x:c>
      <x:c r="J473" s="37" t="str">
        <x:v>Jeff Sutherland şöyle bir gözlem yapıyor.
Şirketler sürekli proje tahminleri yapıyor. "Bu proje üç ayda biter." "Bu özellik iki haftada teslim."
Ve bu tahminler neredeyse her zaman yanlış çıkıyor.
Neden? Çünkü tahmin, belirsizliği sanki kesinmiş gibi davranıyor.
##Sutherland şöyle diyor: "Tahmin etmeyi bırakın. Ölçün. Geçmişte ne kadar iş yaptığınızı ölçün. Ve bu ölçüm geleceğin en iyi tahmini."##
Buna "velocity" — hız — diyor.
Ekip her sprint'te ne kadar iş tamamlıyor? Bu sayıyı birkaç sprint boyunca ölçün.
Sonra gelecek planlamasını bu gerçek sayıya dayandırın.
Bu yaklaşım şunu değiştiriyor: Yöneticiler "ne zaman biter?" sorusunu soruyor. Scrum bu soruya tahminle değil veriye dayalı bir tahminle cevap veriyor.
"Son üç sprint'in ortalaması bu, bu hızda devam edersek şu tarihe kadar biter."
Ve bu tahminler çok daha doğru çıkıyor. Çünkü gerçeğe dayanıyor.
$$Tahmin yerine ölçüm — gerçeklik yanılgısının en güçlü panzehiri.$$
&amp;&amp;İş ya da kişisel projelerinizde gerçek kapasitenizi ölçüyor musunuz, yoksa iyimser tahminlerle mi planlıyorsunuz?&amp;&amp;</x:v>
      </x:c>
      <x:c r="K473" s="37" t="str"/>
      <x:c r="L473" s="37" t="str"/>
      <x:c r="M473" s="37" t="str"/>
      <x:c r="N473" s="37" t="str"/>
      <x:c r="O473" s="37" t="str"/>
    </x:row>
    <x:row r="474" ht="20" customHeight="1">
      <x:c r="A474" s="33" t="n">
        <x:v>1531</x:v>
      </x:c>
      <x:c r="B474" s="34" t="str">
        <x:v>1</x:v>
      </x:c>
      <x:c r="C474" s="34" t="str">
        <x:v>Finans</x:v>
      </x:c>
      <x:c r="D474" s="34" t="str">
        <x:v>Satış</x:v>
      </x:c>
      <x:c r="E474" s="34" t="str">
        <x:v>SPIN Satış</x:v>
      </x:c>
      <x:c r="F474" s="34" t="str">
        <x:v>Neil Rackham</x:v>
      </x:c>
      <x:c r="G474" s="34" t="str">
        <x:v>1988</x:v>
      </x:c>
      <x:c r="H474" s="37" t="str">
        <x:v>Büyük satışın küçük satıştan farkı</x:v>
      </x:c>
      <x:c r="I474" s="37" t="str">
        <x:v>Rackham, küçük satışlarda işe yarayan tekniklerin büyük ve karmaşık satışlarda neden işe yaramadığını gösteren araştırmayı ve bu farkın nasıl büyük satışları dönüştürdüğünü anlatıyor.</x:v>
      </x:c>
      <x:c r="J474" s="37" t="str">
        <x:v>Neil Rackham şöyle bir araştırmaya başladı.
35.000 satış görüşmesini inceledi. Başarılı ve başarısız. Büyük ve küçük.
Ve şaşırtıcı bir şey buldu.
Küçük satışlarda — tek seferlik, düşük bedelli alımlar — bazı teknikler işe yarıyordu. Avantajları vurgulamak. İtirazları erken kapatmak. Güçlü bir kapanış.
Ama bu teknikler büyük satışlarda işe yaramıyordu.
##"Büyük satış küçük satışın büyük versiyonu değil" diyor Rackham. "Tamamen farklı bir psikoloji."##
Neden? Çünkü büyük alımlar büyük risk taşıyor. Müşteri daha dikkatli. Karar vericiler daha fazla. Süreç daha uzun.
Bu ortamda "kapanış teknikleri" baskı yaratıyor. Ve baskı direnç tetikliyor.
Büyük satışlarda işe yarayan şey bambaşka: Müşterinin kendi problemini keşfetmesine yardımcı olmak.
Rackham bu keşiften SPIN modelini geliştirdi. Ve binlerce satış görüşmesinde test etti.
$$Büyük satış baskıyla değil, müşterinin kendi keşifleriyle kapanır.$$
&amp;&amp;Önemli bir karar vermeniz gerektiğinde — alım, iş seçimi, büyük taahhüt — sizi ne harekete geçiriyor? Baskı mı, yoksa kendi anlayışınız mı?&amp;&amp;</x:v>
      </x:c>
      <x:c r="K474" s="37" t="str"/>
      <x:c r="L474" s="37" t="str"/>
      <x:c r="M474" s="37" t="str"/>
      <x:c r="N474" s="37" t="str"/>
      <x:c r="O474" s="37" t="str"/>
    </x:row>
    <x:row r="475" ht="20" customHeight="1">
      <x:c r="A475" s="33" t="n">
        <x:v>1532</x:v>
      </x:c>
      <x:c r="B475" s="34" t="str">
        <x:v>1</x:v>
      </x:c>
      <x:c r="C475" s="34" t="str">
        <x:v>Finans</x:v>
      </x:c>
      <x:c r="D475" s="34" t="str">
        <x:v>Satış</x:v>
      </x:c>
      <x:c r="E475" s="34" t="str">
        <x:v>SPIN Satış</x:v>
      </x:c>
      <x:c r="F475" s="34" t="str">
        <x:v>Neil Rackham</x:v>
      </x:c>
      <x:c r="G475" s="34" t="str">
        <x:v>1988</x:v>
      </x:c>
      <x:c r="H475" s="37" t="str">
        <x:v>Dört soru türü ve ihtiyaç keşfi</x:v>
      </x:c>
      <x:c r="I475" s="37" t="str">
        <x:v>Rackham, SPIN'in dört soru türünü — Durum, Problem, Sonuç ve İhtiyaç-Getirisi — ve bu soruların müşteriyi kendi çözümünü keşfetmeye nasıl yönlendirdiğini anlatıyor.</x:v>
      </x:c>
      <x:c r="J475" s="37" t="str">
        <x:v>Neil Rackham binlerce başarılı satış görüşmesini analiz etti.
Ve tekrar eden bir örüntü buldu. En iyi satışçılar belirli bir sırayla soru soruyordu.
Durum soruları: "Şu an ne kullanıyorsunuz? Kaç kişiyle çalışıyorsunuz?"
Problem soruları: "Bu süreçte en zorlandığınız ne? Nerede gecikme yaşıyorsunuz?"
Sonuç soruları: "Bu problem işinizi nasıl etkiliyor? Bunun maliyeti ne?"
##İhtiyaç-Getirisi soruları: "Bu sorunu çözseydiniz, işinize ne katkısı olurdu?" Bu soru müşteriyi çözümün değerini kendi ağzıyla ifade etmeye davet ediyor.##
Rackham şöyle açıklıyor: Satışçı "bu ürün şunu yapıyor" dediğinde, müşteri pasif dinleyici.
Ama müşteri "bu problemi çözmek şunu değiştirirdi" dediğinde, müşteri kendi ikna edicisi oluyor.
Ve insanlar başkasından duydukları şeyden çok kendi söylediklerine inanıyorlar.
SPIN soru döngüsü, müşterinin kendi satın alma mantığını kurmasına yardımcı oluyor.
$$En güçlü satış argümanı satışçının değil müşterinin sesinden çıkar.$$
&amp;&amp;Bir müzakerede ya da ikna sürecinde karşı tarafın kendi ihtiyacını keşfetmesine yardım etmeyi denediniz mi?&amp;&amp;</x:v>
      </x:c>
      <x:c r="K475" s="37" t="str"/>
      <x:c r="L475" s="37" t="str"/>
      <x:c r="M475" s="37" t="str"/>
      <x:c r="N475" s="37" t="str"/>
      <x:c r="O475" s="37" t="str"/>
    </x:row>
    <x:row r="476" ht="20" customHeight="1">
      <x:c r="A476" s="33" t="n">
        <x:v>1533</x:v>
      </x:c>
      <x:c r="B476" s="34" t="str">
        <x:v>1</x:v>
      </x:c>
      <x:c r="C476" s="34" t="str">
        <x:v>Finans</x:v>
      </x:c>
      <x:c r="D476" s="34" t="str">
        <x:v>Satış</x:v>
      </x:c>
      <x:c r="E476" s="34" t="str">
        <x:v>SPIN Satış</x:v>
      </x:c>
      <x:c r="F476" s="34" t="str">
        <x:v>Neil Rackham</x:v>
      </x:c>
      <x:c r="G476" s="34" t="str">
        <x:v>1988</x:v>
      </x:c>
      <x:c r="H476" s="37" t="str">
        <x:v>Faydaları açıklamanın paradoksu</x:v>
      </x:c>
      <x:c r="I476" s="37" t="str">
        <x:v>Rackham, satışçıların içgüdüsel olarak ürünün faydalarını anlatmak istediğini ama araştırmaların bunu erken yapmanın direnç yarattığını ortaya koyduğunu anlatıyor.</x:v>
      </x:c>
      <x:c r="J476" s="37" t="str">
        <x:v>Neil Rackham şaşırtıcı bir bulguyu paylaşıyor.
Satışçılar ürünlerinin faydalarını anlatmayı seviyorlar. Bu mantıklı görünüyor. "Ürünümüz şunu yapıyor, bu da size şunu sağlıyor."
Ama araştırma şunu gösteriyor: Erken sunulan faydalar direnç yaratıyor.
##"Müşteri henüz problemi tam olarak görmemişken fayda sunmak, satışçının ihtiyacını müşterinin üzerine yüklemek gibi hissettiriyor."##
Neden direnç?
Çünkü müşteri önce kendi durumunu ve problemini anlamalı. O problem net hissedilmeden, çözümün değeri de net hissedilmiyor.
"Bu ürün size %30 zaman tasarrufu sağlar" cümlesi güçlü — ama müşteri zaten zaman sorunu olduğunu hissettiyse. Hissetmediyse, rakam soyut kalıyor.
Rackham şöyle diyor: Faydayı anlatmadan önce, problemin ağırlığını müşterinin hissetmesine yardım edin. Sonuç soruları bunu yapıyor.
"Bu problem ne kadar süre alıyor?" "Bu süre ne anlama geliyor iş açısından?"
O soruların ardından sunulan fayda artık müşteri için gerçek anlam taşıyor.
$$Fayda, ihtiyacın ardından değer kazanır — ihtiyaç hissedilmeden fayda havada kalır.$$
&amp;&amp;Bir ürün, hizmet ya da fikri başkasına sunarken önce onların problemini dinliyor musunuz, yoksa hemen faydadan mı başlıyorsunuz?&amp;&amp;</x:v>
      </x:c>
      <x:c r="K476" s="37" t="str"/>
      <x:c r="L476" s="37" t="str"/>
      <x:c r="M476" s="37" t="str"/>
      <x:c r="N476" s="37" t="str"/>
      <x:c r="O476" s="37" t="str"/>
    </x:row>
    <x:row r="477" ht="20" customHeight="1">
      <x:c r="A477" s="33" t="n">
        <x:v>1534</x:v>
      </x:c>
      <x:c r="B477" s="34" t="str">
        <x:v>1</x:v>
      </x:c>
      <x:c r="C477" s="34" t="str">
        <x:v>Felsefe</x:v>
      </x:c>
      <x:c r="D477" s="34" t="str">
        <x:v>Öğrenme</x:v>
      </x:c>
      <x:c r="E477" s="34" t="str">
        <x:v>Black Box Thinking</x:v>
      </x:c>
      <x:c r="F477" s="34" t="str">
        <x:v>Matthew Syed</x:v>
      </x:c>
      <x:c r="G477" s="34" t="str">
        <x:v>2015</x:v>
      </x:c>
      <x:c r="H477" s="37" t="str">
        <x:v>Havacılıktan öğrenmek — başarı kültürü vs öğrenme kültürü</x:v>
      </x:c>
      <x:c r="I477" s="37" t="str">
        <x:v>Syed, havacılık endüstrisinin hata kayıt ve analiz sisteminin diğer sektörlerden neden çok daha az ölüme yol açtığını ve bu kültürün tıptan siyasete kadar her yerde uygulanabileceğini anlatıyor.</x:v>
      </x:c>
      <x:c r="J477" s="37" t="str">
        <x:v>1977. Tenerife havalimanı. İki Boeing 747 piste çarpıştı.
583 kişi hayatını kaybetti. Tarihin en büyük havacılık felaketiydi.
Peki ne değişti?
Her şey.
Havacılık endüstrisi o günden itibaren her kazayı, her hatayı, her neredeyse-kazayı sistematik biçimde kayıt altına almaya, analiz etmeye ve tüm sektörle paylaşmaya başladı.
##Kara kutu yalnızca veri saklamak için değil — hatadan öğrenmek için var. Ve bu kültür havacılığı dünyanın en güvenli ulaşım aracına dönüştürdü.##
Matthew Syed bunu diğer alanlarla karşılaştırıyor. Tıpta tıbbi hatalar yılda on binlerce ölüme yol açıyor. Ama doktorlar hata kabul etmiyor — çünkü kültür bunu cezalandırıyor.
Havacılıkta pilot hata bildirdiğinde korunuyor. Tıpta doktor hata kabul ettiğinde dava ediliyor.
Bu fark, iki sektörün öğrenme hızını tamamen farklılaştırıyor.
Syed şunu soruyor: Kendi alanınızda kara kutu var mı? Hatalar inceleniyor mu yoksa örtülüyor mu?
$$Hata gizlendiğinde yalnızca utanç saklanmaz — öğrenme de saklanır.$$
&amp;&amp;Geçen ay yaptığın bir hatadan sistematik biçimde öğrendin mi? O hatayı başkalarıyla paylaşabildin mi?&amp;&amp;</x:v>
      </x:c>
      <x:c r="K477" s="37" t="str"/>
      <x:c r="L477" s="37" t="str"/>
      <x:c r="M477" s="37" t="str"/>
      <x:c r="N477" s="37" t="str"/>
      <x:c r="O477" s="37" t="str"/>
    </x:row>
    <x:row r="478" ht="20" customHeight="1">
      <x:c r="A478" s="33" t="n">
        <x:v>1535</x:v>
      </x:c>
      <x:c r="B478" s="34" t="str">
        <x:v>1</x:v>
      </x:c>
      <x:c r="C478" s="34" t="str">
        <x:v>Felsefe</x:v>
      </x:c>
      <x:c r="D478" s="34" t="str">
        <x:v>Öğrenme</x:v>
      </x:c>
      <x:c r="E478" s="34" t="str">
        <x:v>Black Box Thinking</x:v>
      </x:c>
      <x:c r="F478" s="34" t="str">
        <x:v>Matthew Syed</x:v>
      </x:c>
      <x:c r="G478" s="34" t="str">
        <x:v>2015</x:v>
      </x:c>
      <x:c r="H478" s="37" t="str">
        <x:v>Bilişsel uyumsuzluk — hatayı kabul edememenin psikolojisi</x:v>
      </x:c>
      <x:c r="I478" s="37" t="str">
        <x:v>Syed, insanların hata yaptıklarında neden savunmaya geçtiklerini, önceki inançlarını korumak için gerçeği nasıl büktüklerini ve bu psikolojik mekanizmanın öğrenmeyi nasıl engellediğini açıklıyor.</x:v>
      </x:c>
      <x:c r="J478" s="37" t="str">
        <x:v>1954. Amerikalı psikolog Leon Festinger bir kıyamet tarikatını infiltre etti.
Tarikat lideri 21 Aralık 1954'te dünyanın biteceğini söylemişti. Yüzlerce takipçi işini, evini, ailesini bırakmıştı.
22 Aralık sabahı dünya bitmemişti.
Festinger ne olacağını merak ediyordu: Pişmanlık mı? Dağılma mı?
##Hayır. Lider yeni bir mesaj aldığını söyledi: "Tanrı kurbanlarınızı görüp dünyayı kurtardı." Ve takipçilerin inancı daha da güçlendi.##
Matthew Syed bu fenomene "bilişsel uyumsuzluk" diyor. İnsan zihni, kendi kararlarıyla çelişen kanıtları işleyemiyor. Bunun yerine kanıtı büküyor.
Bu yalnızca tarikatçılarda değil — her yerde var. Politikacılar başarısız politikayı daha fazla uygulayarak savunuyor. Yöneticiler yanlış stratejiye daha fazla yatırım yapıyor. Bireyler hatalı ilişkiyi meşrulaştırıyor.
Syed şöyle diyor: Öğrenme kültürü kurmak istiyorsanız, önce bu psikolojik refleksi anlamanız gerekiyor. Sistemi suçlamak kolay. Kendi payını görmek zor.
$$Zihin hatayla yüzleşmek yerine gerçeği yeniden yazmayı tercih eder — farkındalık bu refleksi kırar.$$
&amp;&amp;Son yaptığın büyük bir karar yanlış çıktığında ne hissettin? Kendini mi savundun, yoksa hatayı kabul edebildin mi?&amp;&amp;</x:v>
      </x:c>
      <x:c r="K478" s="37" t="str"/>
      <x:c r="L478" s="37" t="str"/>
      <x:c r="M478" s="37" t="str"/>
      <x:c r="N478" s="37" t="str"/>
      <x:c r="O478" s="37" t="str"/>
    </x:row>
    <x:row r="479" ht="20" customHeight="1">
      <x:c r="A479" s="33" t="n">
        <x:v>1536</x:v>
      </x:c>
      <x:c r="B479" s="34" t="str">
        <x:v>1</x:v>
      </x:c>
      <x:c r="C479" s="34" t="str">
        <x:v>Felsefe</x:v>
      </x:c>
      <x:c r="D479" s="34" t="str">
        <x:v>Öğrenme</x:v>
      </x:c>
      <x:c r="E479" s="34" t="str">
        <x:v>Black Box Thinking</x:v>
      </x:c>
      <x:c r="F479" s="34" t="str">
        <x:v>Matthew Syed</x:v>
      </x:c>
      <x:c r="G479" s="34" t="str">
        <x:v>2015</x:v>
      </x:c>
      <x:c r="H479" s="37" t="str">
        <x:v>Marginal kazanımlar — Tour de France'ta bisiklet ekibi devrimi</x:v>
      </x:c>
      <x:c r="I479" s="37" t="str">
        <x:v>Syed, Dave Brailsford'un İngiliz bisiklet takımını nasıl her küçük şeyi yüzde birer iyileştirerek dünya şampiyonluğuna taşıdığını ve bu 'marjinal kazanımlar' felsefesinin kara kutu düşüncesiyle nasıl örtüştüğünü anlatıyor.</x:v>
      </x:c>
      <x:c r="J479" s="37" t="str">
        <x:v>2003. İngiliz bisiklet takımı son 76 yılda tek bir Tour de France şampiyonu çıkaramamıştı.
Sonra Dave Brailsford göreve geldi.
Brailsford bir şey söyledi: "Her şeyi yüzde bir iyileştirirsek ne olur?"
Bisiklet pozisyonu. Beslenme. Uyku yastıkları. Temizlik protokolü. Antrenman verisi. Hangi müzik odaklanmayı artırıyor. Masaj jeli.
##Hiçbiri tek başına anlam taşımıyordu. Ama 100 şeyin her birinde yüzde bir iyileşme toplamda yüzde 100 iyileşme değil — bileşik etki ile yüzde çok daha fazla anlam taşıyordu.##
2008 Pekin Olimpiyatları'nda İngiltere 8 altın madalya kazandı. 2012'de 8 daha. 2012 Tour de France'ı Bradley Wiggins kazandı — ilk İngiliz şampiyon.
Matthew Syed bunu kara kutu düşüncesiyle birleştiriyor: Brailsford her küçük şeyi sistematik biçimde analiz ediyordu. Hatalar kayıt altına alınıyordu. Her performans verisi inceleniyordu.
Büyük sıçramalar büyük eylemlerden gelmez. Sistematik küçük iyileştirmelerin birikimidir.
$$Mükemmellik tek büyük atılımdan değil, sürekli küçük iyileştirmelerin öğrenme döngüsünden doğar.$$
&amp;&amp;Şu an hayatının hangi alanında 'yüzde bir' iyileştirme yapabileceğin ama yapmadığın bir şey var?&amp;&amp;</x:v>
      </x:c>
      <x:c r="K479" s="37" t="str"/>
      <x:c r="L479" s="37" t="str"/>
      <x:c r="M479" s="37" t="str"/>
      <x:c r="N479" s="37" t="str"/>
      <x:c r="O479" s="37" t="str"/>
    </x:row>
    <x:row r="480" ht="20" customHeight="1">
      <x:c r="A480" s="33" t="n">
        <x:v>1537</x:v>
      </x:c>
      <x:c r="B480" s="34" t="str">
        <x:v>1</x:v>
      </x:c>
      <x:c r="C480" s="34" t="str">
        <x:v>Liderlik</x:v>
      </x:c>
      <x:c r="D480" s="34" t="str">
        <x:v>Başarı</x:v>
      </x:c>
      <x:c r="E480" s="34" t="str">
        <x:v>Sıçramak</x:v>
      </x:c>
      <x:c r="F480" s="34" t="str">
        <x:v>Matthew Syed</x:v>
      </x:c>
      <x:c r="G480" s="34" t="str">
        <x:v>2010</x:v>
      </x:c>
      <x:c r="H480" s="37" t="str">
        <x:v>10.000 saat efsanesi ve Anders Ericsson'un gerçek bulgusu</x:v>
      </x:c>
      <x:c r="I480" s="37" t="str">
        <x:v>Syed, Malcolm Gladwell'in popüler hale getirdiği 10.000 saat kuralının orijinal araştırmasının aslında ne söylediğini, 'bilinçli pratik' kavramını ve sıradan tekrarla ustalaşmanın gerçek yolunu karşılaştırıyor.</x:v>
      </x:c>
      <x:c r="J480" s="37" t="str">
        <x:v>1993. Psikolog Anders Ericsson Berlin Müzik Akademisi'nde bir araştırma yaptı.
Keman öğrencilerini üç gruba ayırdı: Dünya sınıfı olma potansiyeli taşıyanlar, iyi ama sıradan olanlar, öğretmen olmayı hedefleyenler.
Fark neydi? Pratik saati.
En iyiler 20 yaşında 10.000 saat çalışmıştı. Ortalar 8.000. Öğretmenler 4.000.
Malcolm Gladwell bu veriyi aldı ve "10.000 saat kuralı" yaptı. Mesaj: Yeterince pratik yap, usta ol.
##Ama Ericsson itiraz etti: Ben bunu söylemedim. Saat değil, pratik kalitesi belirliyor.##
Matthew Syed bu ayrımı Sıçramak'ın merkezine alıyor. Sıradan pratik ve bilinçli pratik.
Sıradan pratik: Her gün aynı şeyi tekrarla. Konfor alanından çıkma. "Zaten bildiğimi" yap.
Bilinçli pratik: Tam sınırındaki zorluğu seç. Hemen geri bildirim al. Hatayı sistematik analiz et. Bir sonraki denemede düzelt.
Bir müzisyen 10 yıl boyunca aynı parçayı çalabilir ve orta kalitede kalabilir. Ya da 3 yıl boyunca bilinçli pratikle dünya sahnesine çıkabilir.
$$Tekrar ustalık yaratmaz — bilinçli, analitik, zorlu tekrar yaratır.$$
&amp;&amp;Şu an pratik ettiğin bir beceri var mı? O pratik gerçekten sınırını zorluyor mu, yoksa konfor alanında mı kalıyorsun?&amp;&amp;</x:v>
      </x:c>
      <x:c r="K480" s="37" t="str"/>
      <x:c r="L480" s="37" t="str"/>
      <x:c r="M480" s="37" t="str"/>
      <x:c r="N480" s="37" t="str"/>
      <x:c r="O480" s="37" t="str"/>
    </x:row>
    <x:row r="481" ht="20" customHeight="1">
      <x:c r="A481" s="33" t="n">
        <x:v>1538</x:v>
      </x:c>
      <x:c r="B481" s="34" t="str">
        <x:v>1</x:v>
      </x:c>
      <x:c r="C481" s="34" t="str">
        <x:v>Liderlik</x:v>
      </x:c>
      <x:c r="D481" s="34" t="str">
        <x:v>Başarı</x:v>
      </x:c>
      <x:c r="E481" s="34" t="str">
        <x:v>Sıçramak</x:v>
      </x:c>
      <x:c r="F481" s="34" t="str">
        <x:v>Matthew Syed</x:v>
      </x:c>
      <x:c r="G481" s="34" t="str">
        <x:v>2010</x:v>
      </x:c>
      <x:c r="H481" s="37" t="str">
        <x:v>Tenis prodigisi ve fırsat ortamının gizli rolü</x:v>
      </x:c>
      <x:c r="I481" s="37" t="str">
        <x:v>Syed, Roger Federer ve benzeri 'doğal yeteneklerin' aslında kritik dönemlerde olağanüstü antrenman fırsatlarına nasıl eriştiğini ve doğuştan yeteneğin bu yapıyı açıklamak için neden yetersiz kaldığını anlatıyor.</x:v>
      </x:c>
      <x:c r="J481" s="37" t="str">
        <x:v>Matthew Syed dürüst bir itirafla başlıyor.
Kendisi de bir İngiliz masa tenisi şampiyonuydu. Ve hep merak ediyordu: Nasıl oldu?
Sonra fark etti.
Büyüdüğü sokakta İngiltere'nin en iyi masa tenisi kulübü vardı. Kulüp 7 gün 24 saat açıktı. Koçu Peter Charters dünyanın en iyi koçlarından biriydi. Ve birkaç komşu da aynı ortamda büyümüştü — hepsi ulusal düzeye çıktı.
##Tüm İngiltere'nin masa tenisi madalyalarının orantısız bir kısmı aynı posta kodundan çıkmıştı. Yetenek değil — fırsat ortamı.##
Syed bunu Roger Federer'e bağlıyor. Federer'in annesi tenis koçuydu. Çocukken tenis kulübüne ücretsiz erişimi vardı. En iyi koçlar yanındaydı.
Biz bunu gördüğümüzde "doğal yetenek" diyoruz. Ama Syed soruyor: Aynı koşullarda kaç çocuk aynı noktaya ulaşırdı?
Bu determinizm değil. Ama adaletsizlik.
Yeteneksiz sandığınız çocukların pek çoğu hiç doğru kapıya denk gelmediler.
$$Yetenek çoğunlukla fırsatın gizlenmiş adıdır — doğru ortam olmasaydı, pek çok efsane hiç görünmezdi.$$
&amp;&amp;Senin hayatındaki 'posta kodu avantajı' neydi? Hangi erken fırsatlar bugünkü seni şekillendirdi?&amp;&amp;</x:v>
      </x:c>
      <x:c r="K481" s="37" t="str"/>
      <x:c r="L481" s="37" t="str"/>
      <x:c r="M481" s="37" t="str"/>
      <x:c r="N481" s="37" t="str"/>
      <x:c r="O481" s="37" t="str"/>
    </x:row>
    <x:row r="482" ht="20" customHeight="1">
      <x:c r="A482" s="33" t="n">
        <x:v>1539</x:v>
      </x:c>
      <x:c r="B482" s="34" t="str">
        <x:v>1</x:v>
      </x:c>
      <x:c r="C482" s="34" t="str">
        <x:v>Liderlik</x:v>
      </x:c>
      <x:c r="D482" s="34" t="str">
        <x:v>Başarı</x:v>
      </x:c>
      <x:c r="E482" s="34" t="str">
        <x:v>Sıçramak</x:v>
      </x:c>
      <x:c r="F482" s="34" t="str">
        <x:v>Matthew Syed</x:v>
      </x:c>
      <x:c r="G482" s="34" t="str">
        <x:v>2010</x:v>
      </x:c>
      <x:c r="H482" s="37" t="str">
        <x:v>Placebo etkisi ve zihnin performans üzerindeki gücü</x:v>
      </x:c>
      <x:c r="I482" s="37" t="str">
        <x:v>Syed, sporcuların zihinsel inançlarının fiziksel performansı nasıl doğrudan etkilediğini, placebo araştırmalarını ve 'büyük baskı altında çöküş' fenomeninin aslında nasıl işlediğini açıklıyor.</x:v>
      </x:c>
      <x:c r="J482" s="37" t="str">
        <x:v>1995 yılında İngiltere'nin en iyi dartçılarından biri bir deneye dahil oldu.
Araştırmacılar ona iki tür enerji içeceği verdiler. Birinin performansı artırdığını söylediler. Diğerinin bir etkisi olmadığını.
Gerçekte her ikisi de sadece tatlı suydı.
Ama "performans artırıcı" içeceği içtiğinde skoru yüzde 18 arttı.
##Zihin bedene performans talimatı verdi. Ve beden uydu.##
Matthew Syed bunu "choking" — baskı altında çöküş — fenomeniyle birleştiriyor. Neden dünya şampiyonları kritik anlarda bazen donup kalıyor?
Cevap: Bilinçli kontrol.
Uzman performans otomatikleşmiştir. Bir tenisçi topa vururken "dirseği böyle tut, bileği şöyle döndür" diye düşünmüyor. Ama stres altında zihin kontrolü geri almak istiyor. Ve o geri alma — onlarca yıl otomatikleşmiş hareket — çöküyor.
Syed şöyle diyor: En iyi sporcular hem beden hem zihin üzerinde çalışır. Yalnızca fiziksel pratik değil, baskı altında zihinsel kontrol sağlamak da bir beceridir.
$$Zihin bedenden ayrı değil — performans bedenin ve zihnin ortaklaşa çıktısıdır.$$
&amp;&amp;Önemli bir an için hazırlanırken fiziksel ve zihinsel hazırlığa eşit zaman ayırıyor musun?&amp;&amp;</x:v>
      </x:c>
      <x:c r="K482" s="37" t="str"/>
      <x:c r="L482" s="37" t="str"/>
      <x:c r="M482" s="37" t="str"/>
      <x:c r="N482" s="37" t="str"/>
      <x:c r="O482" s="37" t="str"/>
    </x:row>
    <x:row r="483" ht="20" customHeight="1">
      <x:c r="A483" s="33" t="n">
        <x:v>1540</x:v>
      </x:c>
      <x:c r="B483" s="34" t="str">
        <x:v>1</x:v>
      </x:c>
      <x:c r="C483" s="34" t="str">
        <x:v>Verimlilik</x:v>
      </x:c>
      <x:c r="D483" s="34" t="str">
        <x:v>Yaratıcılık</x:v>
      </x:c>
      <x:c r="E483" s="34" t="str">
        <x:v>Peçete Arkası</x:v>
      </x:c>
      <x:c r="F483" s="34" t="str">
        <x:v>Dan Roam</x:v>
      </x:c>
      <x:c r="G483" s="34" t="str">
        <x:v>2008</x:v>
      </x:c>
      <x:c r="H483" s="37" t="str">
        <x:v>Her problem görsel düşünceyle çözülebilir</x:v>
      </x:c>
      <x:c r="I483" s="37" t="str">
        <x:v>Roam, insanların yüzde sekseninin kendini 'görsel düşünemeyen' kişi olarak tanımladığını ama aslında tüm insanların görsel düşünme kapasitesine sahip olduğunu ve bunu bir peçete üzerinde bile pratiğe geçirebileceğini anlatıyor.</x:v>
      </x:c>
      <x:c r="J483" s="37" t="str">
        <x:v>Dan Roam bir konferansta basit bir soru sordu.
"Bir şeyi anlatmak için çizim yapan var mı?"
Salondaki 200 kişiden 15'i el kaldırdı.
"Bir şeyi çizmek isteyen ama çizemeyeceğini düşünen?"
Neredeyse herkes.
##Bu yanıtın yanlış olduğunu Roam bütün bir kitapla kanıtlıyor. Görsel düşünme sanatsal yetenek değil — insan beyninin en doğal düşünme biçimi.##
Roam şunu söylüyor: Mağara insanları 40.000 yıl önce yazmayı keşfetmeden önce çiziyordu. Beyin görüntü üretmek için evrimleşti — metin işlemek için değil.
Peki neden insanlar "çizemiyorum" diyor?
Çünkü çizim sanat olarak öğretildi. Okulda güzel çizmek istendi. Güzel çizemeyenler vazgeçti.
Ama Roam farklı bir şey istiyor: Anlaşılır çizim. Doğru değil, net.
Bir daire, bir ok, bir çubuk adam — bunlarla her problemi görselleştirebilirsiniz. Ve görselleştirince problem anlaşılır hale gelir. Çözüm kendisi ortaya çıkar.
Roam buna "görsel düşünce" diyor. Ve her insanın bunu yapabileceğini söylüyor — bir peçete arkasında bile.
$$Kalem ve kağıt beyni netleştirir — çizim sanat değil, düşüncenin görünür halidir.$$
&amp;&amp;Son haftalarda anlamakta zorlandığın bir problemi çizmeyi denedin mi? Bir kağıda çizsen ne fark ederdin?&amp;&amp;</x:v>
      </x:c>
      <x:c r="K483" s="37" t="str"/>
      <x:c r="L483" s="37" t="str"/>
      <x:c r="M483" s="37" t="str"/>
      <x:c r="N483" s="37" t="str"/>
      <x:c r="O483" s="37" t="str"/>
    </x:row>
    <x:row r="484" ht="20" customHeight="1">
      <x:c r="A484" s="33" t="n">
        <x:v>1541</x:v>
      </x:c>
      <x:c r="B484" s="34" t="str">
        <x:v>1</x:v>
      </x:c>
      <x:c r="C484" s="34" t="str">
        <x:v>Verimlilik</x:v>
      </x:c>
      <x:c r="D484" s="34" t="str">
        <x:v>Yaratıcılık</x:v>
      </x:c>
      <x:c r="E484" s="34" t="str">
        <x:v>Peçete Arkası</x:v>
      </x:c>
      <x:c r="F484" s="34" t="str">
        <x:v>Dan Roam</x:v>
      </x:c>
      <x:c r="G484" s="34" t="str">
        <x:v>2008</x:v>
      </x:c>
      <x:c r="H484" s="37" t="str">
        <x:v>SQVID çerçevesi — doğru görseli seçmek</x:v>
      </x:c>
      <x:c r="I484" s="37" t="str">
        <x:v>Roam, her görsel fikrin beş temel boyuttan değerlendirilebileceğini ortaya koyuyor: Basit mi karmaşık mı, nitelik mi nicelik mi, vizyon mu uygulama mı, bireysel mi karşılaştırmalı mı, değişim mi status quo mu.</x:v>
      </x:c>
      <x:c r="J484" s="37" t="str">
        <x:v>Dan Roam binlerce sunum izledi.
Ve tekrar eden bir problem fark etti: İnsanlar yanlış görseli seçiyor.
Bir CEO büyüme stratejisini pasta grafiğiyle anlatıyordu. Ama pasta grafik paylaşımı anlatır — büyümeyi değil.
Bir mühendis süreç akışını buble chart'la gösterdi. Ama buble chart karşılaştırma yapar — süreç değil.
##Roam SQVID çerçevesini geliştirdi: Her fikrin doğal görsel biçimi vardır. Yanlış formata koymak fikri karartır.##
SQVID beş soru sormanızı istiyor:
Simple mi Complex mi? — Tek mesaj mi vermek istiyorum, birden fazla mı?
Quality mi Quantity mi? — Nitelik mi gösteriyorum, sayısal veri mi?
Vision mi Execution mi? — Büyük resmi mi anlatıyorum, adımları mı?
Individual mi Comparison mi? — Tek bir şey mi, iki şeyi karşılaştırma mı?
Delta mi Status Quo mi? — Değişimi mi gösteriyorum, mevcut durumu mu?
Bu sorulara cevap verince doğru görsel format kendiliğinden ortaya çıkıyor. Çizgi grafik, şema, matris, akış diyagramı — her birinin anlatmaya uygun olduğu ayrı bir mesaj var.
$$Her fikrin doğal bir görsel formu vardır — yanlış forma koymak en güçlü veriyi bile anlamsız kılar.$$
&amp;&amp;Bir fikri ya da veriyi sunarken genellikle hangi görsel formatı kullanıyorsun? O format gerçekten en uygun mu?&amp;&amp;</x:v>
      </x:c>
      <x:c r="K484" s="37" t="str"/>
      <x:c r="L484" s="37" t="str"/>
      <x:c r="M484" s="37" t="str"/>
      <x:c r="N484" s="37" t="str"/>
      <x:c r="O484" s="37" t="str"/>
    </x:row>
    <x:row r="485" ht="20" customHeight="1">
      <x:c r="A485" s="33" t="n">
        <x:v>1542</x:v>
      </x:c>
      <x:c r="B485" s="34" t="str">
        <x:v>1</x:v>
      </x:c>
      <x:c r="C485" s="34" t="str">
        <x:v>Verimlilik</x:v>
      </x:c>
      <x:c r="D485" s="34" t="str">
        <x:v>Yaratıcılık</x:v>
      </x:c>
      <x:c r="E485" s="34" t="str">
        <x:v>Peçete Arkası</x:v>
      </x:c>
      <x:c r="F485" s="34" t="str">
        <x:v>Dan Roam</x:v>
      </x:c>
      <x:c r="G485" s="34" t="str">
        <x:v>2008</x:v>
      </x:c>
      <x:c r="H485" s="37" t="str">
        <x:v>Napkin'de doğan fikirler — büyük kararların basit başlangıçları</x:v>
      </x:c>
      <x:c r="I485" s="37" t="str">
        <x:v>Roam, FedEx logosundan Netflix'in iş modeline, Southwest Airlines'ın fiyatlama stratejisinden pek çok büyük kurumsal karara kadar kritik fikirlerin neden karmaşık sunumlarda değil basit çizimlerde doğduğunu anlatıyor.</x:v>
      </x:c>
      <x:c r="J485" s="37" t="str">
        <x:v>1966. Herb Kelleher ve Rollin King bir kokteyl peçetesinin üzerine bir üçgen çizdi.
Üç şehir. Üç kenar. Dallas. Houston. San Antonio.
O üçgen Southwest Airlines'dı.
Binlerce sayfalık analiz, pazar araştırması, konsültan raporu değil — bir peçete üzerindeki üçgen.
##Roam bunu tesadüf olarak değil, görsel düşüncenin gücü olarak okuyor: Karmaşıklık netliği öldürür. Basit çizim özü ortaya koyar.##
FedEx logosu da benzer bir süreçten geçti. Tasarımcı Lindon Leader'a brief verildi: "Hız ve kesinliği ifade et." Leader aylarca çalıştı, yüzlerce versiyon denedi.
En son logoda F ile E harfinin arasındaki negatif boşlukta bir ok var. Her gören onu göremez. Ama bir kez görünce zihin "ileri, hızlı, kesin" mesajını kaydeder.
Roam'ın tezi: Büyük kararlar, büyük sunumlardan değil büyük netlikten çıkar. Ve netlik genellikle basit bir görsel ile başlar.
Karmaşık Excel modellerini, uzun raporları düşünün. Kaç kere gerçekten karar için kullanıldı?
Peçete arkasındaki çizim karar verir. Rapor onu meşrulaştırır.
$$Büyük fikirler karmaşıklık içinde boğulmaz — basit bir çizimde netleşir.$$
&amp;&amp;Şu an üzerinde çalıştığın karmaşık bir problemi bir kağıda çizip sadeleştirmeyi denedin mi?&amp;&amp;</x:v>
      </x:c>
      <x:c r="K485" s="37" t="str"/>
      <x:c r="L485" s="37" t="str"/>
      <x:c r="M485" s="37" t="str"/>
      <x:c r="N485" s="37" t="str"/>
      <x:c r="O485" s="37" t="str"/>
    </x:row>
    <x:row r="486" ht="20" customHeight="1">
      <x:c r="A486" s="33" t="n">
        <x:v>1543</x:v>
      </x:c>
      <x:c r="B486" s="34" t="str">
        <x:v>1</x:v>
      </x:c>
      <x:c r="C486" s="34" t="str">
        <x:v>Psikoloji</x:v>
      </x:c>
      <x:c r="D486" s="34" t="str">
        <x:v>Psikoloji</x:v>
      </x:c>
      <x:c r="E486" s="34" t="str">
        <x:v>Evet Dedirtmek</x:v>
      </x:c>
      <x:c r="F486" s="34" t="str">
        <x:v>Noah Goldstein</x:v>
      </x:c>
      <x:c r="G486" s="34" t="str">
        <x:v>2007</x:v>
      </x:c>
      <x:c r="H486" s="37" t="str">
        <x:v>Sosyal kanıt — otelin havlu deneyi</x:v>
      </x:c>
      <x:c r="I486" s="37" t="str">
        <x:v>Goldstein, Arizona otel zincirinin havluları yeniden kullanma kampanyasında farklı mesajların nasıl farklı sonuçlar ürettiğini ve sosyal normların çevresel mesajlardan çok daha güçlü olduğunu ortaya koyan saha deneyini anlatıyor.</x:v>
      </x:c>
      <x:c r="J486" s="37" t="str">
        <x:v>Arizona'da bir oteller zinciri bir problem yaşıyordu.
Çevresel sürdürülebilirlik kampanyaları işe yaramıyordu. Müşterilere "havlunuzu yeniden kullanın, çevreyi koruyun" dendi. Yanıt düşüktü.
Noah Goldstein ve Robert Cialdini otele girdiler. Banyo kapılarına farklı mesajlar yapıştırdılar.
Mesaj 1: "Çevreyi korumak için havlunuzu yeniden kullanın."
Mesaj 2: "Bu otelde konaklayan misafirlerin büyük çoğunluğu havlularını yeniden kullanıyor."
##Mesaj 2, yeniden kullanım oranını yüzde 33 artırdı. Aynı oda, aynı banyo, aynı havlu — sadece farklı bir mesaj.##
Psikoloji şuydu: İnsanlar çevre soyut bir kavram. Ama "bu odada kalan insanlar" somut ve yakın.
Goldstein bunu "sosyal kanıt" ilkesinin nüanslı versiyonu olarak tanımlıyor. Genel sosyal kanıt değil — bize en yakın, en benzer grubun davranışı en güçlü etkiyi yaratıyor.
"Çoğu insan" değil, "bu odadaki insanlar." "Pek çok müşteri" değil, "sizinle aynı şehirden gelenler."
Jakınlık ve benzerlik sosyal kanıtın gücünü katlar.
$$İnsanları etkileyen soyut istatistik değil — kendilerine en benzer olanın davranışıdır.$$
&amp;&amp;Bir fikri ya da davranışı yaymak istediğinde, buna en yakın grubun zaten bunu yaptığını gösterebilir misin?&amp;&amp;</x:v>
      </x:c>
      <x:c r="K486" s="37" t="str"/>
      <x:c r="L486" s="37" t="str"/>
      <x:c r="M486" s="37" t="str"/>
      <x:c r="N486" s="37" t="str"/>
      <x:c r="O486" s="37" t="str"/>
    </x:row>
    <x:row r="487" ht="20" customHeight="1">
      <x:c r="A487" s="33" t="n">
        <x:v>1544</x:v>
      </x:c>
      <x:c r="B487" s="34" t="str">
        <x:v>1</x:v>
      </x:c>
      <x:c r="C487" s="34" t="str">
        <x:v>Psikoloji</x:v>
      </x:c>
      <x:c r="D487" s="34" t="str">
        <x:v>Psikoloji</x:v>
      </x:c>
      <x:c r="E487" s="34" t="str">
        <x:v>Evet Dedirtmek</x:v>
      </x:c>
      <x:c r="F487" s="34" t="str">
        <x:v>Noah Goldstein</x:v>
      </x:c>
      <x:c r="G487" s="34" t="str">
        <x:v>2007</x:v>
      </x:c>
      <x:c r="H487" s="37" t="str">
        <x:v>Taahhüt ve tutarlılık — küçük evet büyük evete zemin hazırlar</x:v>
      </x:c>
      <x:c r="I487" s="37" t="str">
        <x:v>Goldstein, insanların küçük bir şeye evet dedikten sonra tutarlılık güdüsüyle çok daha büyük taleplere de evet deme eğiliminde olduğunu gösteren 'yard tabelası' deneyini ve bu psikolojinin günlük ikna süreçlerindeki yansımalarını anlatıyor.</x:v>
      </x:c>
      <x:c r="J487" s="37" t="str">
        <x:v>Bir araştırmacı bir mahalleyi ikiye böldü.
Birinci gruba büyük bir talep geldi: "Evinizin önüne 'Güvenli Sürun' yazan büyük bir tabela koymamıza izin verir misiniz?"
Yüzde 17'si kabul etti.
İkinci gruba önce küçük bir talep geldi: "Pencerenize küçük bir 'Güvenli Sürun' çıkartması koyabilir miyiz?"
Neredeyse herkes kabul etti.
İki hafta sonra aynı kişilere büyük tabela sorusu soruldu.
##Bu sefer yüzde 76'sı kabul etti. Küçük bir çıkartma, büyük bir taahhüdü mümkün kılmıştı.##
Noah Goldstein bunu "taahhüt ve tutarlılık" ilkesiyle açıklıyor: İnsanlar bir kez evet dediklerinde, kendi kimliklerini o evet ile hizalamaya başlıyorlar.
"Ben güvenli sürüşü destekleyen biriyim" — ve bu kimlik büyük tabelayı mantıklı kılıyor.
Goldstein şunu söylüyor: Büyük talep büyük evet gerektirmiyor. Küçük yesler kimliği inşa ediyor. Kimlik büyük yesler üretiyor.
Bu satış, aktivizm, eğitim, liderlik — her alanda geçerli.
$$Küçük bir evet sadece anlaşma değil — kimliğin yeniden yazılmasının başlangıcıdır.$$
&amp;&amp;Birini bir davranışa yönlendirmek istiyorsanız, önce hangi küçük adımı atmasını isteyebilirsiniz?&amp;&amp;</x:v>
      </x:c>
      <x:c r="K487" s="37" t="str"/>
      <x:c r="L487" s="37" t="str"/>
      <x:c r="M487" s="37" t="str"/>
      <x:c r="N487" s="37" t="str"/>
      <x:c r="O487" s="37" t="str"/>
    </x:row>
    <x:row r="488" ht="20" customHeight="1">
      <x:c r="A488" s="33" t="n">
        <x:v>1545</x:v>
      </x:c>
      <x:c r="B488" s="34" t="str">
        <x:v>1</x:v>
      </x:c>
      <x:c r="C488" s="34" t="str">
        <x:v>Psikoloji</x:v>
      </x:c>
      <x:c r="D488" s="34" t="str">
        <x:v>Psikoloji</x:v>
      </x:c>
      <x:c r="E488" s="34" t="str">
        <x:v>Evet Dedirtmek</x:v>
      </x:c>
      <x:c r="F488" s="34" t="str">
        <x:v>Noah Goldstein</x:v>
      </x:c>
      <x:c r="G488" s="34" t="str">
        <x:v>2007</x:v>
      </x:c>
      <x:c r="H488" s="37" t="str">
        <x:v>Kıtlık ve kayıp korkusu — kazanmak değil kaybetmemek motive eder</x:v>
      </x:c>
      <x:c r="I488" s="37" t="str">
        <x:v>Goldstein, Kahneman ve Tversky'nin kayıp itimsizliği araştırmalarını gerçek hayattaki ikna kampanyalarına bağlıyor ve aynı mesajın 'kazanacaksınız' yerine 'kaybedeceksiniz' çerçevesiyle verildiğinde neden çok daha güçlü etki yarattığını anlatıyor.</x:v>
      </x:c>
      <x:c r="J488" s="37" t="str">
        <x:v>Bir araştırma grubuna iki seçenek sunuldu.
Grup 1: "Bu yalıtımı yaptırırsanız yılda 150 dolar tasarruf edersiniz."
Grup 2: "Bu yalıtımı yaptırmazsanız yılda 150 dolar kaybedersiniz."
Sayı aynı. Etki tamamen farklı.
##İkinci mesajı alanlar yalıtımı yaptırma olasılığını yüzde 150 artırdı. Aynı bilgi, farklı çerçeve, dramatik fark.##
Noah Goldstein bunu Kahneman ve Tversky'nin kayıp itimsizliği araştırmalarına bağlıyor: İnsanlar aynı miktarda kazancı elde etmekten ziyade aynı miktarda kaybı önlemek için çok daha güçlü motive oluyorlar.
100 dolar kazanmak ne kadar güzel? Şimdi 100 dolar kaybettiğinizi düşünün. O his çok daha keskin.
Goldstein şunu söylüyor: Bir mesajı "ne kazanacaksınız" yerine "ne kaybedeceksiniz" çerçevesine koymak ikna gücünü dramatik biçimde artırıyor.
Ama bir uyarı da ekliyor: Bu tekniği manipülasyon için değil, gerçekten müşterinin yararına olan bir şeyi iletmek için kullanın. Çünkü insanlar manipüle edildiklerini hissedince güven yok oluyor.
$$İnsanlar kazanç için değil, kayıp korkusu için harekete geçer — mesaj çerçevesi bu korkuyu aktive edebilir ya da edemez.$$
&amp;&amp;Birini harekete geçirmek istediğinizde, mesajınızı "kazanacaksın" yerine "kaybedeceksin" çerçevesiyle denemeyi düşündünüz mü?&amp;&amp;</x:v>
      </x:c>
      <x:c r="K488" s="37" t="str"/>
      <x:c r="L488" s="37" t="str"/>
      <x:c r="M488" s="37" t="str"/>
      <x:c r="N488" s="37" t="str"/>
      <x:c r="O488" s="37" t="str"/>
    </x:row>
    <x:row r="489" ht="20" customHeight="1">
      <x:c r="A489" s="33" t="n">
        <x:v>1546</x:v>
      </x:c>
      <x:c r="B489" s="34" t="str">
        <x:v>1</x:v>
      </x:c>
      <x:c r="C489" s="34" t="str">
        <x:v>Bilim</x:v>
      </x:c>
      <x:c r="D489" s="34" t="str">
        <x:v>Teknoloji</x:v>
      </x:c>
      <x:c r="E489" s="34" t="str">
        <x:v>İkinci Makine Çağı</x:v>
      </x:c>
      <x:c r="F489" s="34" t="str">
        <x:v>Erik Brynjolfsson</x:v>
      </x:c>
      <x:c r="G489" s="34" t="str">
        <x:v>2014</x:v>
      </x:c>
      <x:c r="H489" s="37" t="str">
        <x:v>Satranç makinesi ve insan-makine işbirliği</x:v>
      </x:c>
      <x:c r="I489" s="37" t="str">
        <x:v>Brynjolfsson, Garry Kasparov'un Deep Blue'ya yenilmesinin ardından 'serbest stil satranç' turnuvalarında en iyi sonuçların ne güçlü bilgisayarların ne de tek başına büyük ustaların değil, bilgisayarla işbirliği yapan orta düzey oyuncuların elde ettiğini ve bunun geleceğin çalışma modeli olduğunu anlatıyor.</x:v>
      </x:c>
      <x:c r="J489" s="37" t="str">
        <x:v>1997. Garry Kasparov IBM'in Deep Blue bilgisayarına yenildi.
Başlıklar netti: "Makine insanı geçti."
Ama gerçek hikaye çok daha ilginçti.
Bir süre sonra "serbest stil satranç" turnuvaları başladı. Her formata izin veriliyordu — büyük ustalar, bilgisayarlar, insan-bilgisayar takımları.
Sonuç beklenmedikti.
##En güçlü bilgisayarlar değil, en iyi büyük ustalar değil — orta düzey oyuncuların bilgisayarla kurduğu takımlar kazandı.##
Erik Brynjolfsson bunu İkinci Makine Çağı'nın en önemli metaforu olarak sunuyor: Geleceğin ekonomisinde kazananlar makinelere karşı çalışanlar ya da makinelerin yerini almaya çalışanlar değil — makinelerle en iyi şekilde işbirliği yapanlar olacak.
Satranç sorusu şuydu: Bilgisayar taktik derinlikte üstün. İnsan stratejik bütün resmi görmekte daha iyi. Birlikte çalışınca her ikisinin güçlü tarafı ortaya çıkıyor.
Brynjolfsson şunu soruyor: Sizin işinizde hangi görevler bilgisayara, hangileri size ait olmalı? Ve bu dengeyi nasıl kuruyorsunuz?
$$Geleceğin rekabeti insan vs. makine değil — makineyle çalışan insan vs. makineylesiz insan.$$
&amp;&amp;Şu an yaptığın işin hangi parçasını bir yapay zeka aracına devretseydin, geriye kalan kısım daha değerli hale gelirdi?&amp;&amp;</x:v>
      </x:c>
      <x:c r="K489" s="37" t="str"/>
      <x:c r="L489" s="37" t="str"/>
      <x:c r="M489" s="37" t="str"/>
      <x:c r="N489" s="37" t="str"/>
      <x:c r="O489" s="37" t="str"/>
    </x:row>
    <x:row r="490" ht="20" customHeight="1">
      <x:c r="A490" s="33" t="n">
        <x:v>1547</x:v>
      </x:c>
      <x:c r="B490" s="34" t="str">
        <x:v>1</x:v>
      </x:c>
      <x:c r="C490" s="34" t="str">
        <x:v>Bilim</x:v>
      </x:c>
      <x:c r="D490" s="34" t="str">
        <x:v>Teknoloji</x:v>
      </x:c>
      <x:c r="E490" s="34" t="str">
        <x:v>İkinci Makine Çağı</x:v>
      </x:c>
      <x:c r="F490" s="34" t="str">
        <x:v>Erik Brynjolfsson</x:v>
      </x:c>
      <x:c r="G490" s="34" t="str">
        <x:v>2014</x:v>
      </x:c>
      <x:c r="H490" s="37" t="str">
        <x:v>Moore Yasası ve bileşik büyümenin kavranmayan gücü</x:v>
      </x:c>
      <x:c r="I490" s="37" t="str">
        <x:v>Brynjolfsson, dijital teknolojilerin neden insan sezgisini sürekli şaşırttığını, pirinç tanesi ve satranç tahtası hikayesi üzerinden üstel büyümenin neden sezgi dışı olduğunu ve bu büyümenin ekonomiye etkilerini anlatıyor.</x:v>
      </x:c>
      <x:c r="J490" s="37" t="str">
        <x:v>Eski bir Hint efsanesi:
Satranç oyununu icat eden adam, ödül olarak buğday istedi. "İlk kareye bir tane, ikinci kareye iki tane, üçüncüye dört tane, her kare bir öncekinin iki katı."
Kral güldü. "Bu kadar mı?"
Hesabı yaptığında yüzüne kan geliverd. 64. karede 9 kentilyon 200 dört yüz oluyordu.
Dünyadaki tüm pirinçten fazlası.
##Brynjolfsson bu efsaneyi Moore Yasası'na bağlıyor: Bilgisayar işlem gücü her iki yılda bir iki katına çıkıyor. İnsan sezgisi lineer büyümeyi anlıyor. Üstel büyümeyi anlayamıyor.##
1971'de ilk mikroişlemci 2.300 transistör içeriyordu. 2020'de bu sayı 50 milyara ulaştı.
Biz bu büyümeyi hissediyoruz — cep telefonumuz 30 yıl önceki süper bilgisayarlardan güçlü. Ama ne kadar hızlı değişeceğini hâlâ tahmin edemiyoruz.
Brynjolfsson şunu söylüyor: Şu an satranç tahtasının 32. karesindeyiz. İkinci yarıya yeni giriyoruz. Ve ikinci yarıda şeyler inanılmaz hız kazanacak.
Bu sizi korkutabilir ya da heyecanlandırabilir. Ama görmezden gelemezsiniz.
$$Üstel büyüme sezgiye aykırıdır — onu kabul etmek geleceği görmenin ilk adımıdır.$$
&amp;&amp;Beş yıl önce mevcut olmayan ve şimdi günlük hayatının parçası olan kaç teknoloji var? On yıl sonrası için aynı soruyu sordun mu hiç?&amp;&amp;</x:v>
      </x:c>
      <x:c r="K490" s="37" t="str"/>
      <x:c r="L490" s="37" t="str"/>
      <x:c r="M490" s="37" t="str"/>
      <x:c r="N490" s="37" t="str"/>
      <x:c r="O490" s="37" t="str"/>
    </x:row>
    <x:row r="491" ht="20" customHeight="1">
      <x:c r="A491" s="33" t="n">
        <x:v>1548</x:v>
      </x:c>
      <x:c r="B491" s="34" t="str">
        <x:v>1</x:v>
      </x:c>
      <x:c r="C491" s="34" t="str">
        <x:v>Bilim</x:v>
      </x:c>
      <x:c r="D491" s="34" t="str">
        <x:v>Teknoloji</x:v>
      </x:c>
      <x:c r="E491" s="34" t="str">
        <x:v>İkinci Makine Çağı</x:v>
      </x:c>
      <x:c r="F491" s="34" t="str">
        <x:v>Erik Brynjolfsson</x:v>
      </x:c>
      <x:c r="G491" s="34" t="str">
        <x:v>2014</x:v>
      </x:c>
      <x:c r="H491" s="37" t="str">
        <x:v>Beyin sermayesi çağı — idealar maddi kaynaklardan daha değerli</x:v>
      </x:c>
      <x:c r="I491" s="37" t="str">
        <x:v>Brynjolfsson, dijital ekonomide ölçekleme maliyetinin neredeyse sıfıra inmesiyle birlikte bir fikrin milyarlarca insana neredeyse bedavaya ulaşabildiğini ve bunun refah ile eşitsizlik üzerindeki paradoksal etkilerini açıklıyor.</x:v>
      </x:c>
      <x:c r="J491" s="37" t="str">
        <x:v>1990. Bir müzik albümünü kopyalamak kasetten kasete kayıt gerektiriyordu. Zaman alıyordu. Kalite bozuluyordu. Fiziksel maliyet vardı.
2005. Aynı albüm torrentle dünyaya yayıldı. Sıfır maliyet. Sıfır kalite kaybı. Sıfır gecikme.
Brynjolfsson bunu ekonominin temel mantığının değişmesi olarak okuyor.
##Dijital mal sonsuz kez kopyalanabilir, sıfır ek maliyetle. Bu, fikirlerin ve yazılımın tarihte hiç olmadığı bir ölçeğe ulaşmasını sağlıyor.##
WhatsApp 55 çalışanla 450 milyon kullanıcıya hizmet verdi. Facebook, Instagram ve YouTube milyarlarca insanın günlük hayatını şekillendiriyor — fiziksel fabrika gerektirmeden.
Ama bu bir paradoks yaratıyor:
GSYH artıyor. Refah artıyor. İnternette bedava içerik patlıyor.
Ama gelir dağılımı giderek eşitsizleşiyor. Kazananlar hepsini kazanıyor — neredeyse tekelleşme.
Brynjolfsson şunu soruyor: Refah ve gelir artık aynı şeyi ölçmüyor. GDP refah göstergesi olarak artık yetersiz. Yeni metrikler gerekiyor.
Ve fırsatlar da değişiyor: Artık küçük bir ekip büyük bir etki yaratabilir — fiziksel ölçek değil fikir kalitesi belirleyici.
$$Dijital çağda sınır artık fabrika kapasitesi değil fikrin kalitesidir — ve kaliteli fikir dünyaya sıfır maliyetle ulaşır.$$
&amp;&amp;Şu an üzerinde çalıştığın proje ya da fikir, dijital ölçekleme avantajından yararlanıyor mu? Fiziksel kısıtları ortadan kaldırsaydın ne değişirdi?&amp;&amp;</x:v>
      </x:c>
      <x:c r="K491" s="37" t="str"/>
      <x:c r="L491" s="37" t="str"/>
      <x:c r="M491" s="37" t="str"/>
      <x:c r="N491" s="37" t="str"/>
      <x:c r="O491" s="37" t="str"/>
    </x:row>
    <x:row r="492" ht="20" customHeight="1">
      <x:c r="A492" s="33" t="n">
        <x:v>1549</x:v>
      </x:c>
      <x:c r="B492" s="34" t="str">
        <x:v>1</x:v>
      </x:c>
      <x:c r="C492" s="34" t="str">
        <x:v>Liderlik</x:v>
      </x:c>
      <x:c r="D492" s="34" t="str">
        <x:v>Yönetim</x:v>
      </x:c>
      <x:c r="E492" s="34" t="str">
        <x:v>Ölçülebilir Büyüme</x:v>
      </x:c>
      <x:c r="F492" s="34" t="str">
        <x:v>Gino Wickman</x:v>
      </x:c>
      <x:c r="G492" s="34" t="str">
        <x:v>2011</x:v>
      </x:c>
      <x:c r="H492" s="37" t="str">
        <x:v>Vizyonun kağıtta kalması — EOS neden işletmeleri kurtarıyor</x:v>
      </x:c>
      <x:c r="I492" s="37" t="str">
        <x:v>Wickman, çoğu şirketin harika bir vizyona sahip olmasına rağmen neden büyüyemediğini ve EOS (Entrepreneurial Operating System) çerçevesinin vizyon ile uygulama arasındaki uçurumu nasıl kapattığını anlatıyor.</x:v>
      </x:c>
      <x:c r="J492" s="37" t="str">
        <x:v>Gino Wickman binlerce girişimciyle çalıştı.
Ve tekrar eden bir örüntü fark etti.
Harika ürün. Net vizyon. Hırslı ekip. Ama büyüme durmuş, kaos var, herkes koşturuyor ama hiçbir şey ilerlemıyor.
Sorun vizyon değildi. Uygulama sistemiydi.
##Wickman şunu söylüyor: Çoğu girişimci harika düşünür ama zayıf yönetir. Ve yönetim bir sistem olmadan kişisel karizmayla yürütülemez.##
EOS — Girişimci İşletim Sistemi — altı temel bileşene dayanıyor: Vizyon, İnsanlar, Veri, Sorunlar, Süreç, Kaldıraç.
Vizyon bileşeni şunu soruyor: Şirketin neden var? On yıl sonra nerede olacak? Gelecek üç yılda ne yapacak? Gelecek yıl hangi öncelikler var? Gelecek çeyrekte hangi "rocks" — kaya gibi sağlam hedefler — tamamlanacak?
Bu soruları cevaplamak bir sayfa sürer. Ama çoğu şirket bunu hiç yapmamış.
Wickman şöyle diyor: Vizyon yalnızca kurucunun kafasında varsa, şirket bir kişiye bağımlıdır. Kağıda döküldüğünde organizasyon içselleştirebilir.
$$Vizyon kafada fikir, kağıtta plan, sistemde gerçektir — aradaki fark şirketi yaşatır ya da öldürür.$$
&amp;&amp;Şirketinde ya da kendi projende, vizyonu somut hedeflere ve haftalık aksiyonlara indirgeyen bir sisteminiz var mı?&amp;&amp;</x:v>
      </x:c>
      <x:c r="K492" s="37" t="str"/>
      <x:c r="L492" s="37" t="str"/>
      <x:c r="M492" s="37" t="str"/>
      <x:c r="N492" s="37" t="str"/>
      <x:c r="O492" s="37" t="str"/>
    </x:row>
    <x:row r="493" ht="20" customHeight="1">
      <x:c r="A493" s="33" t="n">
        <x:v>1550</x:v>
      </x:c>
      <x:c r="B493" s="34" t="str">
        <x:v>1</x:v>
      </x:c>
      <x:c r="C493" s="34" t="str">
        <x:v>Liderlik</x:v>
      </x:c>
      <x:c r="D493" s="34" t="str">
        <x:v>Yönetim</x:v>
      </x:c>
      <x:c r="E493" s="34" t="str">
        <x:v>Ölçülebilir Büyüme</x:v>
      </x:c>
      <x:c r="F493" s="34" t="str">
        <x:v>Gino Wickman</x:v>
      </x:c>
      <x:c r="G493" s="34" t="str">
        <x:v>2011</x:v>
      </x:c>
      <x:c r="H493" s="37" t="str">
        <x:v>Doğru kişi, doğru yer — GWC testi</x:v>
      </x:c>
      <x:c r="I493" s="37" t="str">
        <x:v>Wickman, şirketlerdeki en büyük sürtüşme kaynağının yanlış pozisyondaki insanlar olduğunu ve GWC (Get it, Want it, Capacity) testinin doğru eşleşmeyi nasıl ortaya çıkardığını anlatıyor.</x:v>
      </x:c>
      <x:c r="J493" s="37" t="str">
        <x:v>Bir şirkette üç yıldır en iyi satışçı olan biri vardı.
Sonra terfi etti. Satış müdürü oldu.
Altı ay içinde hem kendi performansı hem de ekibinin performansı düştü. Çıkmak üzereydi.
Gino Wickman bu senaryoyu defalarca gördü. Ve sorunun terfi değil yanlış pozisyon olduğunu söylüyor.
##Wickman GWC testini geliştirdi: Get it — işin mantığını anlıyor mu? Want it — gerçekten bu pozisyonu istiyor mu? Capacity — fiziksel, zihinsel, duygusal kapasitesi var mı?##
O satışçı işin mantığını anlıyordu. Ama yöneticilik istemiyordu — insanları yönetmek onu tüketiyordu. Ve duygusal kapasitesi yoktu bunun için.
Wickman şunu söylüyor: GWC testinin üçü de "evet" olmak zorunda. Biri eksikse, o kişi o pozisyonda uzun vadede başarılı olamaz — ne kadar yetenek sahibi olsa da.
Bu hem işe alım hem de mevcut ekip için geçerli. Birini işe alırken değil, görev tanımını netleştirirken de sorulması gereken sorular.
Ve en zor kısım: Bazen en iyi çalışan yanlış pozisyondadır. Onu taşımak hem onu hem şirketi kurtarır.
$$Yanlış pozisyondaki doğru insan, doğru pozisyondaki orta insan kadar bile verimli olamaz.$$
&amp;&amp;Şu an bulunduğun rolde GWC testini kendin için uygulasan — üçü de evet mi?&amp;&amp;</x:v>
      </x:c>
      <x:c r="K493" s="37" t="str"/>
      <x:c r="L493" s="37" t="str"/>
      <x:c r="M493" s="37" t="str"/>
      <x:c r="N493" s="37" t="str"/>
      <x:c r="O493" s="37" t="str"/>
    </x:row>
    <x:row r="494" ht="20" customHeight="1">
      <x:c r="A494" s="33" t="n">
        <x:v>1551</x:v>
      </x:c>
      <x:c r="B494" s="34" t="str">
        <x:v>1</x:v>
      </x:c>
      <x:c r="C494" s="34" t="str">
        <x:v>Liderlik</x:v>
      </x:c>
      <x:c r="D494" s="34" t="str">
        <x:v>Yönetim</x:v>
      </x:c>
      <x:c r="E494" s="34" t="str">
        <x:v>Ölçülebilir Büyüme</x:v>
      </x:c>
      <x:c r="F494" s="34" t="str">
        <x:v>Gino Wickman</x:v>
      </x:c>
      <x:c r="G494" s="34" t="str">
        <x:v>2011</x:v>
      </x:c>
      <x:c r="H494" s="37" t="str">
        <x:v>Haftalık L10 toplantısı — kaosun ritme dönüşmesi</x:v>
      </x:c>
      <x:c r="I494" s="37" t="str">
        <x:v>Wickman, çoğu şirket toplantısının neden zaman kaybı olduğunu ve L10 (Level 10) toplantı formatının 90 dakikada hem hesap verebilirliği hem de gerçek problem çözmeyi nasıl bir arada sağladığını açıklıyor.</x:v>
      </x:c>
      <x:c r="J494" s="37" t="str">
        <x:v>Bir şirkette haftada 12 saat toplantı yapılıyordu.
Hiçbir karardan çıkmıyordu. Aynı konular tekrar tekrar konuşuluyordu. Ekip yorgundu.
Gino Wickman bunu pek çok şirkette gördü. Ve sorunu teşhis etti: Toplantılar format olmadan yapılıyor.
Wickman L10 toplantısını geliştirdi. Her hafta aynı saatte, aynı formatta, 90 dakika.
##Format şunları içeriyor: İyi haberler (5 dk), temel metrikler (5 dk), müşteri ve çalışan değerlendirmeleri (5 dk), hedef takibi (5 dk), IDS — belirleme, tartışma, çözme (60 dk).##
Asıl güç IDS kısmında. Konular önce listeleniyor. Sonra öncelik sırasına alınıyor. Sonra gerçekten çözülüyor — konuşulmakla yetinilmiyor.
Wickman şunu söylüyor: Toplantı verimsizliğinin nedeni toplantı değil — toplantının amacının belirsizliği. L10 her katılımcının neye geldiğini ve ne yapacağını önceden biliyor.
Bir şirkette L10 başladıktan sonra haftalık toplantı süresi 12 saatten 90 dakikaya indi. Ve alınan karar sayısı arttı.
$$Toplantılar format olmadığında sohbet olur — format olduğunda karar olur.$$
&amp;&amp;Şu an katıldığın toplantılar net bir format ve çıktı beklentisiyle mi yapılıyor?&amp;&amp;</x:v>
      </x:c>
      <x:c r="K494" s="37" t="str"/>
      <x:c r="L494" s="37" t="str"/>
      <x:c r="M494" s="37" t="str"/>
      <x:c r="N494" s="37" t="str"/>
      <x:c r="O494" s="37" t="str"/>
    </x:row>
    <x:row r="495" ht="20" customHeight="1">
      <x:c r="A495" s="33" t="n">
        <x:v>1552</x:v>
      </x:c>
      <x:c r="B495" s="34" t="str">
        <x:v>1</x:v>
      </x:c>
      <x:c r="C495" s="34" t="str">
        <x:v>Liderlik</x:v>
      </x:c>
      <x:c r="D495" s="34" t="str">
        <x:v>Liderlik</x:v>
      </x:c>
      <x:c r="E495" s="34" t="str">
        <x:v>The Five Dysfunctions of a Team</x:v>
      </x:c>
      <x:c r="F495" s="34" t="str">
        <x:v>Patrick Lencioni</x:v>
      </x:c>
      <x:c r="G495" s="34" t="str">
        <x:v>2002</x:v>
      </x:c>
      <x:c r="H495" s="37" t="str">
        <x:v>Güven eksikliği — kırılganlık temelli güven neden her şeyin temelidir</x:v>
      </x:c>
      <x:c r="I495" s="37" t="str">
        <x:v>Lencioni, çoğu ekipte güvenin 'güçlü görünme' kültürü nedeniyle hiç kurulmadığını ve gerçek güvenin ancak kırılganlığı — hataları, bilmediğini, zayıf olduğunu — kabul edebilmekle oluştuğunu anlatıyor.</x:v>
      </x:c>
      <x:c r="J495" s="37" t="str">
        <x:v>Patrick Lencioni bir yönetim kuruluna girdi.
Toplantı başladı. Herkes çok güçlü, çok hazırlıklı, çok emin görünüyordu.
Kimse bir soruyu bilmediğini söylemedi. Kimse yanlış gittiğini düşündüğü bir kararı sorgulamadı. Kimse bir önceki çeyrekte yaptığı hatayı paylaşmadı.
Lencioni şöyle dedi: "Bu ekipte güven yok."
Yöneticiler şaşırdı. "Elbette birbirimize güveniyoruz."
##Lencioni farklı bir güven tanımı yapıyor: Kırılganlık temelli güven. Hataları itiraf etmek, yardım istemek, bilmediğini söylemek, zayıf olduğunu paylaşmak.##
Bu güven olmadan ekip yüzeysel konuşur. Herkes "iyi" görünmeye çalışır. Gerçek sorunlar ortaya çıkmaz.
Lencioni'nin beş güçsüzlük piramidinin temeli güven. Güven olmadan çatışma olmaz — ama buradaki çatışma sağlıklı, fikir çatışması. Çatışma olmadan taahhüt olmaz. Taahhüt olmadan hesap verebilirlik olmaz. Hesap verebilirlik olmadan sonuç olmaz.
Her şey güvenle başlıyor. Ve güven kırılganlıkla başlıyor.
$$Ekipte gerçek güven ancak 'güçlü görünme' zorunluluğunu bıraktığında kurulur.$$
&amp;&amp;Çalıştığın ekipte bir şeyi bilmediğini ya da hata yaptığını rahatça söyleyebiliyor musun? Bu rahatça söyleyebilmek nasıl hissettiriyor?&amp;&amp;</x:v>
      </x:c>
      <x:c r="K495" s="37" t="str"/>
      <x:c r="L495" s="37" t="str"/>
      <x:c r="M495" s="37" t="str"/>
      <x:c r="N495" s="37" t="str"/>
      <x:c r="O495" s="37" t="str"/>
    </x:row>
    <x:row r="496" ht="20" customHeight="1">
      <x:c r="A496" s="33" t="n">
        <x:v>1553</x:v>
      </x:c>
      <x:c r="B496" s="34" t="str">
        <x:v>1</x:v>
      </x:c>
      <x:c r="C496" s="34" t="str">
        <x:v>Liderlik</x:v>
      </x:c>
      <x:c r="D496" s="34" t="str">
        <x:v>Liderlik</x:v>
      </x:c>
      <x:c r="E496" s="34" t="str">
        <x:v>The Five Dysfunctions of a Team</x:v>
      </x:c>
      <x:c r="F496" s="34" t="str">
        <x:v>Patrick Lencioni</x:v>
      </x:c>
      <x:c r="G496" s="34" t="str">
        <x:v>2002</x:v>
      </x:c>
      <x:c r="H496" s="37" t="str">
        <x:v>Sahte uyum tuzağı — çatışmadan kaçmak neden ekibi yavaşlatır</x:v>
      </x:c>
      <x:c r="I496" s="37" t="str">
        <x:v>Lencioni, sağlıklı ekiplerdeki fikir çatışmasının neden uzlaşma kültüründen çok daha üretken olduğunu ve çatışmadan kaçan ekiplerin gerçekte sessiz bir kaosa nasıl sürüklendiğini anlatıyor.</x:v>
      </x:c>
      <x:c r="J496" s="37" t="str">
        <x:v>Bir şirket kurulu toplantısında herkes hemfikirdi.
Tartışma yoktu. Soru yoktu. Muhalefet yoktu.
Toplantı bitti, herkes kendi odasına döndü. Ve koridorda asıl konuşmalar başladı.
"Bu karar yanlış ama söylemedim." "Bir şeyleri atlıyoruz ama konuyu açmak istemedim."
Patrick Lencioni buna "yapay uyum" diyor.
##Ekip toplantıda hemfikir görünür, ama gerçek görüşler dışarıda konuşulur. Bu toplantıyı anlamsız kılar — kararlar alınmış gibi görünür ama gerçekte alınmamıştır.##
Lencioni sağlıklı çatışmayı bundan ayırt ediyor. Sağlıklı çatışma kişisel saldırı değil — fikir, strateji, yaklaşım üzerine çarpışma.
Büyük fikirlerin çoğu sürtüşmeden çıkıyor. Karşı görüşler zayıflıkları ortaya çıkarıyor. Varsayımları sorgulama süreci kararı güçlendiriyor.
Ama bunun için güven şart. Çatışma güvenli hissettirmelidir — "fikim reddedilirse ben reddedilmiyorum" güveni.
Lencioni şöyle diyor: Ekiplerin çoğunda problem çatışma fazlalığı değil — çatışma eksikliği. Herkesin aynı fikirde olduğu bir ekip, ya çok az şeye karar veriyordur ya da gerçek görüşler hiç paylaşılmıyordur.
$$Toplantıda herkes hemfikirse, ya soru çok kolaydır ya da kimse gerçeği söylememektedir.$$
&amp;&amp;Son toplantında gerçekten katılmadığın bir şeyi açıkça söyleyebildin mi? Söyleyemediysen neden?&amp;&amp;</x:v>
      </x:c>
      <x:c r="K496" s="37" t="str"/>
      <x:c r="L496" s="37" t="str"/>
      <x:c r="M496" s="37" t="str"/>
      <x:c r="N496" s="37" t="str"/>
      <x:c r="O496" s="37" t="str"/>
    </x:row>
    <x:row r="497" ht="20" customHeight="1">
      <x:c r="A497" s="33" t="n">
        <x:v>1554</x:v>
      </x:c>
      <x:c r="B497" s="34" t="str">
        <x:v>1</x:v>
      </x:c>
      <x:c r="C497" s="34" t="str">
        <x:v>Liderlik</x:v>
      </x:c>
      <x:c r="D497" s="34" t="str">
        <x:v>Liderlik</x:v>
      </x:c>
      <x:c r="E497" s="34" t="str">
        <x:v>The Five Dysfunctions of a Team</x:v>
      </x:c>
      <x:c r="F497" s="34" t="str">
        <x:v>Patrick Lencioni</x:v>
      </x:c>
      <x:c r="G497" s="34" t="str">
        <x:v>2002</x:v>
      </x:c>
      <x:c r="H497" s="37" t="str">
        <x:v>Sonuçlara odaklanma — ego mu yoksa ekip mi kazansın</x:v>
      </x:c>
      <x:c r="I497" s="37" t="str">
        <x:v>Lencioni, piramidin zirvesindeki güçsüzlüğü — bireysel statü ve ego peşinde koşarken ekip hedeflerini geri planda bırakmayı — ve bunu aşan ekiplerin nasıl olağanüstü sonuçlar ürettiğini anlatıyor.</x:v>
      </x:c>
      <x:c r="J497" s="37" t="str">
        <x:v>Patrick Lencioni bir soru soruyor.
"Rakibiniz başarısız olsa ve aynı anda sizin ekibinizdeki biri de başarılı olsa — hangisi sizi daha mutlu eder?"
Dürüst cevap çoğu zaman şaşırtıcı.
Ekip içi rekabet, şirketi dış rekabetten daha fazla yavaşlatabilir.
##Lencioni'nin piramidin zirvesi şu: Sonuçlara odaklanmak. Ve en büyük engel bireysel statü ile ego.##
Bir satış direktörü kendi kotasını dolduruyor ama başka bölgenin kota açığını kapatmaya yardım etmiyor. Çünkü başarı bireysel olarak ölçülüyor.
Bir yönetici kendi departmanının bütçesini savunuyor, şirkete daha fazla katkı yapacak başka departmana bütçe transferini engelliyor.
Bunların hepsi rasyonel bireysel kararlar — ama ekip için yıkıcı.
Lencioni şöyle diyor: Gerçekten işleyen ekiplerde bireyler "ben" değil "biz" sorusunu sorar. "Bu benim için ne kazandırır?" değil "Bu ekibimiz için doğru mu?"
Ve bu sadece kültür meselesi değil — ölçüm meselesi. Bireyler yalnızca bireysel başarıyla ölçülürse, ekip başarısı için fedakarlık yapmaları beklenmemelidir.
$$Ekip ancak bireysel ego, kolektif başarının gerisine geçtiğinde gerçek güce ulaşır.$$
&amp;&amp;Çalıştığın ekipte başarı nasıl ölçülüyor? Bireysel mi, kolektif mi? Bu ölçüm davranışları nasıl şekillendiriyor?&amp;&amp;</x:v>
      </x:c>
      <x:c r="K497" s="37" t="str"/>
      <x:c r="L497" s="37" t="str"/>
      <x:c r="M497" s="37" t="str"/>
      <x:c r="N497" s="37" t="str"/>
      <x:c r="O497" s="37" t="str"/>
    </x:row>
    <x:row r="498" ht="20" customHeight="1">
      <x:c r="A498" s="33" t="n">
        <x:v>1555</x:v>
      </x:c>
      <x:c r="B498" s="34" t="str">
        <x:v>1</x:v>
      </x:c>
      <x:c r="C498" s="34" t="str">
        <x:v>Verimlilik</x:v>
      </x:c>
      <x:c r="D498" s="34" t="str">
        <x:v>Girişimcilik</x:v>
      </x:c>
      <x:c r="E498" s="34" t="str">
        <x:v>İş Modeli Üretimi</x:v>
      </x:c>
      <x:c r="F498" s="34" t="str">
        <x:v>Alexander Osterwalder</x:v>
      </x:c>
      <x:c r="G498" s="34" t="str">
        <x:v>2010</x:v>
      </x:c>
      <x:c r="H498" s="37" t="str">
        <x:v>Business Model Canvas — bir sayfada tüm iş modeli</x:v>
      </x:c>
      <x:c r="I498" s="37" t="str">
        <x:v>Osterwalder, yüzlerce sayfalık iş planlarının neden işe yaramadığını ve 9 bloktan oluşan tek sayfalık Business Model Canvas'ın nasıl iş modelini görünür, tartışılabilir ve değiştirilebilir hale getirdiğini anlatıyor.</x:v>
      </x:c>
      <x:c r="J498" s="37" t="str">
        <x:v>2004'te bir girişimci üç yıl boyunca iş planı yazdı.
87 sayfa. Pazar analizi, rekabet analizi, beş yıllık finansal projeksiyon, organizasyon şemaları.
Yatırımcılar okudu. Birkaçı ilgi gösterdi. Ama kimse gerçekten iş modelini anlayamadı — çünkü her şey kelimelerin içinde gömülüydü.
Alexander Osterwalder farklı bir şey önerdi: Tüm iş modelini tek bir sayfaya sığdır.
##Business Model Canvas 9 bloktan oluşuyor: Müşteri segmentleri, değer önerisi, kanallar, müşteri ilişkileri, gelir akışları, temel kaynaklar, temel aktiviteler, temel ortaklar, maliyet yapısı.##
Bu 9 blok birbirini etkiliyor. Müşteri segmenti değiştiğinde değer önerisi değişiyor. Değer önerisi değiştiğinde kanal değişiyor. Her şey bağlantılı.
Canvas'ın asıl gücü şu: Görünür olduğunda tartışılabilir. Tartışılabilir olduğunda değiştirilebilir.
87 sayfalık iş planını değiştirmek aylar alır. Canvas üzerindeki bir bloğu değiştirmek 10 dakika.
Osterwalder şöyle diyor: İş modeli canlı bir varlık — sürekli test edilen, değiştirilen. Bir kez yazılıp rafa kaldırılan bir belge değil.
$$İş modeli görünür kılındığında tartışılabilir olur — tartışılabilir olduğunda yaşamaya başlar.$$
&amp;&amp;Şu an üzerinde çalıştığın projenin ya da işin iş modelini bir Canvas'a dökmüş müydün? O 9 bloğu tek sayfada görmek ne ortaya çıkarırdı?&amp;&amp;</x:v>
      </x:c>
      <x:c r="K498" s="37" t="str"/>
      <x:c r="L498" s="37" t="str"/>
      <x:c r="M498" s="37" t="str"/>
      <x:c r="N498" s="37" t="str"/>
      <x:c r="O498" s="37" t="str"/>
    </x:row>
    <x:row r="499" ht="20" customHeight="1">
      <x:c r="A499" s="33" t="n">
        <x:v>1556</x:v>
      </x:c>
      <x:c r="B499" s="34" t="str">
        <x:v>1</x:v>
      </x:c>
      <x:c r="C499" s="34" t="str">
        <x:v>Verimlilik</x:v>
      </x:c>
      <x:c r="D499" s="34" t="str">
        <x:v>Girişimcilik</x:v>
      </x:c>
      <x:c r="E499" s="34" t="str">
        <x:v>İş Modeli Üretimi</x:v>
      </x:c>
      <x:c r="F499" s="34" t="str">
        <x:v>Alexander Osterwalder</x:v>
      </x:c>
      <x:c r="G499" s="34" t="str">
        <x:v>2010</x:v>
      </x:c>
      <x:c r="H499" s="37" t="str">
        <x:v>Ücretsiz iş modeli — Google nasıl bedavaya milyarlar kazanıyor</x:v>
      </x:c>
      <x:c r="I499" s="37" t="str">
        <x:v>Osterwalder, çok taraflı platform modelini ve 'freemium' yapısını analiz ederek bir müşteri grubuna bedava hizmet vermenin başka bir gruptan gelir elde etmeyi nasıl mümkün kıldığını ve bu modelin neden geleneksel iş mantığını kökten değiştirdiğini açıklıyor.</x:v>
      </x:c>
      <x:c r="J499" s="37" t="str">
        <x:v>Google 1998'de kuruldu.
Hiçbir şey satmıyordu. Arama bedavaydı. E-posta bedavaydı. Haritalar bedavaydı.
Ve milyarlarca dolar kazandı.
Bu nasıl mümkün?
Alexander Osterwalder bunu çok taraflı platform modeli olarak açıklıyor.
##Google iki ayrı müşteri segmentine hizmet ediyor: Kullanıcılar ve reklamcılar. Kullanıcılar bedavaya hizmet alıyor. Reklamcılar bu kullanıcılara ulaşmak için ödüyor.##
Bu model tek taraflı iş modelinden temel olarak farklı. Klasik modelde bir ürün var, bir müşteri var, o müşteri ödüyor.
Çok taraflı modelde iki grup birbirini değerli kılıyor. Kullanıcı kitlesi büyüdükçe reklamcı için değer artıyor. Reklamcı geliri büyüdükçe kullanıcılara daha iyi hizmet sunulabiliyor.
Osterwalder bunu diğer örneklere de bağlıyor: Kredi kartları (kullanıcı ve işyeri), gazete (okuyucu ve reklamcı), oyun platformları (oyuncu ve oyun geliştiricisi).
Ve freemium modelini açıklıyor: Temel özellikler bedava, premium özellikler ücretli. Spotify, Dropbox, LinkedIn — hepsi bu yapıda.
Anahtar soru: Bedava hizmetin maliyetini kim karşılıyor ve o kişiyi bu maliyeti ödetmek için ne cazip kılıyor?
$$Bedava iş modeli değer yaratmayı bırakmaz — değeri farklı bir taraftan yakalar.$$
&amp;&amp;Şu an geliştirdiğin ya da kullandığın bir üründe, bedavaya değer sunup farklı bir taraftan para kazanmak mümkün olur muydu?&amp;&amp;</x:v>
      </x:c>
      <x:c r="K499" s="37" t="str"/>
      <x:c r="L499" s="37" t="str"/>
      <x:c r="M499" s="37" t="str"/>
      <x:c r="N499" s="37" t="str"/>
      <x:c r="O499" s="37" t="str"/>
    </x:row>
    <x:row r="500" ht="20" customHeight="1">
      <x:c r="A500" s="33" t="n">
        <x:v>1557</x:v>
      </x:c>
      <x:c r="B500" s="34" t="str">
        <x:v>1</x:v>
      </x:c>
      <x:c r="C500" s="34" t="str">
        <x:v>Verimlilik</x:v>
      </x:c>
      <x:c r="D500" s="34" t="str">
        <x:v>Girişimcilik</x:v>
      </x:c>
      <x:c r="E500" s="34" t="str">
        <x:v>İş Modeli Üretimi</x:v>
      </x:c>
      <x:c r="F500" s="34" t="str">
        <x:v>Alexander Osterwalder</x:v>
      </x:c>
      <x:c r="G500" s="34" t="str">
        <x:v>2010</x:v>
      </x:c>
      <x:c r="H500" s="37" t="str">
        <x:v>İş modeli inovasyonu — rakibi taklit etmek değil yeniden tasarlamak</x:v>
      </x:c>
      <x:c r="I500" s="37" t="str">
        <x:v>Osterwalder, en büyük rekabet avantajının daha iyi ürün değil farklı iş modeli olduğunu ve IKEA, Nespresso, Zipcar gibi şirketlerin nasıl sektörlerini iş modeli düzeyinde yeniden tasarlayarak rakiplerini geçersiz kıldığını anlatıyor.</x:v>
      </x:c>
      <x:c r="J500" s="37" t="str">
        <x:v>1950'lerin ortasında mobilya sektörü basitti.
Mağaza açarsın. Mobilya koyarsın. Müşteri gelir, bakar, satın alır. Teslimat yaparsın.
Sonra IKEA geldi.
Mobilya sadece kendi tasarımı. Müşteri kutuyu kendisi taşıyor. Müşteri monte ediyor. Mağazada yemek bile yenilebiliyor.
Bu yalnızca farklı bir ürün değildi. Tamamen farklı bir iş modeliydi.
##Osterwalder şunu söylüyor: En sürdürülebilir rekabet avantajı ürün üstünlüğü değil — iş modeli farklılaşması. Çünkü ürünler kopyalanabilir, iş modeli kopyalanamaz.##
Nespresso benzer şekilde düşündü. Kahve makinesi satmak değil asıl iş — kapsül aboneliği. Makine neredeyse maliyetine satılıyor. Kapsülden para kazanılıyor.
Zipcar araba satmıyor. Araba aboneliği satıyor. Müşteri sahiplik değil kullanım satın alıyor.
Osterwalder şu soruyu soruyor: Sektörünüzde herkesin aynı şekilde yaptığı şeyler neler? Ve o "herkes böyle yapıyor" varsayımını sorgulasanız ne değişirdi?
İnovasyon çoğunlukla ürün değil süreç ve model düzeyinde gerçekleşiyor.
$$Rakibinizi ürünüyle geçemiyorsanız, iş modeliyle geçmeye bakın — model kopyalamak üründen çok daha zordur.$$
&amp;&amp;Sektörünüzde "herkes böyle yapıyor" diye sürdürülen ama hiç sorgulanmamış bir iş modeli varsayımı var mı?&amp;&amp;</x:v>
      </x:c>
      <x:c r="K500" s="37" t="str"/>
      <x:c r="L500" s="37" t="str"/>
      <x:c r="M500" s="37" t="str"/>
      <x:c r="N500" s="37" t="str"/>
      <x:c r="O500" s="37" t="str"/>
    </x:row>
    <x:row r="501" ht="20" customHeight="1">
      <x:c r="A501" s="33" t="n">
        <x:v>1558</x:v>
      </x:c>
      <x:c r="B501" s="34" t="str">
        <x:v>1</x:v>
      </x:c>
      <x:c r="C501" s="34" t="str">
        <x:v>Psikoloji</x:v>
      </x:c>
      <x:c r="D501" s="34" t="str">
        <x:v>Farkındalık</x:v>
      </x:c>
      <x:c r="E501" s="34" t="str">
        <x:v>Radikal Kabul</x:v>
      </x:c>
      <x:c r="F501" s="34" t="str">
        <x:v>Tara Brach</x:v>
      </x:c>
      <x:c r="G501" s="34" t="str">
        <x:v>2003</x:v>
      </x:c>
      <x:c r="H501" s="37" t="str">
        <x:v>Acıyı ikiye katlamak — birincil ve ikincil acı</x:v>
      </x:c>
      <x:c r="I501" s="37" t="str">
        <x:v>Brach, insan acısının büyük bölümünün yaşanan olayın kendisinden değil o olayı kabullenmeme, yargılama ve direnme tepkisinden — 'ikincil acıdan' — kaynaklandığını ve bu döngünün nasıl kırılabileceğini anlatıyor.</x:v>
      </x:c>
      <x:c r="J501" s="37" t="str">
        <x:v>Tara Brach bir hastasıyla çalışıyordu.
Kadın kronik sırt ağrısı çekiyordu. Ama şikayeti yalnızca fiziksel ağrı değildi.
"Neden ben? Bu adaletsiz. Bu kadar uzun sürmemeli. Kendimi kontrol edemediğim için berbat hissediyorum."
Brach şunu fark etti: Kadın iki ayrı acı çekiyordu.
Birincil acı: Sırt ağrısı. Fiziksel bir gerçek.
##İkincil acı: Ağrıya karşı tepkisi. Öfke, suçlama, utanç, direniş. Ve bu ikincil acı bazen birincilden daha yıkıcı.##
Brach Budist öğretisinden bir kavramı aktarıyor: "İkinci ok."
Birincil ağrı birinci ok. İkincil tepki — "Bu olmamalıydı, bu benim suçum, bu bitmeyecek" — ikinci ok. Ve insanlar genellikle ikinci oku kendilerine kendileri atıyor.
Radikal kabul ikinci oku durdurmak demek. Yaşananı değiştirmeye çalışmak değil — ama ona savaş açmayı bırakmak.
Brach şöyle diyor: Kabul boyun eğmek değil. "Bu böyledir" demek, "bu böyle olsun" demek değil. Ama gerçekliğe savaş açmaktan vazgeçmek, gerçekten değiştirebileceğiniz şeylere enerji bırakır.
$$Acıya direnmek acıyı ikiye katlar — birincil acı gerçektir, ikincil acı çoğunlukla seçimdir.$$
&amp;&amp;Son yaşadığın bir zorlukta ne kadarı olayın kendisinden, ne kadarı o olayı kabul edememen ve zihninde tekrar tekrar kurgulamandan geliyordu?&amp;&amp;</x:v>
      </x:c>
      <x:c r="K501" s="37" t="str"/>
      <x:c r="L501" s="37" t="str"/>
      <x:c r="M501" s="37" t="str"/>
      <x:c r="N501" s="37" t="str"/>
      <x:c r="O501" s="37" t="str"/>
    </x:row>
    <x:row r="502" ht="20" customHeight="1">
      <x:c r="A502" s="33" t="n">
        <x:v>1559</x:v>
      </x:c>
      <x:c r="B502" s="34" t="str">
        <x:v>1</x:v>
      </x:c>
      <x:c r="C502" s="34" t="str">
        <x:v>Psikoloji</x:v>
      </x:c>
      <x:c r="D502" s="34" t="str">
        <x:v>Farkındalık</x:v>
      </x:c>
      <x:c r="E502" s="34" t="str">
        <x:v>Radikal Kabul</x:v>
      </x:c>
      <x:c r="F502" s="34" t="str">
        <x:v>Tara Brach</x:v>
      </x:c>
      <x:c r="G502" s="34" t="str">
        <x:v>2003</x:v>
      </x:c>
      <x:c r="H502" s="37" t="str">
        <x:v>Yetersizlik trансı — 'bir şeyler yanlış' hissinin kökenine inmek</x:v>
      </x:c>
      <x:c r="I502" s="37" t="str">
        <x:v>Brach, modern insanın sürekli taşıdığı 'bir şeyler yanlış benimle' hissinin kültürel ve evrimsel kökenlerini açıklıyor ve bu farkındalığın kendisinin nasıl bir kurtuluş kapısı olduğunu anlatıyor.</x:v>
      </x:c>
      <x:c r="J502" s="37" t="str">
        <x:v>Tara Brach meditasyon retreatlarında insanlara bir soru soruyor.
"Şu an, bu anda, 'bir şeyler yanlış benimle' diye hisseden var mı?"
Her seferinde ellerin büyük çoğunluğu yükseliyor.
Brach buna "yetersizlik transı" diyor.
##Bu his evrensel. Kültürden bağımsız. Başarılı insanlarda da var, başarısızlarda da. Zenginlerde de, yoksullarda da. Sanki insanın arka planında sürekli çalan bir alarm gibi: "Henüz yeterince iyi değilsin."##
Brach bunun iki kaynağı olduğunu söylüyor.
Birincisi evrimsel: İnsan beyni tehlikeyi aramak için evrimleşti. Ve kendindeki eksiklikleri görmek sosyal gruba uyum sağlamak için bir hayatta kalma mekanizmasıydı.
İkincisi kültürel: Batı kültürü başarı, verimlilik ve sürekli gelişme üzerine kurulu. "Daha iyi ol, daha çok kazan, daha ince ol" mesajları her yerden geliyor.
Brach şöyle diyor: Bu hissin farkında olmak onu değiştirmez. Ama bu farkındalık, "ben bu his değilim" kapısını aralar.
Ve o kapı aralığında biraz nefes almak mümkün.
$$'Yeterince iyi değilim' hissi gerçeklik değil — evrimsel ve kültürel bir programlamadır.$$
&amp;&amp;Şu an hayatının hangi alanında 'henüz yeterince iyi değilim' hissi en güçlü? O his seni nasıl etkiliyor?&amp;&amp;</x:v>
      </x:c>
      <x:c r="K502" s="37" t="str"/>
      <x:c r="L502" s="37" t="str"/>
      <x:c r="M502" s="37" t="str"/>
      <x:c r="N502" s="37" t="str"/>
      <x:c r="O502" s="37" t="str"/>
    </x:row>
    <x:row r="503" ht="20" customHeight="1">
      <x:c r="A503" s="33" t="n">
        <x:v>1560</x:v>
      </x:c>
      <x:c r="B503" s="34" t="str">
        <x:v>1</x:v>
      </x:c>
      <x:c r="C503" s="34" t="str">
        <x:v>Psikoloji</x:v>
      </x:c>
      <x:c r="D503" s="34" t="str">
        <x:v>Farkındalık</x:v>
      </x:c>
      <x:c r="E503" s="34" t="str">
        <x:v>Radikal Kabul</x:v>
      </x:c>
      <x:c r="F503" s="34" t="str">
        <x:v>Tara Brach</x:v>
      </x:c>
      <x:c r="G503" s="34" t="str">
        <x:v>2003</x:v>
      </x:c>
      <x:c r="H503" s="37" t="str">
        <x:v>RAIN pratiği — zor duyguları eritmek için dört adım</x:v>
      </x:c>
      <x:c r="I503" s="37" t="str">
        <x:v>Brach, zor duygu ve düşüncelerle başa çıkmak için geliştirdiği RAIN (Recognize, Allow, Investigate, Nurture) pratiğini ve bu dört adımın acıyı nasıl dönüştürdüğünü somut örneklerle anlatıyor.</x:v>
      </x:c>
      <x:c r="J503" s="37" t="str">
        <x:v>Tara Brach'ın bir danışanı her toplantıda öfkeyle geliyordu.
İş yerinden, eşinden, kendinden. Öfkesi hayatının her yerine sızıyordu.
Brach ona bir pratik öğretti. RAIN.
##R — Recognize: Fark et. "Şu an öfke var." İsimlendirmek mesafe yaratır.
A — Allow: İzin ver. Kaçmadan, bastırmadan, savaşmadan — "bu his şu an burada" de.
I — Investigate: Araştır. Merakla, yargılamadan — bu his bedeninde nerede? Ne söylüyor? Neye ihtiyacı var?
N — Nurture: Besle. Kendine bir ebeveyn ya da iyi bir arkadaş gibi davran. Bu acıya ne söylerdin?##
Danışan ilk denemelerde tuhaf hissetti. Öfkeyle oturmak değil, onunla konuşmak gibi.
Ama zamanla bir şey fark etti: Öfkenin altında korku vardı. Korkunun altında üzüntü. Üzüntünün altında yalnızlık.
Brach şöyle diyor: Duygular geçmez çünkü görülmez. RAIN onları görmek için bir yapı. Ve görülen duygu çoğu zaman dönüşür.
Not: RAIN bir terapi değil. Ağır travmalar için profesyonel destek gerekir.
$$Duygular bastırılarak değil, fark edilerek, izin verilerek ve araştırılarak geçer.$$
&amp;&amp;Son hissettiğin zor duyguya — öfke, kaygı, üzüntü — gerçekten merakla yaklaştığında onun altında ne bulurdun?&amp;&amp;</x:v>
      </x:c>
      <x:c r="K503" s="37" t="str"/>
      <x:c r="L503" s="37" t="str"/>
      <x:c r="M503" s="37" t="str"/>
      <x:c r="N503" s="37" t="str"/>
      <x:c r="O503" s="37" t="str"/>
    </x:row>
    <x:row r="504" ht="20" customHeight="1">
      <x:c r="A504" s="33" t="n">
        <x:v>1561</x:v>
      </x:c>
      <x:c r="B504" s="34" t="str">
        <x:v>1</x:v>
      </x:c>
      <x:c r="C504" s="34" t="str">
        <x:v>Sağlık</x:v>
      </x:c>
      <x:c r="D504" s="34" t="str">
        <x:v>Sağlık</x:v>
      </x:c>
      <x:c r="E504" s="34" t="str">
        <x:v>Farkındalık Temelli Yaşam</x:v>
      </x:c>
      <x:c r="F504" s="34" t="str">
        <x:v>Jon Kabat-Zinn</x:v>
      </x:c>
      <x:c r="G504" s="34" t="str">
        <x:v>1990</x:v>
      </x:c>
      <x:c r="H504" s="37" t="str">
        <x:v>Jon Kabat-Zinn'in hastanesi — MBSR'nin doğuşu</x:v>
      </x:c>
      <x:c r="I504" s="37" t="str">
        <x:v>Kabat-Zinn, 1979'da UMass hastanesinde kronik ağrı ve stres hastalarına yönelik 8 haftalık Mindfulness-Based Stress Reduction programını nasıl geliştirdiğini ve Budist meditasyonun bilimsel tıpla nasıl buluştuğunu anlatıyor.</x:v>
      </x:c>
      <x:c r="J504" s="37" t="str">
        <x:v>1979. Jon Kabat-Zinn UMass Tıp Merkezi'nde bir soruyla karşılaştı.
Kronik ağrı hastaları vardı. Tedavi görüyorlardı. Ama tıbbın yapabileceği bir sınıra gelinmişti. Ağrı hâlâ vardı. Umut azalmıştı.
Kabat-Zinn bir soru sordu: "Bu hastalara meditasyon öğretsek ne olur?"
Çevresi şüpheyle baktı. Meditasyon alternatif tıp dünyasının içindeydi. Bilimsel değil.
Ama Kabat-Zinn ısrar etti. 8 haftalık bir program tasarladı. Budist meditasyonun özünü aldı ama dini bağlamından soyutladı. Buna Mindfulness-Based Stress Reduction — MBSR — adını verdi.
##İlk katılımcılar kronik ağrı, kanser, kalp hastalığı olan hastalardı. 8 hafta sonra ağrı düzeyleri düşmüştü. Uyku iyileşmişti. Kaygı azalmıştı. Ve bu sonuçlar ölçülmüştü.##
Kabat-Zinn şöyle açıklıyor: Meditasyon ağrıyı ortadan kaldırmıyor. Ama ağrıyla ilişkiyi değiştiriyor. "Ağrım var ve bu berbat" ile "Ağrım var" arasındaki fark.
O küçük oda bugün dünya genelinde 700'den fazla hastanede uygulanan bir protokolün başlangıcıydı.
$$Farkındalık deneyimi değiştirmez — ama deneyimle ilişkiyi dönüştürür.$$
&amp;&amp;Kronik bir stresin ya da zorluğun içindeyken, ona farklı bir gözle bakmanın — savaşmak yerine gözlemlemek — ne hissettireceğini düşündün mü?&amp;&amp;</x:v>
      </x:c>
      <x:c r="K504" s="37" t="str"/>
      <x:c r="L504" s="37" t="str"/>
      <x:c r="M504" s="37" t="str"/>
      <x:c r="N504" s="37" t="str"/>
      <x:c r="O504" s="37" t="str"/>
    </x:row>
    <x:row r="505" ht="20" customHeight="1">
      <x:c r="A505" s="33" t="n">
        <x:v>1562</x:v>
      </x:c>
      <x:c r="B505" s="34" t="str">
        <x:v>1</x:v>
      </x:c>
      <x:c r="C505" s="34" t="str">
        <x:v>Sağlık</x:v>
      </x:c>
      <x:c r="D505" s="34" t="str">
        <x:v>Sağlık</x:v>
      </x:c>
      <x:c r="E505" s="34" t="str">
        <x:v>Farkındalık Temelli Yaşam</x:v>
      </x:c>
      <x:c r="F505" s="34" t="str">
        <x:v>Jon Kabat-Zinn</x:v>
      </x:c>
      <x:c r="G505" s="34" t="str">
        <x:v>1990</x:v>
      </x:c>
      <x:c r="H505" s="37" t="str">
        <x:v>Otomatik pilot — zihnin nerede olduğundan habersiz yaşamak</x:v>
      </x:c>
      <x:c r="I505" s="37" t="str">
        <x:v>Kabat-Zinn, insanların günlük hayatlarının büyük bölümünü 'otomatik pilot' modunda — ne yaptıklarından, ne hissettiklerinden, nerede olduklarından gerçek anlamda habersiz — geçirdiklerini ve bunun ne anlama geldiğini anlatıyor.</x:v>
      </x:c>
      <x:c r="J505" s="37" t="str">
        <x:v>Jon Kabat-Zinn bir katılımcısına soruyor.
"Bu sabah eve giderken ne düşündünüz?"
Kadın duraksıyor. "Bilmiyorum. Arabaydım. Sonra evdeydim."
"Yol boyunca ne gördünüz?"
"Hatırlamıyorum."
Kabat-Zinn başını sallıyor. "Buna otomatik pilot diyoruz."
##İnsan beyninin büyük bir yeteneği var: Rutin görevleri arka plana atıp ön plana başka şeyler koymak. Araba kullanırken geçmiş ya da gelecek düşünmek. Yemek yerken telefona bakmak. Duş alırken yarınki toplantıyı planlamak.##
Bu verimlilik gibi görünüyor. Ama Kabat-Zinn farklı bir şey söylüyor.
Hayatınızın büyük çoğunluğu rutinden oluşuyor. Sabah kahvesi, işe gidiş, öğle yemeği, eve dönüş. Eğer tüm bu anları otomatik pilotta geçirirseniz, hayatın büyük bölümünü gerçek anlamda yaşamadan geçirmiş olursunuz.
Mindfulness otomatik pilotu kapatmak değil — onun farkında olmak. "Şu an otomatik pilottayım" fark ettiğinizde, seçim yapabilirsiniz.
Geri dönebilirsiniz. Şu ana. Bu kahveye. Bu yola. Bu nefese.
$$Otomatik pilot hayatı yaşamaktan değil — hayat geçerken başka yerde olmaktan ibarettir.$$
&amp;&amp;Bugün tamamen 'orada' olduğunuz — telefon yok, başka düşünce yok, yalnızca o an — kaç dakika vardı?&amp;&amp;</x:v>
      </x:c>
      <x:c r="K505" s="37" t="str"/>
      <x:c r="L505" s="37" t="str"/>
      <x:c r="M505" s="37" t="str"/>
      <x:c r="N505" s="37" t="str"/>
      <x:c r="O505" s="37" t="str"/>
    </x:row>
    <x:row r="506" ht="20" customHeight="1">
      <x:c r="A506" s="33" t="n">
        <x:v>1563</x:v>
      </x:c>
      <x:c r="B506" s="34" t="str">
        <x:v>1</x:v>
      </x:c>
      <x:c r="C506" s="34" t="str">
        <x:v>Sağlık</x:v>
      </x:c>
      <x:c r="D506" s="34" t="str">
        <x:v>Sağlık</x:v>
      </x:c>
      <x:c r="E506" s="34" t="str">
        <x:v>Farkındalık Temelli Yaşam</x:v>
      </x:c>
      <x:c r="F506" s="34" t="str">
        <x:v>Jon Kabat-Zinn</x:v>
      </x:c>
      <x:c r="G506" s="34" t="str">
        <x:v>1990</x:v>
      </x:c>
      <x:c r="H506" s="37" t="str">
        <x:v>Tam felaket — zorluğu kucaklamak</x:v>
      </x:c>
      <x:c r="I506" s="37" t="str">
        <x:v>Kabat-Zinn, kitabın adının kaynağı olan Zorba'nın 'tam felaket' ifadesini ve hayatın kaçınılmaz zorluklarını — ağrı, hastalık, kayıp — savaşmak yerine kucaklamanın nasıl paradoksal bir güç ve özgürlük yarattığını anlatıyor.</x:v>
      </x:c>
      <x:c r="J506" s="37" t="str">
        <x:v>Nikos Kazancakis'in romanında Zorba'ya soruyorlar.
"Evli misin?"
Zorba gülerek cevap veriyor: "Evli mi? Elbette. Çocuklar, ev, tam felaket!"
Jon Kabat-Zinn bu ifadeyi kitabına başlık yaptı. Ve arkasındaki felsefeyi açıkladı.
"Tam felaket" şikayetin değil kabulün sesi.
##Zorba hayatın karmaşasını — çocukların gürültüsünü, evin dağınıklığını, ilişkilerin zorluğunu — reddetmiyor. Tam aksine kucaklıyor. Hepsine "evet" diyor.##
Kabat-Zinn bunu hastalarına uyguluyor. Kronik ağrısı olan birine "ağrın geçecek" demiyor — bu yalan olabilir. "Ağrın burada, onunla yaşamayı öğrenelim" diyor.
Paradoks şu: Ağrıya savaş açmak ağrıyı büyütür. Ağrıyı kabul etmek çoğu zaman onu küçültür.
Budist öğreti şunu söylüyor: Acı kaçınılmaz, ıstırap seçimli. Acı hayatın parçası. Ama o acıya direnmek, ondan kaçmaya çalışmak, onun olmamasını dilemek — ıstırap bu.
Kabat-Zinn şöyle diyor: Tam felaket yaşamın içinde olmak demek — güzelleriyle, çirkinleriyle, kolaylariyle, zorluklarıyla. Ve her ikisine de aynı açıklıkla yaklaşabilmek.
$$Zorluğa direnmek enerji tüketir; zorluğu kucaklamak o enerjiyi özgürleştirir.$$
&amp;&amp;Şu an hayatında 'tam felaket' olarak nitelendireceğin — kaotik ama aynı zamanda anlamlı — hangi alanlar var?&amp;&amp;</x:v>
      </x:c>
      <x:c r="K506" s="37" t="str"/>
      <x:c r="L506" s="37" t="str"/>
      <x:c r="M506" s="37" t="str"/>
      <x:c r="N506" s="37" t="str"/>
      <x:c r="O506" s="37" t="str"/>
    </x:row>
    <x:row r="507" ht="20" customHeight="1">
      <x:c r="A507" s="33" t="n">
        <x:v>1564</x:v>
      </x:c>
      <x:c r="B507" s="34" t="str">
        <x:v>1</x:v>
      </x:c>
      <x:c r="C507" s="34" t="str">
        <x:v>Liderlik</x:v>
      </x:c>
      <x:c r="D507" s="34" t="str">
        <x:v>Liderlik</x:v>
      </x:c>
      <x:c r="E507" s="34" t="str">
        <x:v>Bilinçli Liderlik</x:v>
      </x:c>
      <x:c r="F507" s="34" t="str">
        <x:v>Jim Dethmer</x:v>
      </x:c>
      <x:c r="G507" s="34" t="str">
        <x:v>2020</x:v>
      </x:c>
      <x:c r="H507" s="37" t="str">
        <x:v>Çizginin altında ya da üstünde — iki liderlik hali</x:v>
      </x:c>
      <x:c r="I507" s="37" t="str">
        <x:v>Dethmer, liderlerin savunmacılık, haklı olma ihtiyacı ve kontrolden karşılıklı öğrenme ve merak moduna nasıl geçebileceğini gösteren 'çizginin altı ve üstü' modelini anlatıyor.</x:v>
      </x:c>
      <x:c r="J507" s="37" t="str">
        <x:v>Jim Dethmer bir CEO'yla çalışıyordu.
Toplantıda bir yönetici farklı bir fikir önerdi. CEO'nun yüzü değişti. Sesi sertleşti. Argümanlar geldi. Toplantı gerildi.
Sonra herkes sustu. CEO kazanmıştı.
Dethmer toplantıdan sonra şunu sordu: "O an ne hissettiniz?"
CEO düşündü. "Tehdit altında hissettim. Kendi kararımın sorgulandığını."
##Dethmer buna 'çizginin altında' olmak diyor. Savunmacılık, haklı olma ihtiyacı, kontrol etme dürtüsü — bunlar liderliği aşağı çeken hallerdir.##
'Çizginin üstünde' ise bambaşka: Merak, öğrenme isteği, farklı görüşlere açıklık. "Bu fikir beni tehdit etmiyor — beni zenginleştirebilir."
Dethmer şunu söylüyor: İki hal arasındaki fark yetenek değil, farkındalık. Çizginin altına düştüğünüzde ilk adım bunu fark etmek.
"Şu an savunmadayım" demek, savunmadan çıkmanın ilk adımı.
Ve bu farkındalık liderliği dönüştürüyor. Çünkü çizginin altındaki lider enerjiyi kazanmaya harcar. Üstündeki lider enerjiyi öğrenmeye harcar.
$$Liderliğin kalitesi pozisyonla değil, o anki bilinç haliyle belirlenir.$$
&amp;&amp;Son bir toplantıda ya da tartışmada kendinizi savunmada buldunuz mu? O an 'çizginin altında' olduğunuzu fark etseydiniz ne değişirdi?&amp;&amp;</x:v>
      </x:c>
      <x:c r="K507" s="37" t="str"/>
      <x:c r="L507" s="37" t="str"/>
      <x:c r="M507" s="37" t="str"/>
      <x:c r="N507" s="37" t="str"/>
      <x:c r="O507" s="37" t="str"/>
    </x:row>
    <x:row r="508" ht="20" customHeight="1">
      <x:c r="A508" s="33" t="n">
        <x:v>1565</x:v>
      </x:c>
      <x:c r="B508" s="34" t="str">
        <x:v>1</x:v>
      </x:c>
      <x:c r="C508" s="34" t="str">
        <x:v>Liderlik</x:v>
      </x:c>
      <x:c r="D508" s="34" t="str">
        <x:v>Liderlik</x:v>
      </x:c>
      <x:c r="E508" s="34" t="str">
        <x:v>Bilinçli Liderlik</x:v>
      </x:c>
      <x:c r="F508" s="34" t="str">
        <x:v>Jim Dethmer</x:v>
      </x:c>
      <x:c r="G508" s="34" t="str">
        <x:v>2020</x:v>
      </x:c>
      <x:c r="H508" s="37" t="str">
        <x:v>Yüzde yüz sorumluluk — suçu dışarıda aramayı bırakmak</x:v>
      </x:c>
      <x:c r="I508" s="37" t="str">
        <x:v>Dethmer, bilinçli liderlerin neden 'kurbanlık' rolünden çıkıp her durumda kendi katkılarını ve seçimlerini sorgulayan bir sorumluluk anlayışına geçtiğini ve bunun hem özgürlük hem güç yarattığını anlatıyor.</x:v>
      </x:c>
      <x:c r="J508" s="37" t="str">
        <x:v>Jim Dethmer bir şirkette yaygın bir şikayet duydu.
"Pazar koşulları çok zor." "Ekip yeterince çalışmıyor." "Yatırımcılar anlayışsız." "Müşteriler değişken."
Her şey dışarıdaydı. Sorun her zaman başka bir yerde.
Dethmer buna 'kurban hikayesi' diyor.
##Kurban hikayesinde insan gerçek — belki koşullar gerçekten zor. Ama sorun şu: Sorumluluk dışarıdaysa, çözüm de dışarıda demektir. Ve dışarısı sizin kontrolünüzde değil.##
Dethmer alternatifi sunuyor: Yüzde yüz sorumluluk.
Bu "her şey senin hatan" demek değil. Bu şu soruyu sormak: "Bu durumda benim katkım ne? Ben ne seçtim ya da seçmedim? Bundan sonra ne yapabilirim?"
Bir CEO'ya sordu: "Ekip çalışmıyorsa, bunu oluşturan hangi seçimleriniz vardı?"
CEO önce direnç gösterdi. Sonra düşündü. Yanlış işe alımlar. Belirsiz hedefler. Geri bildirim eksikliği.
Kurban hikayesi bitti. Eylem başladı.
Dethmer şöyle diyor: Sorumluluk almak ağır değil — aslında özgürleştirici. Çünkü değiştirebileceğiniz tek şey kendinizsiniz. Ve bunu kabul etmek sizi güçlü kılar.
$$Suçu dışarıda arayan güçsüzleşir — sorumluluğu içeride bulan özgürleşir.$$
&amp;&amp;Şu an hayatında 'kurban hikayesi' anlattığın bir alan var mı? O alanda senin katkın ne olabilir?&amp;&amp;</x:v>
      </x:c>
      <x:c r="K508" s="37" t="str"/>
      <x:c r="L508" s="37" t="str"/>
      <x:c r="M508" s="37" t="str"/>
      <x:c r="N508" s="37" t="str"/>
      <x:c r="O508" s="37" t="str"/>
    </x:row>
    <x:row r="509" ht="20" customHeight="1">
      <x:c r="A509" s="33" t="n">
        <x:v>1566</x:v>
      </x:c>
      <x:c r="B509" s="34" t="str">
        <x:v>1</x:v>
      </x:c>
      <x:c r="C509" s="34" t="str">
        <x:v>Liderlik</x:v>
      </x:c>
      <x:c r="D509" s="34" t="str">
        <x:v>Liderlik</x:v>
      </x:c>
      <x:c r="E509" s="34" t="str">
        <x:v>Bilinçli Liderlik</x:v>
      </x:c>
      <x:c r="F509" s="34" t="str">
        <x:v>Jim Dethmer</x:v>
      </x:c>
      <x:c r="G509" s="34" t="str">
        <x:v>2020</x:v>
      </x:c>
      <x:c r="H509" s="37" t="str">
        <x:v>Duyguları veri olarak kullanmak — bastırmak değil okumak</x:v>
      </x:c>
      <x:c r="I509" s="37" t="str">
        <x:v>Dethmer, bilinçli liderlerin duygularını zayıflık ya da dikkat dağıtıcı olarak değil, değerli bilgi kaynağı olarak nasıl gördüğünü ve bu yaklaşımın hem kişisel hem de organizasyonel kararları nasıl iyileştirdiğini anlatıyor.</x:v>
      </x:c>
      <x:c r="J509" s="37" t="str">
        <x:v>Jim Dethmer bir kıdemli yöneticiye soruyor.
"Büyük kararlar alırken duygularınıza ne kadar yer veriyorsunuz?"
Yönetici doğruluyor. "Duygular karara karışmamalı. Veri önemli, analiz önemli."
Dethmer başını sallıyor. Ve şunu söylüyor: "O zaman muhtemelen önemli bir veriyi görmezden geliyorsunuz."
##Dethmer duyguları beyin paraziti olarak değil, organizasyonun ve ilişkilerin durumuna dair sinyal sistemi olarak tanımlıyor. Korku, öfke, coşku, üzüntü — hepsi bir şeyi işaret ediyor.##
Bir CEO toplantıda sürekli gergin hissediyordu. Bastırdı. Devam etti. Altı ay sonra temel bir ortak ilişkisi çöktü.
Dethmer geriye bakarak sordu: "O gerilim neyi söylüyordu?"
Cevap netti: Güven kaybı. Gerginlik onu görüyordu ama zihin görmezden geldi.
Dethmer şunu öneriyor: Duyguyu hissettiğinde dur. "Bu duygu ne söylüyor?" diye sor. Veriye bak. Sonra karar ver.
Bastırmak duyguyu yok etmiyor — onu yeraltına gönderiyor. Yeraltında kararları ve ilişkileri etkilemeye devam ediyor.
$$Bastırılan duygu kaybolmaz — görünmez hale gelir ve orada daha fazla hasar yapar.$$
&amp;&amp;Son büyük kararında duygularınıza kulak verdiniz mi? O duygular size ne söylüyordu?&amp;&amp;</x:v>
      </x:c>
      <x:c r="K509" s="37" t="str"/>
      <x:c r="L509" s="37" t="str"/>
      <x:c r="M509" s="37" t="str"/>
      <x:c r="N509" s="37" t="str"/>
      <x:c r="O509" s="37" t="str"/>
    </x:row>
    <x:row r="510" ht="20" customHeight="1">
      <x:c r="A510" s="33" t="n">
        <x:v>1567</x:v>
      </x:c>
      <x:c r="B510" s="34" t="str">
        <x:v>1</x:v>
      </x:c>
      <x:c r="C510" s="34" t="str">
        <x:v>Liderlik</x:v>
      </x:c>
      <x:c r="D510" s="34" t="str">
        <x:v>Başarı</x:v>
      </x:c>
      <x:c r="E510" s="34" t="str">
        <x:v>Yetenek Kodu</x:v>
      </x:c>
      <x:c r="F510" s="34" t="str">
        <x:v>Daniel Coyle</x:v>
      </x:c>
      <x:c r="G510" s="34" t="str">
        <x:v>2009</x:v>
      </x:c>
      <x:c r="H510" s="37" t="str">
        <x:v>Miyelin — yeteneklerin biyolojik temeli</x:v>
      </x:c>
      <x:c r="I510" s="37" t="str">
        <x:v>Coyle, ustalaşmanın sırının beyindeki miyelin kılıfının güçlenmesi olduğunu ve bu biyolojik mekanizmanın neden 'doğuştan yetenek' kavramını temelden sorguladığını anlatıyor.</x:v>
      </x:c>
      <x:c r="J510" s="37" t="str">
        <x:v>Daniel Coyle bir nörobilim laboratuvarında şaşırtıcı bir şey öğrendi.
Beyinde sinir lifleri var. Ve bu liflerin etrafı miyelin adı verilen bir kılıfla sarılı.
Bir sinyal ne kadar çok tekrarlanırsa, o sinyal yolunun miyelin kılıfı o kadar kalınlaşıyor. Kalınlaştıkça sinyal daha hızlı, daha güçlü, daha kesin iletiliyor.
Bir piyanist her gün çalışıyor. O parmaklarla piyano çalma sinyali miyelin kılıfını kalınlaştırıyor. On yıl sonra o parmaklar neredeyse kendiliğinden hareket ediyor.
##Coyle şunu söylüyor: Yetenek bir hediye değil — miyelin birikimi. Ve miyelin birikimi belirli bir pratikle hızlanıyor.##
Bu neden devrim niteliğinde?
Çünkü "doğuştan yetenekli" ya da "yeteneksiz" ayrımını temelden sarsıyor. Beyin plastisite açısından herkes benzer kapasiteyle doğuyor. Fark, miyelin birikiminin hızı ve kalitesinde.
Ve miyelin birikimini hızlandıran şey sıradan tekrar değil — Coyle buna "derin pratik" diyor. Hata yapılan sınırda, dikkatli, kasıtlı pratik.
Her hata miyeline bir mesaj gönderiyor: "Bu sinyal yolu güçlendirilmeli."
$$Yetenek doğuştan değil — bilinçli pratiğin sinir sisteminde bıraktığı biyolojik izdir.$$
&amp;&amp;Şu an ustalaşmak istediğin bir beceri var mı? O beceriyi 'derin pratik' ile mi yoksa sıradan tekrarla mı çalışıyorsun?&amp;&amp;</x:v>
      </x:c>
      <x:c r="K510" s="37" t="str"/>
      <x:c r="L510" s="37" t="str"/>
      <x:c r="M510" s="37" t="str"/>
      <x:c r="N510" s="37" t="str"/>
      <x:c r="O510" s="37" t="str"/>
    </x:row>
    <x:row r="511" ht="20" customHeight="1">
      <x:c r="A511" s="33" t="n">
        <x:v>1568</x:v>
      </x:c>
      <x:c r="B511" s="34" t="str">
        <x:v>1</x:v>
      </x:c>
      <x:c r="C511" s="34" t="str">
        <x:v>Liderlik</x:v>
      </x:c>
      <x:c r="D511" s="34" t="str">
        <x:v>Başarı</x:v>
      </x:c>
      <x:c r="E511" s="34" t="str">
        <x:v>Yetenek Kodu</x:v>
      </x:c>
      <x:c r="F511" s="34" t="str">
        <x:v>Daniel Coyle</x:v>
      </x:c>
      <x:c r="G511" s="34" t="str">
        <x:v>2009</x:v>
      </x:c>
      <x:c r="H511" s="37" t="str">
        <x:v>Tutuşma anı — motivasyonun kimliğe dönüştüğü an</x:v>
      </x:c>
      <x:c r="I511" s="37" t="str">
        <x:v>Coyle, derin pratiği mümkün kılan motivasyonun nereden geldiğini araştırırken 'tutuşma' adını verdiği kritik anı keşfediyor: Birinin kendisiyle aynı gruptan birinin başardığını gördüğünde 'ben de yapabilirim' diye hissettiği dönüm noktası.</x:v>
      </x:c>
      <x:c r="J511" s="37" t="str">
        <x:v>Daniel Coyle Küba tenis akademisini araştırıyordu.
Küçük bir ada. Sınırlı kaynak. Ama dünya sıralamasında orantısız başarı.
Sordu: "Çocuklar neden bu kadar çok çalışıyor?"
Cevap beklediğinden farklıydı.
##Coyle 'tutuşma' anını keşfetti: Bir çocuk, kendine çok benzeyen birinin — aynı semtten, aynı koşullardan — büyük başarı elde ettiğini gördüğünde bir şey değişiyor. 'Ben de yapabilirim' bir fikir olmaktan çıkıp bir inanç haline geliyor.##
Küba'da her çocuk Javier Sotomayor'u biliyordu. Kübalı, yoksul bir ailede büyümüş, dünya yüksek atlama rekoru kırmış biri.
O an tutuşmaydı. "O yapabilmişse, ben de yapabilirim."
Coyle bunu diğer yetenek yuvalarında da buldu. Brezilya futbolunda, Rusya satranç okullarında, Nashvillle müzisyenlerinde. Her birinde model figürler vardı — ulaşılabilir, benzer arka plandan gelen, başarmış insanlar.
Coyle şunu söylüyor: Motivasyonu "daha çok çalış" diyerek yaratmazsın. Tutuşmayı sağlayacak modeli gösterirsin. Geri kalan içten geliyor.
$$'Ben de yapabilirim' hissi tüm derin pratiğin yakıtıdır — ve bu his ancak benzerin başardığını gördüğünde tutuşur.$$
&amp;&amp;Hayatında seni tutuşturan — 'o yapabilmişse ben de yapabilirim' dedirten — bir model figür var mıydı? Kim ve nasıl etkiledi seni?&amp;&amp;</x:v>
      </x:c>
      <x:c r="K511" s="37" t="str"/>
      <x:c r="L511" s="37" t="str"/>
      <x:c r="M511" s="37" t="str"/>
      <x:c r="N511" s="37" t="str"/>
      <x:c r="O511" s="37" t="str"/>
    </x:row>
    <x:row r="512" ht="20" customHeight="1">
      <x:c r="A512" s="33" t="n">
        <x:v>1569</x:v>
      </x:c>
      <x:c r="B512" s="34" t="str">
        <x:v>1</x:v>
      </x:c>
      <x:c r="C512" s="34" t="str">
        <x:v>Liderlik</x:v>
      </x:c>
      <x:c r="D512" s="34" t="str">
        <x:v>Başarı</x:v>
      </x:c>
      <x:c r="E512" s="34" t="str">
        <x:v>Yetenek Kodu</x:v>
      </x:c>
      <x:c r="F512" s="34" t="str">
        <x:v>Daniel Coyle</x:v>
      </x:c>
      <x:c r="G512" s="34" t="str">
        <x:v>2009</x:v>
      </x:c>
      <x:c r="H512" s="37" t="str">
        <x:v>Yetenek yuvaları — neden bazı küçük yerler büyük yetenkler üretiyor</x:v>
      </x:c>
      <x:c r="I512" s="37" t="str">
        <x:v>Coyle, Brezilya'dan futbol, Rusya'dan satranç, Güney Kore'den kadın golf oyuncusu dünya devleri yetişiren belirli yerlerin sırrını araştırıyor ve bu 'yetenek yuvalarının' ortak özelliklerini ortaya koyuyor.</x:v>
      </x:c>
      <x:c r="J512" s="37" t="str">
        <x:v>Daniel Coyle bir soruyla başladı.
Neden bazı küçük yerler orantısız büyük yetenek üretiyor?
Komünist dönem Macaristan'ı satranç dünyasını domine etti. Küçük Dominik Cumhuriyeti büyük liglere beyzbol oyuncusu gönderiyor. Güney Kore adası Jeju'dan çıkan kadın golf oyuncuları dünya devleri.
Coyle bu yerleri ziyaret etti. Ve ortak örüntüleri buldu.
##Birincisi: Her yerde derin pratik koşulları vardı. Sıradan tekrar değil, hata sınırında çalışma.
İkincisi: Usta koçlar. Çoğu teknik bilgiden çok nasıl öğretileceğini bilen insanlar.
Üçüncüsü: Tutuşma için model figürler. "Buradan çıkan biri başardı" söylemi.##
Ama Coyle en ilginç bulguyu Macaristan satranç ailesinde buldu.
Polgar ailesi. Laszlo Polgar satranç dahisi yetiştirmeye karar verdi. Kızlarını evde eğitti. Özel bir pratik sistemi kurdu.
Üç kızının hepsi dünya sıralamasına girdi. Judit Polgar tüm zamanların en iyi kadın satranç oyuncusu oldu.
Laszlo'nun dediği: "Dahiler doğulmaz, yapılır."
Coyle buna katılıyor. Ama ekliyor: Yapılmak için doğru sistem gerekiyor.
$$Yetenek yuvaları tesadüfen oluşmaz — derin pratik, doğru koçluk ve tutuşma bir araya geldiğinde oluşur.$$
&amp;&amp;Bulunduğun ortam — iş yeri, topluluk, çevre — seni daha iyi bir versiyonuna doğru çekiyor mu yoksa mevcut halde mi tutuyor?&amp;&amp;</x:v>
      </x:c>
      <x:c r="K512" s="37" t="str"/>
      <x:c r="L512" s="37" t="str"/>
      <x:c r="M512" s="37" t="str"/>
      <x:c r="N512" s="37" t="str"/>
      <x:c r="O512" s="37" t="str"/>
    </x:row>
    <x:row r="513" ht="20" customHeight="1">
      <x:c r="A513" s="33" t="n">
        <x:v>1570</x:v>
      </x:c>
      <x:c r="B513" s="34" t="str">
        <x:v>1</x:v>
      </x:c>
      <x:c r="C513" s="34" t="str">
        <x:v>Liderlik</x:v>
      </x:c>
      <x:c r="D513" s="34" t="str">
        <x:v>Liderlik</x:v>
      </x:c>
      <x:c r="E513" s="34" t="str">
        <x:v>Kültür Kodu</x:v>
      </x:c>
      <x:c r="F513" s="34" t="str">
        <x:v>Daniel Coyle</x:v>
      </x:c>
      <x:c r="G513" s="34" t="str">
        <x:v>2018</x:v>
      </x:c>
      <x:c r="H513" s="37" t="str">
        <x:v>Güvenlik sinyalleri — beyin kültürü nasıl okuyor</x:v>
      </x:c>
      <x:c r="I513" s="37" t="str">
        <x:v>Coyle, insan beyninin her ortamda sürekli 'bu güvenli mi, bu gruba ait miyim' sorusunu sorduğunu ve büyük kültürlerin bu soruya sürekli 'evet' cevabı veren küçük sinyaller ürettiğini anlatıyor.</x:v>
      </x:c>
      <x:c r="J513" s="37" t="str">
        <x:v>Daniel Coyle bir Navy SEAL birliğini ziyaret etti.
Dünyanın en iyi savaşçıları. Ölüm kalım kararları alan insanlar.
Coyle şaşırtıcı bir şey gözlemledi: Nasıl konuştuklarını.
Kıdemli subay, genç askere şöyle dedi: "Geçen operasyonda o kararı ben yanlış verdim. Senin önerine kulak verseydim daha iyi olurdu."
Bu basit bir cümle. Ama Coyle bunun arkasında çok şey gördü.
##Coyle şunu söylüyor: İnsan beyni her sosyal ortamda iki soruyu soruyor. 'Bu güvenli mi?' ve 'Bu gruba ait miyim?' Bu sorulara cevap veren küçük sinyaller kültürü inşa ediyor.##
O subayın itirafı iki sinyaldi: "Hata yapabilirsin, ben de yapıyorum" ve "Senin fikrin değerli."
Coyle bu sinyallere 'aitlik ipuçları' diyor. Göz teması, isimle hitap, fikirle ilgilenme, hata kabul etme — hepsi beyne aynı mesajı gönderiyor: "Burada güvendesin, buraya aitsin."
Bu sinyaller olmadığında beyin savunmaya geçiyor. Enerji korunmaya gidiyor. Yaratıcılık, risk alma, işbirliği düşüyor.
Bu sinyaller olduğunda beyin açılıyor. Potansiyel ortaya çıkıyor.
$$Kültür değerler listesinde değil — her gün verilen küçük sinyallerde yaşar.$$
&amp;&amp;Çalıştığın ya da bulunduğun ortamda 'aitlik ipuçları' var mı? Kendinizi güvende ve ait hissettiriyor mu?&amp;&amp;</x:v>
      </x:c>
      <x:c r="K513" s="37" t="str"/>
      <x:c r="L513" s="37" t="str"/>
      <x:c r="M513" s="37" t="str"/>
      <x:c r="N513" s="37" t="str"/>
      <x:c r="O513" s="37" t="str"/>
    </x:row>
    <x:row r="514" ht="20" customHeight="1">
      <x:c r="A514" s="33" t="n">
        <x:v>1571</x:v>
      </x:c>
      <x:c r="B514" s="34" t="str">
        <x:v>1</x:v>
      </x:c>
      <x:c r="C514" s="34" t="str">
        <x:v>Liderlik</x:v>
      </x:c>
      <x:c r="D514" s="34" t="str">
        <x:v>Liderlik</x:v>
      </x:c>
      <x:c r="E514" s="34" t="str">
        <x:v>Kültür Kodu</x:v>
      </x:c>
      <x:c r="F514" s="34" t="str">
        <x:v>Daniel Coyle</x:v>
      </x:c>
      <x:c r="G514" s="34" t="str">
        <x:v>2018</x:v>
      </x:c>
      <x:c r="H514" s="37" t="str">
        <x:v>Kırılganlığın döngüsü — zayıflık göstermek gücü artırır</x:v>
      </x:c>
      <x:c r="I514" s="37" t="str">
        <x:v>Coyle, en güçlü kültürlerdeki liderlerin neden kasıtlı olarak kendi hatalarını ve bilmediklerini paylaştığını ve bu kırılganlığın paradoksal biçimde hem güveni hem de ekip performansını nasıl artırdığını anlatıyor.</x:v>
      </x:c>
      <x:c r="J514" s="37" t="str">
        <x:v>Daniel Coyle Pixar'ı araştırdı.
Dünyanın en yaratıcı film stüdyolarından biri. Ardı ardına gişe ve eleştirmen başarısı.
Coyle içeride ne gördü?
Yöneticiler toplantılarda şunu söylüyordu: "Bu konuda yanılıyor olabilirim." "Bu sahne işe yaramadı, kim fikir verebilir?" "Ben bunu çözemedim — yardıma ihtiyacım var."
##Coyle buna 'kırılganlık döngüsü' diyor. Lider kırılganlık gösterdiğinde, diğerleri de gösteriyor. Herkes gösterdiğinde, gerçek fikirler ortaya çıkıyor.##
Bunun tersi de çalışıyor. Lider her şeyi biliyor görünürse, diğerleri de bilmiyorlarını gizliyor. Gerçek sorunlar yüzeye çıkmıyor. Kötü kararlar görünmez kalıyor.
Coyle şöyle açıklıyor: Kırılganlık zayıflık değil — güven sinyali. "Sana gerçeği söyleyebilirim" diyen bir ortam yaratıyor.
Ve bu ortamda insanlar en iyi işlerini yapıyor.
Pixar'ın ardışık başarısı tesadüf değil. Her filmde çıkmaza giren anlar oldu. Ama o çıkmaz kabul edildi, paylaşıldı ve birlikte çözüldü.
$$Güçlü lider her şeyi bilen değil — bilmediklerini söyleyebilen liderdir.$$
&amp;&amp;Çalıştığın ya da yönettiğin bir grupta son ne zaman 'bilmiyorum, fikrinize ihtiyacım var' dediniz?&amp;&amp;</x:v>
      </x:c>
      <x:c r="K514" s="37" t="str"/>
      <x:c r="L514" s="37" t="str"/>
      <x:c r="M514" s="37" t="str"/>
      <x:c r="N514" s="37" t="str"/>
      <x:c r="O514" s="37" t="str"/>
    </x:row>
    <x:row r="515" ht="20" customHeight="1">
      <x:c r="A515" s="33" t="n">
        <x:v>1572</x:v>
      </x:c>
      <x:c r="B515" s="34" t="str">
        <x:v>1</x:v>
      </x:c>
      <x:c r="C515" s="34" t="str">
        <x:v>Liderlik</x:v>
      </x:c>
      <x:c r="D515" s="34" t="str">
        <x:v>Liderlik</x:v>
      </x:c>
      <x:c r="E515" s="34" t="str">
        <x:v>Kültür Kodu</x:v>
      </x:c>
      <x:c r="F515" s="34" t="str">
        <x:v>Daniel Coyle</x:v>
      </x:c>
      <x:c r="G515" s="34" t="str">
        <x:v>2018</x:v>
      </x:c>
      <x:c r="H515" s="37" t="str">
        <x:v>Ortak amaç — 'neden' sorusu kültürü bir arada tutar</x:v>
      </x:c>
      <x:c r="I515" s="37" t="str">
        <x:v>Coyle, en güçlü kültürlerin teknik mükemmellik ya da maddi teşvik değil, paylaşılan derin bir amaç etrafında inşa edildiğini ve bu amacın nasıl sürekli canlı tutulduğunu somut örneklerle anlatıyor.</x:v>
      </x:c>
      <x:c r="J515" s="37" t="str">
        <x:v>Daniel Coyle Johnson &amp; Johnson'ın 1982 Tylenol krizini inceledi.
Birisi ürünlere zehir koymuştu. Yedi kişi hayatını kaybetti. Şirket ne yapacaktı?
Yöneticiler toplanmadı. Pazarlama ekibi 'marka hasarı' hesaplamadı. CEO tek bir soruyu sordu:
"Değerlerimiz ne diyor?"
J&amp;J'nin 1943'ten beri bir belgesi vardı: Credo. Ve Credo şunu söylüyordu: "Önce hastalar ve tüketiciler."
##Şirket 31 milyon şişeyi geri çekti. Piyasadan çıktı. O yıl büyük zarar yazdı. Ve iki yıl sonra güçlenmiş olarak döndü. Çünkü kriz anında kültür test edildi ve geçti.##
Coyle bunu ortak amaç dinamiğinin en güçlü örneği olarak sunuyor.
Ortak amaç sadece şirket vizyonu değil — her günkü kararlarda hissedilen 'neden buradayız' sorusunun cevabı. Kriz anında bile pusula işlevi görüyor.
Coyle şöyle diyor: Amaç posterlerle değil davranışlarla yaşıyor. Her kriz anı, her zor karar, o amacın gerçek olup olmadığını test ediyor.
Ve test geçildiğinde kültür derinleşiyor.
$$Amaç zor kararlar kolaylaştığında gerçektir — kolayken kolayca söylenen şey değil.$$
&amp;&amp;Çalıştığın yerin ya da projenin 'neden' sorusuna cevabı ne? Ve o cevap zor anlarda kararlarını yönlendiriyor mu?&amp;&amp;</x:v>
      </x:c>
      <x:c r="K515" s="37" t="str"/>
      <x:c r="L515" s="37" t="str"/>
      <x:c r="M515" s="37" t="str"/>
      <x:c r="N515" s="37" t="str"/>
      <x:c r="O515" s="37" t="str"/>
    </x:row>
    <x:row r="516" ht="20" customHeight="1">
      <x:c r="A516" s="33" t="n">
        <x:v>1573</x:v>
      </x:c>
      <x:c r="B516" s="34" t="str">
        <x:v>1</x:v>
      </x:c>
      <x:c r="C516" s="34" t="str">
        <x:v>Psikoloji</x:v>
      </x:c>
      <x:c r="D516" s="34" t="str">
        <x:v>Psikoloji</x:v>
      </x:c>
      <x:c r="E516" s="34" t="str">
        <x:v>Hataları Kucaklamak</x:v>
      </x:c>
      <x:c r="F516" s="34" t="str">
        <x:v>Carol Tavris</x:v>
      </x:c>
      <x:c r="G516" s="34" t="str">
        <x:v>2007</x:v>
      </x:c>
      <x:c r="H516" s="37" t="str">
        <x:v>Öz meşrulaştırma — zihin nasıl kendini korur</x:v>
      </x:c>
      <x:c r="I516" s="37" t="str">
        <x:v>Tavris ve Aronson, insanların hata yaptıklarında neden nadiren 'yanıldım' diyebildiğini ve zihnin tutarsızlıkları örtbas etmek için kurduğu öz meşrulaştırma mekanizmasını somut araştırmalar ve mahkeme kararları üzerinden anlatıyor.</x:v>
      </x:c>
      <x:c r="J516" s="37" t="str">
        <x:v>Carol Tavris bir araştırmadan bahsediyor.
ABD'de haksız yere mahkum edilen 200'den fazla kişi DNA kanıtıyla serbest bırakıldı. Sonra araştırmacılar savcılara döndü.
"Yanılmış olabilirsiniz. Görüşünüz değişti mi?"
Çoğunun cevabı şaşırtıcıydı. "Hayır. Hâlâ suçlu olduğuna inanıyorum. DNA kanıtı yanıltıcı olabilir."
##Tavris buna 'öz meşrulaştırma' diyor. İnsan zihni bir hata yaptığında, hatayı kabul etmek yerine hatayı destekleyen yeni argümanlar üretiyor. Bu bilinçli yalan değil — tamamen otomatik bir süreç.##
Neden? Çünkü hata kabul etmek bilişsel uyumsuzluk yaratıyor. "Ben iyi bir insanım" ile "Ben hata yaptım" aynı anda var olamıyor. Zihin bu gerilimi azaltmak için hatayı yeniden çerçeveli yor.
"Aslında o kadar da kötü değildi." "Koşullar göz önünde bulundurulursa mantıklıydı." "Başkası da aynısını yapardı."
Tavris şunu söylüyor: Öz meşrulaştırma normal — ama yıkıcı. Çünkü hatadan öğrenmeyi engelliyor. Ve zamanla küçük hatalar büyük yanlışlara evrilirken fark edilmiyor.
$$Zihin hatayı saklamak için gerçeği büker — bu bükülmeyi görmek öğrenmenin kapısıdır.$$
&amp;&amp;Son verdiğin yanlış bir kararı düşün. İlk tepkin savunma mıydı yoksa sorumluluk mu? Ne kadar sürede 'yanıldım' diyebildin?&amp;&amp;</x:v>
      </x:c>
      <x:c r="K516" s="37" t="str"/>
      <x:c r="L516" s="37" t="str"/>
      <x:c r="M516" s="37" t="str"/>
      <x:c r="N516" s="37" t="str"/>
      <x:c r="O516" s="37" t="str"/>
    </x:row>
    <x:row r="517" ht="20" customHeight="1">
      <x:c r="A517" s="33" t="n">
        <x:v>1574</x:v>
      </x:c>
      <x:c r="B517" s="34" t="str">
        <x:v>1</x:v>
      </x:c>
      <x:c r="C517" s="34" t="str">
        <x:v>Psikoloji</x:v>
      </x:c>
      <x:c r="D517" s="34" t="str">
        <x:v>Psikoloji</x:v>
      </x:c>
      <x:c r="E517" s="34" t="str">
        <x:v>Hataları Kucaklamak</x:v>
      </x:c>
      <x:c r="F517" s="34" t="str">
        <x:v>Carol Tavris</x:v>
      </x:c>
      <x:c r="G517" s="34" t="str">
        <x:v>2007</x:v>
      </x:c>
      <x:c r="H517" s="37" t="str">
        <x:v>Bellek yanılsaması — hatırladıklarımız ne kadar gerçek</x:v>
      </x:c>
      <x:c r="I517" s="37" t="str">
        <x:v>Tavris, belleğin bir kamera gibi değil sürekli yeniden yazılan bir hikaye gibi çalıştığını ve insanların geçmiş hatalarını, inançlarını ve deneyimlerini nasıl farkında olmadan yeniden kurguladığını anlatıyor.</x:v>
      </x:c>
      <x:c r="J517" s="37" t="str">
        <x:v>Carol Tavris şaşırtıcı bir araştırmayı aktarıyor.
Öğrencilere üniversite başlangıcında not ortalamaları ve lise notları soruldu. Cevaplar kaydedildi.
Dört yıl sonra aynı öğrencilere aynı sorular soruldu.
##Yüksek not alan öğrenciler gerçeğe yakın hatırlıyordu. Ama not ortalaması düşük olanlar lise notlarını dramatik biçimde yukarı çekmişti — gerçek notlardan çok daha yüksek hatırlamışlardı.##
Tavris şunu söylüyor: Bellek bir video kaydı değil. Her hatırladığımızda yeniden yazıyoruz. Ve bu yeniden yazma sürecinde 'şimdiki ben' 'geçmişteki beni' daha iyi görünecek şekilde düzenliyor.
Bu çok önemli çünkü bellek kimlik hikayemizin temelidir. "Ben her zaman böyledim." "Ben o kararı şu nedenle verdim."
Ama bu hikayenin büyük bölümü kısmen kurgu.
Tavris rahatsız edici ama özgürleştirici bir sonuca varıyor: Geçmiş hakkında çok emin olmayın. Kendinizin ya da başkasının size yaptığı şeyleri düşündüğünüzde, bellek filtresinden geçtiğini hatırlayın.
Ve bu farkındalık empatiyi artırıyor. Başkalarının hatırladıklarını da aynı şekilde şekilleniyor.
$$Bellek gerçeği korumaz — bizi korumak için gerçeği düzenler.$$
&amp;&amp;Bir çatışmayı ya da anlaşmazlığı hatırladığınızda, karşı tarafın da aynı olayı farklı ama eşit derecede 'gerçek' biçimde hatırladığını düşünebiliyor musunuz?&amp;&amp;</x:v>
      </x:c>
      <x:c r="K517" s="37" t="str"/>
      <x:c r="L517" s="37" t="str"/>
      <x:c r="M517" s="37" t="str"/>
      <x:c r="N517" s="37" t="str"/>
      <x:c r="O517" s="37" t="str"/>
    </x:row>
    <x:row r="518" ht="20" customHeight="1">
      <x:c r="A518" s="33" t="n">
        <x:v>1575</x:v>
      </x:c>
      <x:c r="B518" s="34" t="str">
        <x:v>1</x:v>
      </x:c>
      <x:c r="C518" s="34" t="str">
        <x:v>Psikoloji</x:v>
      </x:c>
      <x:c r="D518" s="34" t="str">
        <x:v>Psikoloji</x:v>
      </x:c>
      <x:c r="E518" s="34" t="str">
        <x:v>Hataları Kucaklamak</x:v>
      </x:c>
      <x:c r="F518" s="34" t="str">
        <x:v>Carol Tavris</x:v>
      </x:c>
      <x:c r="G518" s="34" t="str">
        <x:v>2007</x:v>
      </x:c>
      <x:c r="H518" s="37" t="str">
        <x:v>Piramit kararları — küçük adımlarla büyük yanlışlara doğru kayış</x:v>
      </x:c>
      <x:c r="I518" s="37" t="str">
        <x:v>Tavris, insanların nasıl küçük küçük kararlarla başlayıp zamanla hiç onaylamayacakları bir noktaya sürüklendiğini, 'piramidin tepesi' metaforu üzerinden açıklıyor ve bu süreci tanımanın dönüşüm kapısı olduğunu anlatıyor.</x:v>
      </x:c>
      <x:c r="J518" s="37" t="str">
        <x:v>Carol Tavris bir metafor kullanıyor.
İki öğrenci düşünün. Sınavda kopya çekmeyi düşünüyorlar — ama henüz karar vermediler. İkisi de piramidin tam tepesinde.
Biri kopya çekiyor. Diğeri çekmiyor.
Birkaç ay sonra: Kopya çeken öğrenci kopya çekmenin aslında sorun olmadığını, herkesin yaptığını, sistemin adaletsiz olduğunu düşünüyor. Çekmeyen ise etik kurallara daha bağlı hissediyor.
##Tavris şunu söylüyor: Tek bir küçük karar iki insanı tamamen farklı bir yöne çekiyor. Çünkü karar verildiğinde zihin onu meşrulaştırmaya başlıyor. Ve her meşrulaştırma bir sonraki adımı kolaylaştırıyor.##
Bu 'piramidin tepesi' fenomeni. Başlangıçta ufak farklar, zamanla büyük uçurumlar.
Tavris bunu yolsuzluk, ilişki ihlalleri, kurumsal skandallara uyguluyor. Hiç kimse bir günde 'kötü insan' olmuyor. Küçük küçük kararlar, her biri meşrulaştırılmış, birikip büyük bir yanlışa dönüşüyor.
Farkındalık şu: Şu an hangi piramidin tepesindeyim? Bu küçük karar beni nereye götürüyor?
$$Büyük yanlışlar tek kararın değil meşrulaştırılmış küçük kararların birikmesinin sonucudur.$$
&amp;&amp;Şu an hayatında fark etmeden üzerinde yürüdüğün, seni istemediğin bir yöne götüren küçük kararlar var mı?&amp;&amp;</x:v>
      </x:c>
      <x:c r="K518" s="37" t="str"/>
      <x:c r="L518" s="37" t="str"/>
      <x:c r="M518" s="37" t="str"/>
      <x:c r="N518" s="37" t="str"/>
      <x:c r="O518" s="37" t="str"/>
    </x:row>
    <x:row r="519" ht="20" customHeight="1">
      <x:c r="A519" s="33" t="n">
        <x:v>1576</x:v>
      </x:c>
      <x:c r="B519" s="34" t="str">
        <x:v>1</x:v>
      </x:c>
      <x:c r="C519" s="34" t="str">
        <x:v>Büyüme</x:v>
      </x:c>
      <x:c r="D519" s="34" t="str">
        <x:v>Motivasyon</x:v>
      </x:c>
      <x:c r="E519" s="34" t="str">
        <x:v>İşte Anlam</x:v>
      </x:c>
      <x:c r="F519" s="34" t="str">
        <x:v>Daniel Pink</x:v>
      </x:c>
      <x:c r="G519" s="34" t="str">
        <x:v>2009</x:v>
      </x:c>
      <x:c r="H519" s="37" t="str">
        <x:v>Ödül paradoksu — para motivasyonu öldürebilir</x:v>
      </x:c>
      <x:c r="I519" s="37" t="str">
        <x:v>Pink, Deci ve Ryan'ın ünlü araştırmasını aktararak dışsal ödüllerin içsel motivasyonu nasıl aşındırdığını ve 'kontrol cümlesi' ile 'bilgi cümlesi' arasındaki farkın neden bu kadar kritik olduğunu anlatıyor.</x:v>
      </x:c>
      <x:c r="J519" s="37" t="str">
        <x:v>1969. Psikolog Edward Deci bir deney yaptı.
İki grup öğrenci Soma bulmacaları üzerinde çalışıyordu. Bir gruba her çözülen bulmaca için para verildi. Diğerine hiçbir şey.
Sonra serbestçe oynama vakti verildi.
Para alan grup serbest vakitte bulmacayla daha az ilgilendi. Para almayan grup daha çok.
##Daniel Pink bu paradoksu 'motivasyon 2.0'ın çöküşü' olarak tanımlıyor. Dışsal ödül içsel motivasyonu aşındırıyor — çünkü aktivitenin anlamını 'araç'tan 'amaç'a dönüştürüyor.##
Önceden bulmaca ilginçti. Sonra ödül için yapılıyordu. Ödül kesilince anlam da kesildi.
Pink bunu iş dünyasına taşıyor. Şirketler 'daha iyi performans için daha fazla para' denklemini kuruyor. Ama bu denklem rutin işlerde kısmen çalışıyor, yaratıcı ve düşünce gerektiren işlerde geri tepebiliyor.
Ve bir nüans ekliyor: Geri bildirim şekli de kritik.
"Harika iş çıkardın, ödül alıyorsun" — kontrol cümlesi. Motivasyonu düşürüyor.
"Harika iş çıkardın, bu konuda gerçekten iyisin" — bilgi cümlesi. Motivasyonu artırıyor.
$$Ödül aktiviteyi araçsallaştırır — aktivitenin kendisi anlam taşıdığında ödül ikincil kalır.$$
&amp;&amp;Şu an yaptığın işte içsel motivasyon mu dışsal ödül mü daha baskın? Bu denge seni nasıl etkiliyor?&amp;&amp;</x:v>
      </x:c>
      <x:c r="K519" s="37" t="str"/>
      <x:c r="L519" s="37" t="str"/>
      <x:c r="M519" s="37" t="str"/>
      <x:c r="N519" s="37" t="str"/>
      <x:c r="O519" s="37" t="str"/>
    </x:row>
    <x:row r="520" ht="20" customHeight="1">
      <x:c r="A520" s="33" t="n">
        <x:v>1577</x:v>
      </x:c>
      <x:c r="B520" s="34" t="str">
        <x:v>1</x:v>
      </x:c>
      <x:c r="C520" s="34" t="str">
        <x:v>Büyüme</x:v>
      </x:c>
      <x:c r="D520" s="34" t="str">
        <x:v>Motivasyon</x:v>
      </x:c>
      <x:c r="E520" s="34" t="str">
        <x:v>İşte Anlam</x:v>
      </x:c>
      <x:c r="F520" s="34" t="str">
        <x:v>Daniel Pink</x:v>
      </x:c>
      <x:c r="G520" s="34" t="str">
        <x:v>2009</x:v>
      </x:c>
      <x:c r="H520" s="37" t="str">
        <x:v>Özerklik — kontrol etmek değil yönlendirmek</x:v>
      </x:c>
      <x:c r="I520" s="37" t="str">
        <x:v>Pink, Atlassian'ın 'FedEx günleri' ve Google'ın yüzde yirmi zamanı gibi örnekler üzerinden özerkliğin nasıl içsel motivasyonu patlatıp büyük inovasyonlara zemin hazırladığını ve 'çalışan yönetimi' paradigmasının neden çöktüğünü anlatıyor.</x:v>
      </x:c>
      <x:c r="J520" s="37" t="str">
        <x:v>Atlassian Avustralyalı bir yazılım şirketi.
2006'da yöneticiler alışılmadık bir karar aldı: Çalışanlar ayda bir tam gün istedikleri şeyi yapabilecekti. Hiçbir görev, hiçbir toplantı, hiçbir kısıtlama.
Bir koşullu: 24 saat sonra ne yaptıklarını paylaşacaklardı.
O 24 saatlerden düzinelerce yeni ürün fikri, yazılım yaması ve yenilik çıktı. Normal süreçte aylarca çözülemeyen sorunlar bir günde çözüldü.
##Daniel Pink bunu 'FedEx günleri' olarak adlandırıyor — bir günde bir şey teslim ediyorsun. Ve arkasındaki prensip şu: Özerklik yaratıcılığı patlatıyor.##
Google'ın yüzde yirmi zamanı benzer bir mantıkla çalışıyordu. Gmail ve Google Maps bu zamanın ürünleri.
Pink üç tür özerklik tanımlıyor: Görev özerkliği (ne yapacağım), zaman özerkliği (ne zaman yapacağım), teknik özerklik (nasıl yapacağım).
Bunların hiçbiri olmayan bir ortamda çalışan en iyi ihtimalle 'yönetilen performans' sergiliyor. Özerklik olduğunda 'sahiplenilmiş performans' ortaya çıkıyor.
Ve bu fark devasa.
$$Özerklik verimliliği düşürmez — yönetilen itaatten sahiplenilmiş performansa geçişi sağlar.$$
&amp;&amp;Şu anki işinde ya da projenizde ne kadar özerkliğin var? Daha fazla özerklik sana ne katardı?&amp;&amp;</x:v>
      </x:c>
      <x:c r="K520" s="37" t="str"/>
      <x:c r="L520" s="37" t="str"/>
      <x:c r="M520" s="37" t="str"/>
      <x:c r="N520" s="37" t="str"/>
      <x:c r="O520" s="37" t="str"/>
    </x:row>
    <x:row r="521" ht="20" customHeight="1">
      <x:c r="A521" s="33" t="n">
        <x:v>1578</x:v>
      </x:c>
      <x:c r="B521" s="34" t="str">
        <x:v>1</x:v>
      </x:c>
      <x:c r="C521" s="34" t="str">
        <x:v>Büyüme</x:v>
      </x:c>
      <x:c r="D521" s="34" t="str">
        <x:v>Motivasyon</x:v>
      </x:c>
      <x:c r="E521" s="34" t="str">
        <x:v>İşte Anlam</x:v>
      </x:c>
      <x:c r="F521" s="34" t="str">
        <x:v>Daniel Pink</x:v>
      </x:c>
      <x:c r="G521" s="34" t="str">
        <x:v>2009</x:v>
      </x:c>
      <x:c r="H521" s="37" t="str">
        <x:v>Amaç — para ve statünün ötesindeki üçüncü katman</x:v>
      </x:c>
      <x:c r="I521" s="37" t="str">
        <x:v>Pink, motivasyonun en derin katmanının özerklik ve ustalığın da ötesinde anlam ve amaç olduğunu, TOMS Shoes ve Skype gibi şirket örnekleriyle ve nörolojik araştırmalarla açıklıyor.</x:v>
      </x:c>
      <x:c r="J521" s="37" t="str">
        <x:v>Daniel Pink nörolojik bir araştırmayı aktarıyor.
İnsanlara para kazanmayı hayal ettirdiklerinde beynin ödül merkezi aktive oldu.
İnsanlara anlamlı bir şeye katkıda bulunmayı hayal ettirdiklerinde hem ödül merkezi hem de beynin anlam ve bağ kurma merkezi aktive oldu.
##Amaç, para ve özerkliğin tetiklediğinden farklı bir beyin bölgesine ulaşıyor. Ve bu bölge daha derin, daha kalıcı bir tatmin üretiyor.##
Pink bunu iş dünyasında nasıl kullandığına bakıyor.
TOMS Shoes her sattığı ayakkabı için bir çocuğa ayakkabı bağışlıyor. Bu model şirketi büyütürken çalışanlara "biz sadece ayakkabı satmıyoruz" duygusu veriyor.
Pink şöyle soruyor: Şirketinizin amacı ne? Para kazanmak cevap değil — para kazanmak için ne yapıyorsunuz?
Ve bireysel düzeyde: Yaptığınız iş dünyayı nasıl daha iyi bir yer haline getiriyor?
Bu soruya cevabı olan insanlar sabah kalkmak için daha güçlü bir neden buluyor. Zor anlarda daha uzun dayanıyor. Daha yaratıcı çalışıyor.
Motivasyonun üçüncü katmanı — amaç — ilk ikisini anlamsız kılmıyor. Ama onlara derinlik katıyor.
$$Para hayatı kolaylaştırır, ustalık tatmin eder, amaç anlam verir — üçü birlikte insanı tam harekete geçirir.$$
&amp;&amp;Yaptığın işin dünyayı nasıl daha iyi bir yer yaptığını tek cümleyle açıklayabilir misin? Bu cevap seni ne hissettiriyor?&amp;&amp;</x:v>
      </x:c>
      <x:c r="K521" s="37" t="str"/>
      <x:c r="L521" s="37" t="str"/>
      <x:c r="M521" s="37" t="str"/>
      <x:c r="N521" s="37" t="str"/>
      <x:c r="O521" s="37" t="str"/>
    </x:row>
    <x:row r="522" ht="20" customHeight="1">
      <x:c r="A522" s="33" t="n">
        <x:v>1579</x:v>
      </x:c>
      <x:c r="B522" s="34" t="str">
        <x:v>1</x:v>
      </x:c>
      <x:c r="C522" s="34" t="str">
        <x:v>Finans</x:v>
      </x:c>
      <x:c r="D522" s="34" t="str">
        <x:v>Satış</x:v>
      </x:c>
      <x:c r="E522" s="34" t="str">
        <x:v>Satışın Yeni Yüzü</x:v>
      </x:c>
      <x:c r="F522" s="34" t="str">
        <x:v>Daniel Pink</x:v>
      </x:c>
      <x:c r="G522" s="34" t="str">
        <x:v>2012</x:v>
      </x:c>
      <x:c r="H522" s="37" t="str">
        <x:v>Hepimiz satıcıyız — satış mesleğinin yeniden tanımı</x:v>
      </x:c>
      <x:c r="I522" s="37" t="str">
        <x:v>Pink, günümüzde çalışanların zamanının büyük bölümünü fikirleri, projeleri ve bakış açılarını başkalarına kabul ettirmeye harcadığını ve bu nedenle 'satış' kavramının yalnızca ürün satanları değil herkesi kapsadığını anlatıyor.</x:v>
      </x:c>
      <x:c r="J522" s="37" t="str">
        <x:v>Daniel Pink 7.000 Amerikalı çalışana bir anket yaptı.
Soru basitti: İş gününüzün ne kadarını başkalarını ikna etmeye, fikirlerinizi kabul ettirmeye ya da davranış değiştirmeye çalışmaya harcıyorsunuz?
Cevap çarpıcıydı.
##Ortalama çalışan iş gününün yüzde kırkını bu tür faaliyetlere harcıyordu. Yöneticiler ve girişimciler için bu oran daha da yüksekti.##
Pink şunu söylüyor: Hepimiz satıcıyız. Sadece ürün ya da hizmet satmıyoruz — fikirlerimizi satıyoruz, projelerimizi satıyoruz, kendimizi satıyoruz.
Bir öğretmen öğrencisine merak satıyor. Bir doktor hastasına sağlıklı yaşamı satıyor. Bir girişimci yatırımcısına vizyonu satıyor.
Ama "satış" kelimesi çoğu insanda olumsuz çağrışım yapıyor. Manipülasyon, baskı, kandırmaca.
Pink bu algıyı tersine çeviriyor. Gerçek satış başkasının hayatını iyileştirmek için harekete geçirmek. Onların sorununu çözmek. Onları daha iyi bir yere taşımak.
Ve bu tanımla herkes satıcı — ama iyi satıcı olmak için farklı bir yaklaşım gerekiyor.
$$Satış ürün pazarlamak değil — başkasının durumunu iyileştirmek için onları harekete geçirmektir.$$
&amp;&amp;Bugün iş gününde başkasını ikna etmeye ya da harekete geçirmeye çalıştığın kaç an vardı? Bunu 'satış' olarak düşünmüş müydün?&amp;&amp;</x:v>
      </x:c>
      <x:c r="K522" s="37" t="str"/>
      <x:c r="L522" s="37" t="str"/>
      <x:c r="M522" s="37" t="str"/>
      <x:c r="N522" s="37" t="str"/>
      <x:c r="O522" s="37" t="str"/>
    </x:row>
    <x:row r="523" ht="20" customHeight="1">
      <x:c r="A523" s="33" t="n">
        <x:v>1580</x:v>
      </x:c>
      <x:c r="B523" s="34" t="str">
        <x:v>1</x:v>
      </x:c>
      <x:c r="C523" s="34" t="str">
        <x:v>Finans</x:v>
      </x:c>
      <x:c r="D523" s="34" t="str">
        <x:v>Satış</x:v>
      </x:c>
      <x:c r="E523" s="34" t="str">
        <x:v>Satışın Yeni Yüzü</x:v>
      </x:c>
      <x:c r="F523" s="34" t="str">
        <x:v>Daniel Pink</x:v>
      </x:c>
      <x:c r="G523" s="34" t="str">
        <x:v>2012</x:v>
      </x:c>
      <x:c r="H523" s="37" t="str">
        <x:v>Kafa kafaya bilgi — asimetrik bilginin ortadan kalkması</x:v>
      </x:c>
      <x:c r="I523" s="37" t="str">
        <x:v>Pink, internetin alıcı-satıcı arasındaki bilgi dengesizliğini tersine çevirdiğini ve bu değişimin satış anlayışını kökten dönüştürdüğünü; artık ürün değil problem çözücü rolünün satışın merkezine geçtiğini anlatıyor.</x:v>
      </x:c>
      <x:c r="J523" s="37" t="str">
        <x:v>1970'lerde bir araba satın almak istediğinizde bayiye gidiyordunuz.
Satıcı her şeyi biliyordu: Gerçek maliyet, rakip fiyatlar, müzakere payı. Siz hiçbirini bilmiyordunuz.
O bilgi asimetrisi satıcıya büyük bir güç veriyordu.
Sonra internet geldi.
##Daniel Pink buna 'kafa kafaya bilgi' dönemi diyor. Artık alıcı satıcı kadar — bazen daha fazla — biliyor. Araştırmalar, karşılaştırmalar, yorumlar, gerçek fiyatlar — hepsi birkaç tıkla ulaşılabilir.##
Bu dönüşüm satış anlayışını kökten değiştirdi.
Eski satış modeli: Bilgiyi koru, fiyatı gizle, müzakere et.
Yeni satış modeli: Şeffaf ol, değer yarat, problem çöz.
Pink şunu söylüyor: Bilgi asimetrisi ortadan kalktığında manipülatif satış teknikleri işe yaramıyor. Müşteri zaten biliyor.
Yeni dönemde satıcının değeri bilgide değil — problemi anlama ve çözme kapasitesinde. Müşterinin henüz sormadığı soruları soran, görünmeyen sorunları teşhis eden biri olarak.
Doktora gibi. Hasta semptomları anlatıyor. Doktor teşhis koyuyor. Hasta doktoru bilgi için değil bakış açısı için arıyor.
$$Bilgi artık müşteride de var — satıcının değeri artık bilgide değil problemi çözmedeki derinliğindedir.$$
&amp;&amp;Başkasını ikna etmeye çalışırken ne kadar dinliyorsunuz, ne kadar konuşuyorsunuz? Oranı tersine çevirseniz ne değişirdi?&amp;&amp;</x:v>
      </x:c>
      <x:c r="K523" s="37" t="str"/>
      <x:c r="L523" s="37" t="str"/>
      <x:c r="M523" s="37" t="str"/>
      <x:c r="N523" s="37" t="str"/>
      <x:c r="O523" s="37" t="str"/>
    </x:row>
    <x:row r="524" ht="20" customHeight="1">
      <x:c r="A524" s="33" t="n">
        <x:v>1581</x:v>
      </x:c>
      <x:c r="B524" s="34" t="str">
        <x:v>1</x:v>
      </x:c>
      <x:c r="C524" s="34" t="str">
        <x:v>Finans</x:v>
      </x:c>
      <x:c r="D524" s="34" t="str">
        <x:v>Satış</x:v>
      </x:c>
      <x:c r="E524" s="34" t="str">
        <x:v>Satışın Yeni Yüzü</x:v>
      </x:c>
      <x:c r="F524" s="34" t="str">
        <x:v>Daniel Pink</x:v>
      </x:c>
      <x:c r="G524" s="34" t="str">
        <x:v>2012</x:v>
      </x:c>
      <x:c r="H524" s="37" t="str">
        <x:v>Geri çekilme hakkı — en güçlü satış cümlesi</x:v>
      </x:c>
      <x:c r="I524" s="37" t="str">
        <x:v>Pink, modern satışın paradoksal gücünü ortaya koyuyor: Müşteriye 'bu sizin için uygun olmayabilir' ya da 'rakibimiz bu konuda daha iyi' demek güven yaratarak en güçlü ikna aracına dönüşüyor.</x:v>
      </x:c>
      <x:c r="J524" s="37" t="str">
        <x:v>Daniel Pink bir araştırmayı aktarıyor.
İki grup satıcı müşterilerle görüşüyor.
Birinci grup klasik satış yapıyor: Ürünün avantajlarını anlatıyor, itirazları yanıtlıyor, kapanışa çalışıyor.
İkinci grup farklı bir şey söylüyor: "Açıkçası bu ürün herkes için uygun değil. Eğer şunu arıyorsanız, rakibimiz daha iyi bir seçenek olabilir."
##İkinci grup daha az satış yaptı — kısa vadede. Ama müşteri memnuniyeti, tekrar satın alma ve tavsiye oranı dramatik biçimde daha yüksekti.##
Pink bunu 'geri çekilme hakkı' olarak tanımlıyor. Satıcının "bu belki sizin için doğru değil" diyebilmesi güven yaratıyor. Çünkü müşteri şunu düşünüyor: "Bu kişi benden para almak değil, benim çıkarımı düşünüyor."
Ve o güven sonraki satışın temelini atıyor.
Pink şu soruyu soruyor: En son ne zaman bir müşterinize ya da fikrinizi satmaya çalıştığınız birine "aslında bu sizin için doğru olmayabilir" dediniz?
O cümle zor geliyor. Ama o cümle kuran satıcı, uzun vadede her seferinde kazanıyor.
$$Dürüstlük kısa vadede satışı kaybettirir, uzun vadede güveni kazandırır — güven ise tüm satışların anasıdır.$$
&amp;&amp;Birini bir fikre ya da ürüne ikna etmeye çalışırken gerçekten o kişinin çıkarını mı düşünüyorsunuz, yoksa kendi hedefinizi mi?&amp;&amp;</x:v>
      </x:c>
      <x:c r="K524" s="37" t="str"/>
      <x:c r="L524" s="37" t="str"/>
      <x:c r="M524" s="37" t="str"/>
      <x:c r="N524" s="37" t="str"/>
      <x:c r="O524" s="37" t="str"/>
    </x:row>
    <x:row r="525" ht="20" customHeight="1">
      <x:c r="A525" s="33" t="n">
        <x:v>1582</x:v>
      </x:c>
      <x:c r="B525" s="34" t="str">
        <x:v>1</x:v>
      </x:c>
      <x:c r="C525" s="34" t="str">
        <x:v>Verimlilik</x:v>
      </x:c>
      <x:c r="D525" s="34" t="str">
        <x:v>Yaratıcılık</x:v>
      </x:c>
      <x:c r="E525" s="34" t="str">
        <x:v>Bütün Beyin</x:v>
      </x:c>
      <x:c r="F525" s="34" t="str">
        <x:v>Daniel Pink</x:v>
      </x:c>
      <x:c r="G525" s="34" t="str">
        <x:v>2005</x:v>
      </x:c>
      <x:c r="H525" s="37" t="str">
        <x:v>Sol beyin çağının sonu — sağ beynin yükselişi</x:v>
      </x:c>
      <x:c r="I525" s="37" t="str">
        <x:v>Pink, bilgi çalışanlarının yapabileceği her şeyi artık yazılımın ya da ucuz emeğin yapabildiği bir dünyada hangi becerilerin gerçekten değerli olduğunu ve sol beyin ağırlıklı ekonomiden sağ beyin ağırlıklı ekonomiye neden geçildiğini anlatıyor.</x:v>
      </x:c>
      <x:c r="J525" s="37" t="str">
        <x:v>Daniel Pink bir soru soruyor.
1990'larda hangi meslek en güvenliydi? Avukat, muhasebeci, yazılım mühendisi, doktor.
Hepsinin ortak özellikleri: Mantık, analiz, doğrusal düşünce. Sol beyin becerileri.
Peki bugün?
##Bir avukatın yaptığı sözleşme taramasını yapay zeka çok daha hızlı ve ucuza yapıyor. Temel muhasebe işlemleri otomatikleşti. Kodun büyük bölümü artık üretilebiliyor. Sol beyin becerilerine olan talep değişiyor.##
Pink bunu üç tehdidle açıklıyor: Bolluk, Asya ve Otomasyon.
Bolluk: Temel ihtiyaçlar karşılandığında insanlar anlam, güzellik ve deneyim arıyor.
Asya: Sol beyin becerileri artık dünyanın her yerinde, çok daha ucuza yapılabiliyor.
Otomasyon: Yazılım analiz, hesaplama ve tekrarlı düşünce görevlerini devralıyor.
Bu üç güç birleşince bir şey ortaya çıkıyor: Sağ beyin becerileri — empati, tasarım, anlatı, oyun, anlam — giderek daha değerli hale geliyor.
Pink şunu söylüyor: Geleceğin ekonomisi sol beyin uzmanlığını değersizleştirmiyor. Ama tek başına yeterli olmadığını söylüyor. Ona sağ beyin boyutu eklemek gerekiyor.
$$Analiz her yerde yapılabilir hale geldiğinde, anlam ve empati gerçek rekabet avantajı olur.$$
&amp;&amp;Şu an yaptığın işte ne kadar 'sol beyin' ne kadar 'sağ beyin' kullanıyorsun? Dengeyi değiştirsen ne olurdu?&amp;&amp;</x:v>
      </x:c>
      <x:c r="K525" s="37" t="str"/>
      <x:c r="L525" s="37" t="str"/>
      <x:c r="M525" s="37" t="str"/>
      <x:c r="N525" s="37" t="str"/>
      <x:c r="O525" s="37" t="str"/>
    </x:row>
    <x:row r="526" ht="20" customHeight="1">
      <x:c r="A526" s="33" t="n">
        <x:v>1583</x:v>
      </x:c>
      <x:c r="B526" s="34" t="str">
        <x:v>1</x:v>
      </x:c>
      <x:c r="C526" s="34" t="str">
        <x:v>Verimlilik</x:v>
      </x:c>
      <x:c r="D526" s="34" t="str">
        <x:v>Yaratıcılık</x:v>
      </x:c>
      <x:c r="E526" s="34" t="str">
        <x:v>Bütün Beyin</x:v>
      </x:c>
      <x:c r="F526" s="34" t="str">
        <x:v>Daniel Pink</x:v>
      </x:c>
      <x:c r="G526" s="34" t="str">
        <x:v>2005</x:v>
      </x:c>
      <x:c r="H526" s="37" t="str">
        <x:v>Tasarım — işlevselliğin ötesinde anlam yaratmak</x:v>
      </x:c>
      <x:c r="I526" s="37" t="str">
        <x:v>Pink, tasarımın artık lüks ya da estetik kaygısı olmadığını, ürün ve hizmetlere anlam katan ve onları rakiplerinden ayıran temel ekonomik güç haline geldiğini ve bu geçişin iş dünyasını nasıl yeniden şekillendirdiğini anlatıyor.</x:v>
      </x:c>
      <x:c r="J526" s="37" t="str">
        <x:v>Daniel Pink 1990'larla 2000'lerin başı arasındaki bir farkı işaret ediyor.
1990'larda en iyi ürün kazanıyordu.
2000'lerde en iyi tasarlanan ürün kazanmaya başladı.
Apple bunu herkesten önce gördü. iPod piyasaya çıktığında çok daha fazla özellik sunan rakipler vardı. Ama hiçbiri o kadar güzel değildi, o kadar sezgisel değildi, o kadar anlamlı hissettirmiyordu.
##Pink şunu söylüyor: Tasarım artık ürünün üstüne yapıştırılan süsleme değil — ürünün özüdür. Ve tasarımın gücü estetikten çok anlam yaratmasından geliyor.##
Bir Oxo soyacısını düşünün. Yaşlı ya da artritli insanlar için tasarlandı. Geniş, rahat, kaymaz sap. Ama herkes satın aldı — çünkü daha iyi hissettirdi.
Tasarım empatiyle başlıyor: Bu ürünü kim kullanıyor? O an ne hissediyor? Ne zor geliyor?
Pink bunu iş dünyasının her alanına uyguluyor. Hizmet tasarımı, deneyim tasarımı, süreç tasarımı.
Ve şunu soruyor: Şu an yaptığınız işte tasarım düşüncesi nerede? Müşterinin ya da kullanıcının deneyimini gerçekten hissedip hissetmediğinizi.
$$Tasarım güzel görünmek değil — kullanıcının deneyimini derinden anlamak ve o anlayıştan bir şey inşa etmektir.$$
&amp;&amp;Son kullandığın bir ürün ya da hizmet seni gerçekten iyi hissettirdi mi? O iyilik hissini yaratan ne olabilir?&amp;&amp;</x:v>
      </x:c>
      <x:c r="K526" s="37" t="str"/>
      <x:c r="L526" s="37" t="str"/>
      <x:c r="M526" s="37" t="str"/>
      <x:c r="N526" s="37" t="str"/>
      <x:c r="O526" s="37" t="str"/>
    </x:row>
    <x:row r="527" ht="20" customHeight="1">
      <x:c r="A527" s="33" t="n">
        <x:v>1584</x:v>
      </x:c>
      <x:c r="B527" s="34" t="str">
        <x:v>1</x:v>
      </x:c>
      <x:c r="C527" s="34" t="str">
        <x:v>Verimlilik</x:v>
      </x:c>
      <x:c r="D527" s="34" t="str">
        <x:v>Yaratıcılık</x:v>
      </x:c>
      <x:c r="E527" s="34" t="str">
        <x:v>Bütün Beyin</x:v>
      </x:c>
      <x:c r="F527" s="34" t="str">
        <x:v>Daniel Pink</x:v>
      </x:c>
      <x:c r="G527" s="34" t="str">
        <x:v>2005</x:v>
      </x:c>
      <x:c r="H527" s="37" t="str">
        <x:v>Anlam — para ve statünün ötesindeki arayış</x:v>
      </x:c>
      <x:c r="I527" s="37" t="str">
        <x:v>Pink, bolluk çağında insanların maddi ihtiyaçların ötesinde varoluşsal anlam ve amaç arayışına girdiğini ve bu arayışın iş dünyasından sağlık sektörüne, eğitimden mimariye kadar her alanda yeni talepleri nasıl şekillendirdiğini anlatıyor.</x:v>
      </x:c>
      <x:c r="J527" s="37" t="str">
        <x:v>Viktor Frankl 1946'da bir kitap yazdı.
Nazi kamplarında hayatta kalmanın sırrını araştırmıştı. Fiziksel olarak daha güçlü olanlar mı hayatta kalıyordu?
Hayır.
##Frankl şunu buldu: Hayatta kalanlar, hayatta kalmak için bir nedeni olanlar. Anlam bulanlar. Gelecekte gerçekleştirmek istedikleri bir şeyi olanlar.##
Daniel Pink bunu 21. yüzyıl ekonomisine taşıyor. Bolluk çağında temel ihtiyaçlar karşılandığında insanlar farklı bir soru sormaya başlıyor: Ne için yaşıyorum?
Bu arayış iş dünyasını dönüştürüyor. İnsanlar yalnızca para için değil anlam için çalışmak istiyor. Şirketler sadece ürün değil deneyim ve amaç satıyor.
Hastaneler artık tedavi değil iyileşme deneyimi tasarlıyor. Mimarlar bina değil anlam inşa ediyor. Markalar ürün değil kimlik ve topluluk satıyor.
Pink şöyle diyor: Sol beyin dünyası soruyor: "Bu işe yarıyor mu?" Sağ beyin dünyası soruyor: "Bu önemli mi? Bu anlam taşıyor mu?"
Ve ikinci soru giderek daha belirleyici hale geliyor.
$$Anlam bollukla doğru orantılıdır — temel ihtiyaçlar karşılandığında insan neden sorusunu sormak zorunda kalır.$$
&amp;&amp;Şu an yaptığın işin ya da projenin daha derin bir 'neden'i var mı? O neden yoksa ya da bulanıksa, bu seni nasıl etkiliyor?&amp;&amp;</x:v>
      </x:c>
      <x:c r="K527" s="37" t="str"/>
      <x:c r="L527" s="37" t="str"/>
      <x:c r="M527" s="37" t="str"/>
      <x:c r="N527" s="37" t="str"/>
      <x:c r="O527" s="37" t="str"/>
    </x:row>
    <x:row r="528" ht="20" customHeight="1">
      <x:c r="A528" s="33" t="n">
        <x:v>1585</x:v>
      </x:c>
      <x:c r="B528" s="34" t="str">
        <x:v>1</x:v>
      </x:c>
      <x:c r="C528" s="34" t="str">
        <x:v>Sağlık</x:v>
      </x:c>
      <x:c r="D528" s="34" t="str">
        <x:v>Sağlık</x:v>
      </x:c>
      <x:c r="E528" s="34" t="str">
        <x:v>Sirkadyen Kod</x:v>
      </x:c>
      <x:c r="F528" s="34" t="str">
        <x:v>Satchin Panda</x:v>
      </x:c>
      <x:c r="G528" s="34" t="str">
        <x:v>2019</x:v>
      </x:c>
      <x:c r="H528" s="37" t="str">
        <x:v>İç saat — vücudun 24 saatlik ritmi ve sağlık üzerindeki derin etkisi</x:v>
      </x:c>
      <x:c r="I528" s="37" t="str">
        <x:v>Panda, Nobel ödüllü sirkadyen ritim araştırmalarını ve vücuttaki her organın kendi iç saatinin olduğunu, bu saatin bozulmasının obeziteden diyabete, kansere kadar pek çok hastalıkla nasıl bağlantılı olduğunu anlatıyor.</x:v>
      </x:c>
      <x:c r="J528" s="37" t="str">
        <x:v>2017'de üç bilim insanı Nobel Tıp Ödülü aldı.
Araştırmaları şunu ortaya koydu: Vücuttaki her hücrenin bir iç saati var.
Karaciğer hücresi. Beyin hücresi. Kalp hücresi. Hepsi 24 saatlik ritimle çalışıyor. Sabah belirli genler aktive oluyor, gece diğerleri.
##Satchin Panda bunu şöyle açıklıyor: Vücut bir orkestra gibi. Her organ kendi saat dilimine sahip bir enstrüman. Ve tüm orkestranın aynı anda, uyumlu çalması için orkestra şefine ihtiyacı var. O şef: güneş ışığı ve yeme zamanlaması.##
Peki bu saat bozulursa?
Panda'nın araştırmaları çarpıcı. Gece vardiyasında çalışanlar aynı besini gündüz çalışanlardan çok daha fazla yağ olarak depoluyor. Geç saatlerde yemek yiyen fareler, aynı miktarda yese de obez oluyor. Çünkü metabolizma saati uyumuyor.
Modern hayat bu saati sürekli bozuyor: Gece ışığı, düzensiz uyku, her saatte yemek.
Panda şunu söylüyor: İlaç almadan, diyet değiştirmeden, yalnızca zamanlamayı düzenleyerek sağlığı dramatik biçimde iyileştirmek mümkün.
$$Vücut ne yediğinizden daha fazla ne zaman yediğinizi önemsiyor — zamanlama biyolojinizi yeniden şekillendiriyor.$$
&amp;&amp;Günlük rutininizde yeme, uyuma ve ışığa maruz kalma saatleri ne kadar düzenli? Bu düzensizliğin sağlığınıza etkisini hiç düşündünüz mü?&amp;&amp;</x:v>
      </x:c>
      <x:c r="K528" s="37" t="str"/>
      <x:c r="L528" s="37" t="str"/>
      <x:c r="M528" s="37" t="str"/>
      <x:c r="N528" s="37" t="str"/>
      <x:c r="O528" s="37" t="str"/>
    </x:row>
    <x:row r="529" ht="20" customHeight="1">
      <x:c r="A529" s="33" t="n">
        <x:v>1586</x:v>
      </x:c>
      <x:c r="B529" s="34" t="str">
        <x:v>1</x:v>
      </x:c>
      <x:c r="C529" s="34" t="str">
        <x:v>Sağlık</x:v>
      </x:c>
      <x:c r="D529" s="34" t="str">
        <x:v>Sağlık</x:v>
      </x:c>
      <x:c r="E529" s="34" t="str">
        <x:v>Sirkadyen Kod</x:v>
      </x:c>
      <x:c r="F529" s="34" t="str">
        <x:v>Satchin Panda</x:v>
      </x:c>
      <x:c r="G529" s="34" t="str">
        <x:v>2019</x:v>
      </x:c>
      <x:c r="H529" s="37" t="str">
        <x:v>Zaman kısıtlı beslenme — sadece yeme penceresini daraltmak</x:v>
      </x:c>
      <x:c r="I529" s="37" t="str">
        <x:v>Panda, kendi laboratuvarındaki fare deneylerinden başlayıp insanlarda yürüttüğü klinik çalışmalara uzanan süreçte 'zaman kısıtlı beslenme'nin — kalorisi ya da içeriği değiştirmeden yalnızca yeme penceresini 8-10 saate indirmenin — sağlık üzerindeki etkilerini anlatıyor.</x:v>
      </x:c>
      <x:c r="J529" s="37" t="str">
        <x:v>Satchin Panda laboratuvarında şaşırtıcı bir şey keşfetti.
İki grup fare. Aynı yüksek yağlı besin. Aynı miktar kalori.
Birinci grup 24 saat boyunca istediği zaman yedi.
İkinci grup yalnızca 8 saatlik pencerede yedi.
18 haftanın sonunda:
Birinci grup obezdi, diyabetik belirtiler gösteriyordu, karaciğer yağlanması başlamıştı.
İkinci grup sağlıklıydı.
##Aynı besin. Aynı kalori. Tek fark: ne zaman yedikleri.##
Panda bunu insanlarda da test etti. 12 haftalık bir çalışmada katılımcılar yalnızca yeme saatlerini 10 saatlik pencereye sınırladı — ne yedikleri değişmedi.
Sonuçlar: Kilo kaybı, uyku iyileşmesi, enerji artışı, tansiyon düşüşü. Kalori saymadan.
Panda şunu söylüyor: Modern insanın problemi çoğunlukla ne yediği değil — ne zaman yediği. Sabah 7'den gece 11'e kadar sürekli yemek vücudun onarım ve temizlik süreçlerine hiç zaman bırakmıyor.
8-10 saatlik yeme penceresi bu süreçlere alan açıyor. Vücut geri kalanını kendi hallediyor.
$$Oruç kalori kısıtlamak değil — vücudun kendi onarım programını çalıştırmasına zaman tanımaktır.$$
&amp;&amp;Bugün ilk yemekten son yemeğe kadar geçen süre ne kadar? Bu pencereyi daraltmak ne hissettirirdi?&amp;&amp;</x:v>
      </x:c>
      <x:c r="K529" s="37" t="str"/>
      <x:c r="L529" s="37" t="str"/>
      <x:c r="M529" s="37" t="str"/>
      <x:c r="N529" s="37" t="str"/>
      <x:c r="O529" s="37" t="str"/>
    </x:row>
    <x:row r="530" ht="20" customHeight="1">
      <x:c r="A530" s="33" t="n">
        <x:v>1587</x:v>
      </x:c>
      <x:c r="B530" s="34" t="str">
        <x:v>1</x:v>
      </x:c>
      <x:c r="C530" s="34" t="str">
        <x:v>Sağlık</x:v>
      </x:c>
      <x:c r="D530" s="34" t="str">
        <x:v>Sağlık</x:v>
      </x:c>
      <x:c r="E530" s="34" t="str">
        <x:v>Sirkadyen Kod</x:v>
      </x:c>
      <x:c r="F530" s="34" t="str">
        <x:v>Satchin Panda</x:v>
      </x:c>
      <x:c r="G530" s="34" t="str">
        <x:v>2019</x:v>
      </x:c>
      <x:c r="H530" s="37" t="str">
        <x:v>Işık ve uyku — ekranların biyolojik bedeli</x:v>
      </x:c>
      <x:c r="I530" s="37" t="str">
        <x:v>Panda, mavi ışığın melatonin üretimini nasıl baskıladığını, gece ekran kullanımının uyku kalitesini ve dolayısıyla metabolizmadan bağışıklığa kadar pek çok sistemi nasıl bozduğunu ve basit ışık hijyeni uygulamalarının bu etkileri nasıl tersine çevirdiğini anlatıyor.</x:v>
      </x:c>
      <x:c r="J530" s="37" t="str">
        <x:v>İnsanlık 200.000 yıl boyunca gün batımından sonra ateş ışığı gördü.
Son 150 yılda elektrik lambası geldi. Son 20 yılda telefon ekranı.
Biyoloji henüz bu değişime adapte olmadı.
Satchin Panda şunu açıklıyor: Beyin gözden gelen ışığa bakarak zamanı anlıyor. Mavi dalga boylu ışık — gün ışığı ve ekranlar — "gündüz" sinyali gönderiyor. Melatonin üretimi duruyor.
##Gece 10'da telefona bakıyorsunuz. Beyniniz «saat öğlen» sanıyor. Melatonin salgılanmıyor. Uyumak zorlaşıyor. Ve uyku kalitesi düşüyor.##
Bu yalnızca yorgunluk meselesi değil.
Panda'nın araştırmaları gösteriyor: Kronik uyku bozukluğu insülin direnci, obezite, bağışıklık zayıflığı ve kanser riskiyle doğrudan bağlantılı.
Ve müdahale ş놀라울kadar basit: Yatmadan 1-2 saat önce parlak ekranlardan uzaklaşmak. Gece ışıklarını kısmak. Sabah güneş ışığına maruz kalmak.
Panda bu değişikliklerin iki hafta içinde uyku kalitesini ölçülebilir biçimde iyileştirdiğini gösterdi.
$$Gece ekranı beyne 'güneş doğuyor' der — ve biyolojik saat bu yalanı işlemeye çalışırken uyku ve metabolizma bedelini öder.$$
&amp;&amp;Son hafta yatmadan kaç saat önce ekranı kapadınız? Bunu bir hafta deneseniz neyin değişeceğini merak ediyor musunuz?&amp;&amp;</x:v>
      </x:c>
      <x:c r="K530" s="37" t="str"/>
      <x:c r="L530" s="37" t="str"/>
      <x:c r="M530" s="37" t="str"/>
      <x:c r="N530" s="37" t="str"/>
      <x:c r="O530" s="37" t="str"/>
    </x:row>
    <x:row r="531" ht="20" customHeight="1">
      <x:c r="A531" s="33" t="n">
        <x:v>1588</x:v>
      </x:c>
      <x:c r="B531" s="34" t="str">
        <x:v>1</x:v>
      </x:c>
      <x:c r="C531" s="34" t="str">
        <x:v>Sağlık</x:v>
      </x:c>
      <x:c r="D531" s="34" t="str">
        <x:v>Sağlık</x:v>
      </x:c>
      <x:c r="E531" s="34" t="str">
        <x:v>Uzun Yaşam Bilimi</x:v>
      </x:c>
      <x:c r="F531" s="34" t="str">
        <x:v>David Sinclair</x:v>
      </x:c>
      <x:c r="G531" s="34" t="str">
        <x:v>2019</x:v>
      </x:c>
      <x:c r="H531" s="37" t="str">
        <x:v>Yaşlanma bir hastalıktır — ve tedavi edilebilir</x:v>
      </x:c>
      <x:c r="I531" s="37" t="str">
        <x:v>Sinclair, yaşlanmanın kaçınılmaz biyolojik bir süreç değil, epigenetik bilgi kaybından kaynaklanan ve prensipte geri döndürülebilir bir hastalık olduğunu öne süren devrimci tezini ve bu tezi destekleyen araştırmaları anlatıyor.</x:v>
      </x:c>
      <x:c r="J531" s="37" t="str">
        <x:v>David Sinclair tıp fakültesinde bir soru sordu.
"Yaşlanma neden hastalık değil?"
Hocası şaşırdı. "Çünkü herkeste oluyor."
"Kanserin bazı türleri de herkeste oluyor. Bu onu hastalık olmaktan çıkarmıyor."
O soru Sinclair'in kariyerini şekillendirdi.
##Sinclair şunu savunuyor: Yaşlanma, kaçınılmaz bir biyolojik son değil — epigenetik bilgi kaybından kaynaklanan ve prensipte geri döndürülebilir bir süreç. Ve bu çerçeve tüm tıbbi yaklaşımı değiştiriyor.##
Açıklama şöyle: DNA'nız hayatınız boyunca neredeyse değişmez. Ama hangi genlerin açık ya da kapalı olduğunu belirleyen epigenetik yazılım bozuluyor. Hücreler ne olduklarını «unutuyor».
Sinclair laboratuvarında bunu tersine çevirdi: Yaşlı fareler in gözlerinde epigenetik programı sıfırladığında, görme gücü geri geldi.
Bu devrimci bir buluş. Çünkü biyolojik yaşın tersine döndürülebileceğini gösteriyor.
Sinclair şunu söylüyor: Bir gün yaşlanma kronik hastalıkların anası olarak kabul edilecek ve tedavi edilecek. O güne kadar yaşam tarzıyla bu süreci yavaşlatmak mümkün.
$$Yaşlanmayı kaçınılmaz kabul etmek bir kader değil — bilimsel bir varsayım. Ve bu varsayım değişiyor.$$
&amp;&amp;Yaşlanmanın tedavi edilebilir bir süreç olduğunu kabul etmek, bugün aldığınız kararları nasıl değiştirirdi?&amp;&amp;</x:v>
      </x:c>
      <x:c r="K531" s="37" t="str"/>
      <x:c r="L531" s="37" t="str"/>
      <x:c r="M531" s="37" t="str"/>
      <x:c r="N531" s="37" t="str"/>
      <x:c r="O531" s="37" t="str"/>
    </x:row>
    <x:row r="532" ht="20" customHeight="1">
      <x:c r="A532" s="33" t="n">
        <x:v>1589</x:v>
      </x:c>
      <x:c r="B532" s="34" t="str">
        <x:v>1</x:v>
      </x:c>
      <x:c r="C532" s="34" t="str">
        <x:v>Sağlık</x:v>
      </x:c>
      <x:c r="D532" s="34" t="str">
        <x:v>Sağlık</x:v>
      </x:c>
      <x:c r="E532" s="34" t="str">
        <x:v>Uzun Yaşam Bilimi</x:v>
      </x:c>
      <x:c r="F532" s="34" t="str">
        <x:v>David Sinclair</x:v>
      </x:c>
      <x:c r="G532" s="34" t="str">
        <x:v>2019</x:v>
      </x:c>
      <x:c r="H532" s="37" t="str">
        <x:v>Hayatta kalma genleri — stres biyolojik saati nasıl yavaşlatıyor</x:v>
      </x:c>
      <x:c r="I532" s="37" t="str">
        <x:v>Sinclair, sirtuinler adı verilen ve evrimsel stres yanıtını yöneten genlerin düzenli açlık, soğuk, egzersiz gibi ılımlı stresörler tarafından nasıl aktive edildiğini ve bu aktivasyonun neden yaşam süresini uzattığını anlatıyor.</x:v>
      </x:c>
      <x:c r="J532" s="37" t="str">
        <x:v>David Sinclair şöyle bir soruyu soruyor.
Neden oruç tutan hayvanlar daha uzun yaşıyor? Neden soğuğa maruz kalan fareler daha uzun yaşıyor? Neden egzersiz yapanlar daha uzun yaşıyor?
Ortakları ne?
##Sinclair'e göre cevap şu: Hepsi biyolojik stres yaratıyor. Ve bu stres «hayatta kalma genlerini» — sirtuinleri — aktive ediyor.##
Sirtüinler evrimsel bir mekanizma. Kıtlık döneminde, soğukta, tehlike altında organizma daha verimli çalışıyor — enerji tasarrufu yapıyor, onarım mekanizmalarını hızlandırıyor, savunmaları güçlendiriyor.
Modern hayat bu mekanizmayı devre dışı bıraktı. Sürekli ılık, sürekli tok, sürekli konforlu. Hayatta kalma genleri uyuyor.
Sinclair'in önerisi: Kontrollü, ılımlı stresörler. Aralıklı oruç. Egzersiz. Soğuk duş. Bu küçük «stresler» biyolojik sistemi uyarıyor.
Ve tam tersi de geçerli: Sürekli konfor, sürekli bolluk, hiç hareket etmemek — bu da biyolojik saati hızlandırıyor.
Sinclair şunu söylüyor: Rahat olmak sağlıklı değil. Biyoloji zorlukla gelişiyor.
$$Biyoloji konfor değil zorlukla büyüyor — ılımlı stres uzun ve sağlıklı yaşamın yakıtıdır.$$
&amp;&amp;Hayatında düzenli olarak aldığın 'biyolojik stres' — egzersiz, oruç, soğuk — var mı? Yoksa her şey çok konforlu mu?&amp;&amp;</x:v>
      </x:c>
      <x:c r="K532" s="37" t="str"/>
      <x:c r="L532" s="37" t="str"/>
      <x:c r="M532" s="37" t="str"/>
      <x:c r="N532" s="37" t="str"/>
      <x:c r="O532" s="37" t="str"/>
    </x:row>
    <x:row r="533" ht="20" customHeight="1">
      <x:c r="A533" s="33" t="n">
        <x:v>1590</x:v>
      </x:c>
      <x:c r="B533" s="34" t="str">
        <x:v>1</x:v>
      </x:c>
      <x:c r="C533" s="34" t="str">
        <x:v>Sağlık</x:v>
      </x:c>
      <x:c r="D533" s="34" t="str">
        <x:v>Sağlık</x:v>
      </x:c>
      <x:c r="E533" s="34" t="str">
        <x:v>Uzun Yaşam Bilimi</x:v>
      </x:c>
      <x:c r="F533" s="34" t="str">
        <x:v>David Sinclair</x:v>
      </x:c>
      <x:c r="G533" s="34" t="str">
        <x:v>2019</x:v>
      </x:c>
      <x:c r="H533" s="37" t="str">
        <x:v>mTOR ve AMPK — hücrenin büyüme-onarım dengesi</x:v>
      </x:c>
      <x:c r="I533" s="37" t="str">
        <x:v>Sinclair, hücrelerin büyüme ve onarım modları arasında nasıl geçiş yaptığını kontrol eden iki kritik sinyal yolunu — mTOR ve AMPK — ve bu dengenin yeme alışkanlıklarından ilaçlara kadar nasıl optimize edilebileceğini anlatıyor.</x:v>
      </x:c>
      <x:c r="J533" s="37" t="str">
        <x:v>David Sinclair hücreyi iki modlu bir makine olarak tanımlıyor.
Birinci mod: Büyüme. Hücre besin var, güvenli, büyü ve çoğal.
İkinci mod: Onarım. Besin yok, stres var, dur ve kendini onar.
Bu iki modu kontrol eden iki sinyal sistemi var.
##mTOR büyüme modunu açıyor. Protein yediğinizde, özellikle hayvansal protein, mTOR aktive oluyor. "Büyü, çoğal" komutu veriyor. AMPK ise onarım modunu açıyor. Düşük enerji, oruç, egzersiz — AMPK devreye giriyor. "Dur, onar, temizle" komutu veriyor.##
Modern beslenme sürekli mTOR'u aktif tutuyor. Her öğün, her atıştırmalık, her protein shaker — hücre sürekli «büyü» modunda.
Ama onarım zamanı yok.
Sinclair şunu söylüyor: Otoofaji — hücrenin kendi hasarlı parçalarını yemesi — onarım modunda gerçekleşiyor. Bu süreç kanserli hücreleri, hasarlı proteinleri, fonksiyonsuz organelleri temizliyor.
Oruç ve aralıklı beslenme bu sürecin kapısını açıyor. Metformin ve rapamisin gibi ilaçlar da aynı yolu uyarıyor.
Denge kritik: Sürekli büyüme modu kanser riskini artırıyor. Sürekli onarım modu kas kaybına yol açıyor.
$$Hücre ya büyür ya onarılır — ikisini aynı anda yapamaz. Hayatınız hangi moda daha fazla alan tanıyor?$$
&amp;&amp;Gün içinde vücudunuza onarım zamanı veriyor musunuz — yeme arası, uyku, dinlenme? Bu sürelerin uzunluğunu biliyor musunuz?&amp;&amp;</x:v>
      </x:c>
      <x:c r="K533" s="37" t="str"/>
      <x:c r="L533" s="37" t="str"/>
      <x:c r="M533" s="37" t="str"/>
      <x:c r="N533" s="37" t="str"/>
      <x:c r="O533" s="37" t="str"/>
    </x:row>
    <x:row r="534" ht="20" customHeight="1">
      <x:c r="A534" s="33" t="n">
        <x:v>1591</x:v>
      </x:c>
      <x:c r="B534" s="34" t="str">
        <x:v>1</x:v>
      </x:c>
      <x:c r="C534" s="34" t="str">
        <x:v>Sağlık</x:v>
      </x:c>
      <x:c r="D534" s="34" t="str">
        <x:v>Sağlık</x:v>
      </x:c>
      <x:c r="E534" s="34" t="str">
        <x:v>Uzun Ömür</x:v>
      </x:c>
      <x:c r="F534" s="34" t="str">
        <x:v>Peter Attia</x:v>
      </x:c>
      <x:c r="G534" s="34" t="str">
        <x:v>2023</x:v>
      </x:c>
      <x:c r="H534" s="37" t="str">
        <x:v>Healthspan — uzun yaşamak değil iyi yaşamak</x:v>
      </x:c>
      <x:c r="I534" s="37" t="str">
        <x:v>Attia, tıbbın uzun yaşamaya odaklanırken 'sağlıklı yıllar' — healthspan — kavramını göz ardı ettiğini ve 80'li yaşlardaki fiziksel ve bilişsel kapasiteyi korumanın bugünden başlayan bir mühendislik projesi gerektirdiğini anlatıyor.</x:v>
      </x:c>
      <x:c r="J534" s="37" t="str">
        <x:v>Peter Attia hasta başında duruyor.
85 yaşında bir adam. Hayatta. Ama yatakta. Yalnız. Düşünemeden. Hareket edemeden.
Attia şöyle düşündü: Bunu «başarı» olarak nitelendirmek mümkün mü?
##Attia tıbbın iki ayrı kavramı karıştırdığını söylüyor: Lifespan — kaç yıl yaşandığı. Ve healthspan — o yılların ne kadarının sağlıklı, bağımsız, anlamlı geçtiği.##
Geleneksel tıp hastalığı tedavi etmeye odaklanıyor. Kalp krizi geçirdiniz — tedavi. Diyabet başladı — yönetin. Kanser teşhisi — müdahale edin.
Attia buna «Medicine 2.0» diyor. Reaktif tıp.
O «Medicine 3.0» öneriyor: Proaktif tıp. 80'li yaşlardaki sağlığınızı bugünden tasarlamak.
"80 yaşında ne yapmak istiyorsunuz?" Torunlarla oynamak. Yürüyüş yapmak. Düşünmek. Bağımsız olmak.
O noktaya ulaşmak için 40-50'li yaşlarda kasınız, kardiyovasküler kapasiteniz, bilişsel sağlığınız ve psikolojik durumunuz belirleyici. Ve bunların hepsi bugünden yapılan yatırımlara bağlı.
Attia şunu söylüyor: 80'deki sağlığınız 80'de başlamıyor. 40'ta başlıyor.
$$Uzun yaşamak değil iyi yaşamak hedef olduğunda, bugün alınan kararlar tamamen değişir.$$
&amp;&amp;80 yaşında sahip olmak istediğiniz fiziksel ve bilişsel kapasiteyi hayal edin. Bu hedefe ulaşmak için bugün ne yapıyorsunuz?&amp;&amp;</x:v>
      </x:c>
      <x:c r="K534" s="37" t="str"/>
      <x:c r="L534" s="37" t="str"/>
      <x:c r="M534" s="37" t="str"/>
      <x:c r="N534" s="37" t="str"/>
      <x:c r="O534" s="37" t="str"/>
    </x:row>
    <x:row r="535" ht="20" customHeight="1">
      <x:c r="A535" s="33" t="n">
        <x:v>1592</x:v>
      </x:c>
      <x:c r="B535" s="34" t="str">
        <x:v>1</x:v>
      </x:c>
      <x:c r="C535" s="34" t="str">
        <x:v>Sağlık</x:v>
      </x:c>
      <x:c r="D535" s="34" t="str">
        <x:v>Sağlık</x:v>
      </x:c>
      <x:c r="E535" s="34" t="str">
        <x:v>Uzun Ömür</x:v>
      </x:c>
      <x:c r="F535" s="34" t="str">
        <x:v>Peter Attia</x:v>
      </x:c>
      <x:c r="G535" s="34" t="str">
        <x:v>2023</x:v>
      </x:c>
      <x:c r="H535" s="37" t="str">
        <x:v>Dört süvari — kronik hastalıkların ortak kökeni</x:v>
      </x:c>
      <x:c r="I535" s="37" t="str">
        <x:v>Attia, kalp hastalığı, kanser, diyabet ve Alzheimer'ın — çağımızın dört büyük ölüm nedeninin — yüzeysel farklılıklarının altında nasıl ortak metabolik ve insülin direnci kökenlerine dayandığını ve bu kökü ele almanın tümünü birden nasıl etkilediğini anlatıyor.</x:v>
      </x:c>
      <x:c r="J535" s="37" t="str">
        <x:v>Peter Attia şunu soruyor.
Neden bazı insanlar kalp hastalığından, bazıları Alzheimer'dan, bazıları kansere yakalanıyor? Bunlar birbirinden tamamen farklı hastalıklar mı?
Attia'ya göre: Hayır.
##Bu dört hastalık — kalp, kanser, diyabet, Alzheimer — Attia'nın 'dört süvari' dediği şey. Ve hepsinin altında ortak bir zemin var: kronik inflamasyon ve metabolik disfonksiyon.##
İnsülin direnci başlıyor. Kan şekeri düzensizleşiyor. Kronik inflamasyon oluşuyor. Damar duvarları hasarlanıyor — kalp hastalığı. Beyin hücreleri zarar görüyor — Alzheimer. Hücre büyüme sinyalleri bozuluyor — kanser.
Bunlar ayrı hastalıklar değil. Aynı ağacın farklı dalları.
Ve bu çerçeve her şeyi değiştiriyor. Çünkü metabolik sağlığı iyileştiren her müdahale — beslenme, egzersiz, uyku, stres yönetimi — dört süvarinin de riskini aynı anda azaltıyor.
Attia şunu söylüyor: Her hastalık için ayrı ayrı çare aramak yerine, ortak kökü tedavi etmek çok daha etkili.
Ve o kök büyük ölçüde yaşam tarzı kararlarıyla şekilleniyor.
$$Kronik hastalıklar ayrı düşmanlar değil — aynı kökün farklı yüzleri. Kökü hedef almak hepsine aynı anda müdahale etmektir.$$
&amp;&amp;Metabolik sağlığınızı — kan şekeri, inflamasyon, uyku — ne sıklıkla takip ediyorsunuz? Bu göstergeler size ne anlatıyor?&amp;&amp;</x:v>
      </x:c>
      <x:c r="K535" s="37" t="str"/>
      <x:c r="L535" s="37" t="str"/>
      <x:c r="M535" s="37" t="str"/>
      <x:c r="N535" s="37" t="str"/>
      <x:c r="O535" s="37" t="str"/>
    </x:row>
    <x:row r="536" ht="20" customHeight="1">
      <x:c r="A536" s="33" t="n">
        <x:v>1593</x:v>
      </x:c>
      <x:c r="B536" s="34" t="str">
        <x:v>1</x:v>
      </x:c>
      <x:c r="C536" s="34" t="str">
        <x:v>Sağlık</x:v>
      </x:c>
      <x:c r="D536" s="34" t="str">
        <x:v>Sağlık</x:v>
      </x:c>
      <x:c r="E536" s="34" t="str">
        <x:v>Uzun Ömür</x:v>
      </x:c>
      <x:c r="F536" s="34" t="str">
        <x:v>Peter Attia</x:v>
      </x:c>
      <x:c r="G536" s="34" t="str">
        <x:v>2023</x:v>
      </x:c>
      <x:c r="H536" s="37" t="str">
        <x:v>Egzersiz — tek ilaç gibi çalışan tek değişken</x:v>
      </x:c>
      <x:c r="I536" s="37" t="str">
        <x:v>Attia, araştırmaların tüm ilaç ve müdahaleler arasında ölüm riskini en güçlü biçimde azaltan tek değişkenin kardiyovasküler kondisyon ve kas kütlesi olduğunu ve egzersizin sadece sağlık değil bilişsel fonksiyon ve ruh sağlığı için de neden vazgeçilmez olduğunu anlatıyor.</x:v>
      </x:c>
      <x:c r="J536" s="37" t="str">
        <x:v>Peter Attia şaşırtıcı bir veri sunuyor.
Fiziksel kondisyon düzeyi tüm ölüm nedenlerinden ölüm riskini tahmin etmede sigara, hipertansiyon, diyabet ve obeziteden daha güçlü bir prediktör.
Bir başka deyişle: Fit olmak bu hastalıklara sahip olmaktan daha belirleyici.
##Attia şunu söylüyor: Tüm ilaçlar, tüm takviyeler, tüm müdahaleler arasında kardiyovasküler kondisyon ve kas kütlesi kadar güçlü etki gösteren başka bir değişken yok. Egzersiz literal anlamda bir ilaç gibi çalışıyor.##
Ve Attia spesifik oluyor. Hangi egzersiz:
Zone 2 kardiyo — uzun süreli düşük yoğunluklu aerobik egzersiz — mitokondriyal sağlığı iyileştiriyor.
VO2 max antrenmanı — yüksek yoğunluklu aralıklı egzersiz — kardiyovasküler kapasiteyi artırıyor.
Direnç antrenmanı — kas kütlesi ve kemik yoğunluğunu koruyuyor.
Ve bu üçü birbirinin yerini almıyor — üçü de gerekli.
Attia şunu ekliyor: 80'inde yürümek istiyorsanız, 50'sinde gereksiz yere çok ağır kaldırmamalısınız. Ama 50'inde kas kütlesi biriktirmezseniz, 80'de yürüyecek kasınız olmayabilir.
$$Egzersiz sağlığı destekleyen bir aktivite değil — sağlığın kendisini inşa eden tek değişkendir.$$
&amp;&amp;Haftanın kaç saatini kasıtlı fiziksel aktiviteye ayırıyorsunuz? Bu süre 80'deki hedefinize ulaşmak için yeterli mi?&amp;&amp;</x:v>
      </x:c>
      <x:c r="K536" s="37" t="str"/>
      <x:c r="L536" s="37" t="str"/>
      <x:c r="M536" s="37" t="str"/>
      <x:c r="N536" s="37" t="str"/>
      <x:c r="O536" s="37" t="str"/>
    </x:row>
    <x:row r="537" ht="20" customHeight="1">
      <x:c r="A537" s="33" t="n">
        <x:v>1594</x:v>
      </x:c>
      <x:c r="B537" s="34" t="str">
        <x:v>1</x:v>
      </x:c>
      <x:c r="C537" s="34" t="str">
        <x:v>Sağlık</x:v>
      </x:c>
      <x:c r="D537" s="34" t="str">
        <x:v>Sağlık</x:v>
      </x:c>
      <x:c r="E537" s="34" t="str">
        <x:v>Beyin ve Diyet</x:v>
      </x:c>
      <x:c r="F537" s="34" t="str">
        <x:v>David Perlmutter</x:v>
      </x:c>
      <x:c r="G537" s="34" t="str">
        <x:v>2013</x:v>
      </x:c>
      <x:c r="H537" s="37" t="str">
        <x:v>Gluten ve beyin — beklenmedik bağlantı</x:v>
      </x:c>
      <x:c r="I537" s="37" t="str">
        <x:v>Perlmutter, glutenin yalnızca çölyak hastalarını değil hassasiyeti olan herkesi nasıl etkilediğini ve kronik nörolojik sorunlardan depresyona, baş ağrılarından demansa kadar pek çok rahatsızlığın besinsel inflamasyonla nasıl bağlantılı olduğunu anlatıyor.</x:v>
      </x:c>
      <x:c r="J537" s="37" t="str">
        <x:v>David Perlmutter bir hastasının dosyasına bakıyordu.
54 yaşında kadın. Yıllardır kronik baş ağrısı. Beyin sisi. Depresyon. Onlarca doktor, onlarca ilaç. Hiçbir çözüm.
Perlmutter farklı bir şey denedi: Gluteni kesmesini istedi.
Alti hafta sonra hasta geri döndü. Baş ağrıları büyük ölçüde geçmişti. Beyin sisi kalkmıştı. Enerji geri gelmişti.
##Perlmutter şunu söylüyor: Gluten hassasiyeti sadece sindirim problemi değil — nörolojik bir problem. Ve bu hassasiyet çölyak hastalarından çok daha geniş bir grubu etkiliyor.##
Mekanizma şöyle işliyor: Gluten bağırsak geçirgenliğini artırıyor. Bağırsak bariyeri zayıflayınca bakteri ürünleri ve inflamatuar moleküller kana karışıyor. Bu inflamasyon beyin-bağırsak aksı üzerinden beyne ulaşıyor.
Sonuç: Kronik düşük dereceli beyin inflamasyonu. Ve bu inflamasyon zamanla nörodejeneratif hastalıkların zeminini hazırlıyor.
Perlmutter şunu ekliyor: Gluten hassasiyeti kan testiyle her zaman yakalanmıyor. En güvenilir test elimine-dene yöntemi: 30 gün kes, ne olduğuna bak.
$$Beyin ne yediğinizden bağımsız değil — bağırsak bariyerinden geçen her inflamatuar sinyal beyni de etkiliyor.$$
&amp;&amp;Hiç bir süre gluten kesip ne hissettişinizi gözlemlediniz mi? Beyin sisi, enerji dalgalanmaları, odaklanma güçlüğü — bunların beslenmeyle bağlantısını düşündünüz mü?&amp;&amp;</x:v>
      </x:c>
      <x:c r="K537" s="37" t="str"/>
      <x:c r="L537" s="37" t="str"/>
      <x:c r="M537" s="37" t="str"/>
      <x:c r="N537" s="37" t="str"/>
      <x:c r="O537" s="37" t="str"/>
    </x:row>
    <x:row r="538" ht="20" customHeight="1">
      <x:c r="A538" s="33" t="n">
        <x:v>1595</x:v>
      </x:c>
      <x:c r="B538" s="34" t="str">
        <x:v>1</x:v>
      </x:c>
      <x:c r="C538" s="34" t="str">
        <x:v>Sağlık</x:v>
      </x:c>
      <x:c r="D538" s="34" t="str">
        <x:v>Sağlık</x:v>
      </x:c>
      <x:c r="E538" s="34" t="str">
        <x:v>Beyin ve Diyet</x:v>
      </x:c>
      <x:c r="F538" s="34" t="str">
        <x:v>David Perlmutter</x:v>
      </x:c>
      <x:c r="G538" s="34" t="str">
        <x:v>2013</x:v>
      </x:c>
      <x:c r="H538" s="37" t="str">
        <x:v>Karbonhidrat ve kolesterol — tersine dönen paradigma</x:v>
      </x:c>
      <x:c r="I538" s="37" t="str">
        <x:v>Perlmutter, onlarca yıl süren yüksek yağlı beslenme korkusunun bilimsel temelini sorguluyor ve beynin yağa muhtaç olduğunu, asıl tehdidin yüksek karbonhidrat tüketimi olduğunu gösteren araştırmaları aktarıyor.</x:v>
      </x:c>
      <x:c r="J538" s="37" t="str">
        <x:v>1977. ABD hükümeti diyet rehberi yayınladı.
Mesaj netti: Yağı azaltın. Özellikle doymuş yağı. Kalp hastalığından korunun.
Gıda sektörü hemen uyum sağladı. Düşük yağlı ürünler rafları kapladı. 'Light' kelimesi satışların garantisi oldu.
Sonraki 40 yılda ne oldu?
##Obezite oranı iki katına çıktı. Diyabet salgın boyutuna ulaştı. Alzheimer vakaları patlama yaptı. Yağı azalttık, yerini karbonhidrat aldı. Ve o değişim biyolojik yıkımı beraberinde getirdi.##
David Perlmutter bu süreci tersine çeviriyor.
Beyin yüzde altmış yağdan oluşuyor. Kolesterol beyin hücrelerinin temel yapı taşı. Düşük kolesterol değerleri ile bilişsel gerileme arasında güçlü bir korelasyon var.
Asıl tehdit? Kan şekerini sürekli yükselten rafine karbonhidratlar ve şeker. Bu yükselişler kronik insülin direncine, beyinde glikoz metabolizması bozukluğuna ve Alzheimer'la ilişkili protein birikimine zemin hazırlıyor.
Perlmutter şöyle diyor: Alzheimer'ı «tip 3 diyabet» olarak tanımlayan araştırmacılar var. Bunu ciddiye almak gerekiyor.
$$Yağ beynin yakıtı, karbonhidrat ise beynin en büyük tehditlerinden biri olabilir — paradigma tersine döndü.$$
&amp;&amp;Günlük beslenmenizde yağ mı karbonhidrat mı daha baskın? Bu dengenin beyin sağlığınıza etkisini hiç düşündünüz mü?&amp;&amp;</x:v>
      </x:c>
      <x:c r="K538" s="37" t="str"/>
      <x:c r="L538" s="37" t="str"/>
      <x:c r="M538" s="37" t="str"/>
      <x:c r="N538" s="37" t="str"/>
      <x:c r="O538" s="37" t="str"/>
    </x:row>
    <x:row r="539" ht="20" customHeight="1">
      <x:c r="A539" s="33" t="n">
        <x:v>1596</x:v>
      </x:c>
      <x:c r="B539" s="34" t="str">
        <x:v>1</x:v>
      </x:c>
      <x:c r="C539" s="34" t="str">
        <x:v>Sağlık</x:v>
      </x:c>
      <x:c r="D539" s="34" t="str">
        <x:v>Sağlık</x:v>
      </x:c>
      <x:c r="E539" s="34" t="str">
        <x:v>Beyin ve Diyet</x:v>
      </x:c>
      <x:c r="F539" s="34" t="str">
        <x:v>David Perlmutter</x:v>
      </x:c>
      <x:c r="G539" s="34" t="str">
        <x:v>2013</x:v>
      </x:c>
      <x:c r="H539" s="37" t="str">
        <x:v>BDNF — beyni büyüten molekül ve onu artırmanın yolları</x:v>
      </x:c>
      <x:c r="I539" s="37" t="str">
        <x:v>Perlmutter, beyin kökenli nörotrofik faktörün (BDNF) yeni nöron oluşumu ve sinaptik güçlenmede oynadığı kritik rolü ve egzersiz, ketojenik diyet ve aralıklı orucun bu molekülü nasıl artırdığını anlatıyor.</x:v>
      </x:c>
      <x:c r="J539" s="37" t="str">
        <x:v>David Perlmutter şaşırtıcı bir araştırmayı aktarıyor.
Long uzun yıllar boyunca kabul gören bir inanç vardı: Yetişkin beyni yeni nöron üretemez. Doğuştan kaç nöronla gelirseniz, onlarla yaşarsınız.
2000'li yıllarda bu inanç yıkıldı.
##Hipokampus — öğrenme ve hafıza merkezi — yetişkinlikte de yeni nöronlar üretiyor. Ve bu süreci kontrol eden molekül var: BDNF. Beyin Kökenli Nörotrofik Faktör. Perlmutter buna «beyin için gübre» diyor.##
BDNF ne yapıyor? Yeni nöronların büyümesini destekliyor. Mevcut bağlantıları güçlendiriyor. Alzheimer'la ilişkili amiloid plaklarına karşı koruma sağlıyor.
Ve BDNF'i artırmanın yolları var:
Aerobik egzersiz — en güçlü BDNF uyarıcısı. 20 dakika tempolu yürüyüş bile fark yaratıyor.
Ketojenik diyet ve aralıklı oruç — beyin keton yakıtına geçtiğinde BDNF yükseliyor.
Turmeric (zerdeçal) ve omega-3 — BDNF'i destekleyen besinsel faktörler.
Uyku — derin uyku sırasında beyin temizleniyor, BDNF salgılanıyor.
Perlmutter şöyle diyor: Alzheimer'ın başlamasını beklemek için bir neden yok. Beyin sağlığı bugünden inşa ediliyor.
$$Beyin değişmez değil — doğru koşullarda büyür, güçlenir ve yenilenir. BDNF bu yenilemenin anahtarıdır.$$
&amp;&amp;Bu hafta BDNF'inizi artıracak kaç aktivite yaptınız — egzersiz, kaliteli uyku, anti-inflamatuar beslenme?&amp;&amp;</x:v>
      </x:c>
      <x:c r="K539" s="37" t="str"/>
      <x:c r="L539" s="37" t="str"/>
      <x:c r="M539" s="37" t="str"/>
      <x:c r="N539" s="37" t="str"/>
      <x:c r="O539" s="37" t="str"/>
    </x:row>
    <x:row r="540" ht="20" customHeight="1">
      <x:c r="A540" s="33" t="n">
        <x:v>1597</x:v>
      </x:c>
      <x:c r="B540" s="34" t="str">
        <x:v>1</x:v>
      </x:c>
      <x:c r="C540" s="34" t="str">
        <x:v>Sağlık</x:v>
      </x:c>
      <x:c r="D540" s="34" t="str">
        <x:v>Sağlık</x:v>
      </x:c>
      <x:c r="E540" s="34" t="str">
        <x:v>İyi Bağırsak</x:v>
      </x:c>
      <x:c r="F540" s="34" t="str">
        <x:v>Justin Sonnenburg</x:v>
      </x:c>
      <x:c r="G540" s="34" t="str">
        <x:v>2015</x:v>
      </x:c>
      <x:c r="H540" s="37" t="str">
        <x:v>Mikrobiyom — içimizdeki gizli organ</x:v>
      </x:c>
      <x:c r="I540" s="37" t="str">
        <x:v>Sonnenburg, bağırsakta yaşayan 38 trilyon mikroorganizmanın yalnızca sindirim değil bağışıklık, beyin fonksiyonu ve ruh hali üzerindeki derin etkisini ve bu 'gizli organın' modern yaşam tarafından nasıl tahrip edildiğini anlatıyor.</x:v>
      </x:c>
      <x:c r="J540" s="37" t="str">
        <x:v>Justin Sonnenburg şaşırtıcı bir rakam veriyor.
Vücudunuzda insan hücresi sayısından fazla mikroorganizma var. 38 trilyon bakteri, mantar, virüs — büyük çoğunluğu bağırsakta.
Bu organizmalar kolektif olarak bir organ gibi çalışıyor. Mikrobiyom.
##Mikrobiyom sadece yiyecekleri sindirmiyor. Bağışıklık sisteminin yüzde yetmişini eğitiyor. Beyin kimyasallarının büyük bölümünü üretiyor — serotoninin yüzde doksanı bağırsakta üretiliyor. Ve metabolizmayı düzenliyor.##
Sonnenburg şöyle diyor: Mikrobiyomunuz aynı zamanda sizin — ama sizden ayrı. Ve bu topluluk ne kadar çeşitli olursa sağlık o kadar güçlü.
Modern yaşam bu çeşitliliği öldürüyor.
Antibiyotikler — faydalı ve zararlı bakterileri birlikte yok ediyor.
İşlenmiş gıdalar — mikrobiyomun severek yediği lif yok.
Sezaryen doğum — bebeği annenin vajinal mikrobiyomuna maruz bırakmıyor.
Aşırı hijyen — mikrobiyom çeşitlenmesi için gereken maruziyeti kesiyor.
Sonnenburg şunu soruyor: Kronik hastalıkların artışı — alerji, otoimmün, obezite, depresyon — mikrobiyom çeşitliliğinin azalmasıyla örtüşüyor. Bu tesadüf mü?
$$Bağırsak ikinci beyin değil — birinci beyin kadar kritik bir organ. Ve onu beslemek sağlığın temelidir.$$
&amp;&amp;Son bir haftada mikrobiyomunuzu besleyecek — lifli sebze, fermente gıda, çeşitli bitkisel besin — ne kadar yediniz?&amp;&amp;</x:v>
      </x:c>
      <x:c r="K540" s="37" t="str"/>
      <x:c r="L540" s="37" t="str"/>
      <x:c r="M540" s="37" t="str"/>
      <x:c r="N540" s="37" t="str"/>
      <x:c r="O540" s="37" t="str"/>
    </x:row>
    <x:row r="541" ht="20" customHeight="1">
      <x:c r="A541" s="33" t="n">
        <x:v>1598</x:v>
      </x:c>
      <x:c r="B541" s="34" t="str">
        <x:v>1</x:v>
      </x:c>
      <x:c r="C541" s="34" t="str">
        <x:v>Sağlık</x:v>
      </x:c>
      <x:c r="D541" s="34" t="str">
        <x:v>Sağlık</x:v>
      </x:c>
      <x:c r="E541" s="34" t="str">
        <x:v>İyi Bağırsak</x:v>
      </x:c>
      <x:c r="F541" s="34" t="str">
        <x:v>Justin Sonnenburg</x:v>
      </x:c>
      <x:c r="G541" s="34" t="str">
        <x:v>2015</x:v>
      </x:c>
      <x:c r="H541" s="37" t="str">
        <x:v>Beyin-bağırsak aksı — duygu ve mikrop bağlantısı</x:v>
      </x:c>
      <x:c r="I541" s="37" t="str">
        <x:v>Sonnenburg, bağırsak bakterilerinin vagus siniri üzerinden beyinle sürekli iletişim halinde olduğunu, mikrobiyom bileşiminin kaygı, depresyon ve stres tepkilerini doğrudan etkilediğini gösteren çarpıcı hayvan deneylerini aktarıyor.</x:v>
      </x:c>
      <x:c r="J541" s="37" t="str">
        <x:v>Justin Sonnenburg bir deneyi aktarıyor.
Mikropsuz — steril ortamda büyütülmüş, hiç bakteri taşımayan — fareler. Normal farelere kıyasla dramatik biçimde daha kaygılıydılar. Yeni ortamlara girdiğinde dondular. Sosyal etkileşimden kaçındılar.
Sonra araştırmacılar bu farelere normal fare mikrobiyomu nakletti.
##Kaygı seviyeleri düştü. Sosyal davranışlar normale döndü. Bağırsak bakterileri, beyin kimyasını değiştirmişti.##
Sonnenburg buna beyin-bağırsak aksı diyor. Vagus siniri bağırsak ile beyin arasında çift yönlü bir otoyol gibi çalışıyor. Ve bu otoyolda trafiğin büyük çoğunluğu bağırsaktan beyne doğru.
Pratik sonuçları var:
Depresyon ve kaygı tedavisinde mikrobiyom değişikliklerinin etkisi araştırılıyor. Probiyotikler bazı çalışmalarda ruh halini iyileştiriyor. Fermente gıdalar — yoğurt, kefir, lahana turşusu — mikrobiyom çeşitliliğini artırıyor ve bazı araştırmalarda anksiyete semptomlarını azaltıyor.
Sonnenburg şöyle diyor: «Sinirlerime hakim olamıyorum» derken belki bağırsaklarınıza da hakim olmanız gerekiyor.
$$Ruh haliniz yalnızca zihinsel değil — bağırsak floranızın da bir yansımasıdır.$$
&amp;&amp;Stresli ya da kaygılı dönemlerde beslenmeniz nasıl değişiyor? Bu değişikliğin döngüsünü — kötü beslenme → daha fazla kaygı — fark ettiniz mi hiç?&amp;&amp;</x:v>
      </x:c>
      <x:c r="K541" s="37" t="str"/>
      <x:c r="L541" s="37" t="str"/>
      <x:c r="M541" s="37" t="str"/>
      <x:c r="N541" s="37" t="str"/>
      <x:c r="O541" s="37" t="str"/>
    </x:row>
    <x:row r="542" ht="20" customHeight="1">
      <x:c r="A542" s="33" t="n">
        <x:v>1599</x:v>
      </x:c>
      <x:c r="B542" s="34" t="str">
        <x:v>1</x:v>
      </x:c>
      <x:c r="C542" s="34" t="str">
        <x:v>Sağlık</x:v>
      </x:c>
      <x:c r="D542" s="34" t="str">
        <x:v>Sağlık</x:v>
      </x:c>
      <x:c r="E542" s="34" t="str">
        <x:v>İyi Bağırsak</x:v>
      </x:c>
      <x:c r="F542" s="34" t="str">
        <x:v>Justin Sonnenburg</x:v>
      </x:c>
      <x:c r="G542" s="34" t="str">
        <x:v>2015</x:v>
      </x:c>
      <x:c r="H542" s="37" t="str">
        <x:v>Lif — mikrobiyomun birincil yakıtı ve modern diyetin en büyük eksikliği</x:v>
      </x:c>
      <x:c r="I542" s="37" t="str">
        <x:v>Sonnenburg, bağırsak bakterilerinin fermente ettirdiği lif türlerini ve bu fermantasyonun ürettiği kısa zincirli yağ asitlerinin bağırsak bariyerinden bağışıklığa kadar pek çok sistemi nasıl beslediğini ve modern diyetin neden bu açıdan dramatik biçimde yetersiz olduğunu anlatıyor.</x:v>
      </x:c>
      <x:c r="J542" s="37" t="str">
        <x:v>Justin Sonnenburg Hadza avcı-toplayıcı topluluğunu araştırdı.
Tanzanya'da yaşıyorlar. İşlenmiş gıda yok. Antibiyotik nadiren. Günde ortalama 150 gram lif tüketiyorlar.
Modern Amerikalının ortalama lif tüketimi: 15 gram.
##Hadza'nın mikrobiyom çeşitliliği modern insanın iki katından fazla. Ve Hadza'da obezite, diyabet, otoimmün hastalık, depresyon oranları son derece düşük.##
Sonnenburg mekanizmayı açıklıyor: Bağırsak bakterileri lifi fermente ediyor. Bu fermantasyon kısa zincirli yağ asitleri — bütirat, propiyonat, asetat — üretiyor.
Bütirat ne yapıyor? Bağırsak hücrelerinin birincil yakıtı. Bağırsak bariyerini güçlendiriyor. Anti-inflamatuar etki yapıyor. Kolon kanserine karşı koruma sağlıyor.
Ama bu yağ asitlerini üretecek bakteriler için lif şart. Lif olmadan bakteriler aç kalıyor. Azalıyor. Çeşitlilik düşüyor.
Sonnenburg'un mesajı basit: Mikrobiyomunuzu beslemek istiyorsanız, sebze, meyve, baklagil ve tam tahıl çeşitliliğini artırın. Her renk, her lif türü farklı bakterileri besliyor.
$$Lif yalnızca sindirim için değil — mikrobiyomun yakıtı ve bağışıklığın temeli olduğu için hayati önem taşır.$$
&amp;&amp;Bu hafta kaç farklı bitki bazlı besin yediniz? Çeşitlilik miktardan daha önemli — 30 farklı bitki hedefleyebilir misiniz?&amp;&amp;</x:v>
      </x:c>
      <x:c r="K542" s="37" t="str"/>
      <x:c r="L542" s="37" t="str"/>
      <x:c r="M542" s="37" t="str"/>
      <x:c r="N542" s="37" t="str"/>
      <x:c r="O542" s="37" t="str"/>
    </x:row>
    <x:row r="543" ht="20" customHeight="1">
      <x:c r="A543" s="33" t="n">
        <x:v>1600</x:v>
      </x:c>
      <x:c r="B543" s="34" t="str">
        <x:v>1</x:v>
      </x:c>
      <x:c r="C543" s="34" t="str">
        <x:v>Sağlık</x:v>
      </x:c>
      <x:c r="D543" s="34" t="str">
        <x:v>Sağlık</x:v>
      </x:c>
      <x:c r="E543" s="34" t="str">
        <x:v>Nefes</x:v>
      </x:c>
      <x:c r="F543" s="34" t="str">
        <x:v>James Nestor</x:v>
      </x:c>
      <x:c r="G543" s="34" t="str">
        <x:v>2020</x:v>
      </x:c>
      <x:c r="H543" s="37" t="str">
        <x:v>Yanlış nefes almak — sessiz salgın</x:v>
      </x:c>
      <x:c r="I543" s="37" t="str">
        <x:v>Nestor, modern insanın yüzde yetmişinin yanlış nefes aldığını — ağızdan, sığ, hızlı — ve bu yanlış nefes örüntüsünün uyku apnesinden anksiyeteye, hipertansiyondan postür bozukluklarına kadar pek çok sorunu nasıl beslediğini anlatıyor.</x:v>
      </x:c>
      <x:c r="J543" s="37" t="str">
        <x:v>James Nestor bir deneye gönüllü oldu.
On gün boyunca burnu tıkandı. Yalnızca ağzından nefes alacaktı.
Beşinci gün kan basıncı tehlikeli seviyelere çıktı. Uyku apnesi başladı. Horlamaya başladı — daha önce hiç horlamamıştı. Konsantrasyon bozuldu. Kaygı tırmandı.
##On gün sonra tıkaçlar çıkarıldı, burundan nefes almaya döndü. On gün içinde tüm semptomlar geriledi.##
Nestor şunu söylüyor: Modern insan yüzde sekseni ağızdan nefes alıyor. Ve bu evrimsel bir sapma — insan anatomisi burundan nefes için tasarlanmış.
Burun ne yapıyor? Havayı ısıtıyor, nemlendiiriyor, filtreden geçiriyor. Nitrik oksit üretiyor — damarları genişletiyor, bağışıklığı güçlendiriyor, uyku kalitesini artırıyor. Ve solunumu yavaşlatıyor — ki bu kritik.
Ağız nefesi ise bunların hiçbirini yapmıyor. Üstelik çeneyi geriye itiyor, hava yolunu daraltıyor, gece oksijen düşüşüne zemin hazırlıyor.
Nestor şöyle diyor: Binlerce yıldır kullandığımız ve tamamen ücretsiz olan bir sağlık aracını çoğumuz yanlış kullanıyoruz.
$$Nefes almayı öğrenmedik — ama yanlış öğrendik. Doğru nefes en temel sağlık müdahalesidir.$$
&amp;&amp;Şu an nasıl nefes alıyorsunuz — burundan mı ağızdan mı? Elinizi karnınıza koyun: nefes alırken karın mı genişliyor, göğüs mü?&amp;&amp;</x:v>
      </x:c>
      <x:c r="K543" s="37" t="str"/>
      <x:c r="L543" s="37" t="str"/>
      <x:c r="M543" s="37" t="str"/>
      <x:c r="N543" s="37" t="str"/>
      <x:c r="O543" s="37" t="str"/>
    </x:row>
    <x:row r="544" ht="20" customHeight="1">
      <x:c r="A544" s="33" t="n">
        <x:v>1601</x:v>
      </x:c>
      <x:c r="B544" s="34" t="str">
        <x:v>1</x:v>
      </x:c>
      <x:c r="C544" s="34" t="str">
        <x:v>Sağlık</x:v>
      </x:c>
      <x:c r="D544" s="34" t="str">
        <x:v>Sağlık</x:v>
      </x:c>
      <x:c r="E544" s="34" t="str">
        <x:v>Nefes</x:v>
      </x:c>
      <x:c r="F544" s="34" t="str">
        <x:v>James Nestor</x:v>
      </x:c>
      <x:c r="G544" s="34" t="str">
        <x:v>2020</x:v>
      </x:c>
      <x:c r="H544" s="37" t="str">
        <x:v>Dakikada beş nefes — kalp ritmi ve sinir sistemi uyumu</x:v>
      </x:c>
      <x:c r="I544" s="37" t="str">
        <x:v>Nestor, dakikada beş ila altı nefes hızının — her nefes yaklaşık beş buçuk saniye içeri, beş buçuk saniye dışarı — kalp ritmi değişkenliğini maksimize ettiğini ve sempatik ile parasempatik sinir sistemi arasında olağanüstü bir denge yarattığını anlatıyor.</x:v>
      </x:c>
      <x:c r="J544" s="37" t="str">
        <x:v>James Nestor onlarca nefes tekniğini araştırdı.
Yoga pranayama. Budist meditasyon. Şamanik ritüeller. Modern tıp protokolleri.
Ve şaşırtıcı bir örtüşme buldu.
##Kültür ve gelenek farklı olsa da, en güçlü etkiyi yaratan nefes hızı hep aynı: Dakikada beş ila altı nefes. Her nefes yaklaşık beş buçuk saniye içeri, beş buçuk saniye dışarı.##
Bu tempo neden bu kadar güçlü?
Kalp ritmi değişkenliği — kalp atışları arasındaki sürenin doğal dalgalanması — sağlığın en önemli göstergelerinden biri. Yüksek değişkenlik, sinir sisteminin esnekliğini gösteriyor.
Dakikada beş nefes bu değişkenliği maksimize ediyor. Sempatik ve parasempatik sistem mükemmel bir titreşime giriyor. Kan basıncı düşüyor. Kaygı azalıyor. Odak keskinleşiyor. Performans artıyor.
Nestor bunu pek çok dinde dua pratiklerine de bağlıyor. Katolik Ave Maria duası, Budist Om Mani Padme Hum kılavuzu, yogik pranayama — hepsi yaklaşık bu hıza denk düşüyor. Atalarımız sezgiyle bulmuş neyin işe yaradığını.
$$Nefes hızı sinir sisteminin uzaktan kumandasıdır — dakikada beş nefes dengeyi tek başına yeniden kurar.$$
&amp;&amp;Kaygılı ya da stresli hissettiğinizde nefesiniz nasıl değişiyor? Bilinçli olarak yavaşlatmayı denediniz mi?&amp;&amp;</x:v>
      </x:c>
      <x:c r="K544" s="37" t="str"/>
      <x:c r="L544" s="37" t="str"/>
      <x:c r="M544" s="37" t="str"/>
      <x:c r="N544" s="37" t="str"/>
      <x:c r="O544" s="37" t="str"/>
    </x:row>
    <x:row r="545" ht="20" customHeight="1">
      <x:c r="A545" s="33" t="n">
        <x:v>1602</x:v>
      </x:c>
      <x:c r="B545" s="34" t="str">
        <x:v>1</x:v>
      </x:c>
      <x:c r="C545" s="34" t="str">
        <x:v>Sağlık</x:v>
      </x:c>
      <x:c r="D545" s="34" t="str">
        <x:v>Sağlık</x:v>
      </x:c>
      <x:c r="E545" s="34" t="str">
        <x:v>Nefes</x:v>
      </x:c>
      <x:c r="F545" s="34" t="str">
        <x:v>James Nestor</x:v>
      </x:c>
      <x:c r="G545" s="34" t="str">
        <x:v>2020</x:v>
      </x:c>
      <x:c r="H545" s="37" t="str">
        <x:v>CO2 toleransı — oksijen değil karbondioksit kontrolü</x:v>
      </x:c>
      <x:c r="I545" s="37" t="str">
        <x:v>Nestor, nefes almanın asıl amacının oksijen almak değil CO2'yi yönetmek olduğunu, hiperventilasyonun neden zararlı olduğunu ve CO2 toleransını artırmanın atletik performanstan kaygı tedavisine kadar nasıl geniş bir etki yarattığını anlatıyor.</x:v>
      </x:c>
      <x:c r="J545" s="37" t="str">
        <x:v>James Nestor hayatı boyunca yanlış bir şey öğrenmişti.
Biraz daha derin nefes al, biraz daha hızlı — daha fazla oksijen alırsın, daha iyi hissedersin.
Gerçek tam tersi.
##Nestor şunu açıklıyor: Hücreler oksijeni karbondioksit sayesinde alıyor. CO2 düştüğünde — hiperventilasyonda — kan damarları daralıyor, oksijen hemoglobinden ayrılmıyor. Daha fazla nefes, daha az oksijen. Paradoks.##
Bu Bohr Etkisi. 1904'te keşfedildi. Ama çoğumuz hâlâ bilmiyor.
Hiperventilasyon panik atakların hem tetikleyicisi hem de besleyicisi. Kaygılandığınızda nefes hızlanıyor, CO2 düşüyor, beyin oksijenden yoksun kalıyor, daha fazla panik. Kısır döngü.
CO2 toleransını artırmak bu döngüyü kırabiliyor. Ölçüm basit: Burnunuzdan nefes alın, tamamen verin, sonra ne kadar süre tutabildiğinizi ölçün. 40 saniyenin altı düşük toleransın göstergesi.
Nestor şöyle diyor: Olimpik sporcular, meditasyon ustaları ve nefes terapistleri hepsinin ortak hedefi CO2 toleransını artırmak — daha az, daha yavaş, daha verimli nefes.
$$Az ve yavaş nefes almak zayıflık değil — vücudun en verimli haline ulaşmasıdır.$$
&amp;&amp;Şu an nefesinizi tutabilir misiniz — kaç saniye? Bu sayı size sinir sisteminizin ne kadar dingin ya da gergin olduğunu söylüyor.&amp;&amp;</x:v>
      </x:c>
      <x:c r="K545" s="37" t="str"/>
      <x:c r="L545" s="37" t="str"/>
      <x:c r="M545" s="37" t="str"/>
      <x:c r="N545" s="37" t="str"/>
      <x:c r="O545" s="37" t="str"/>
    </x:row>
    <x:row r="546" ht="20" customHeight="1">
      <x:c r="A546" s="33" t="n">
        <x:v>1603</x:v>
      </x:c>
      <x:c r="B546" s="34" t="str">
        <x:v>1</x:v>
      </x:c>
      <x:c r="C546" s="34" t="str">
        <x:v>Sağlık</x:v>
      </x:c>
      <x:c r="D546" s="34" t="str">
        <x:v>Sağlık</x:v>
      </x:c>
      <x:c r="E546" s="34" t="str">
        <x:v>Soğuk Yöntem</x:v>
      </x:c>
      <x:c r="F546" s="34" t="str">
        <x:v>Wim Hof</x:v>
      </x:c>
      <x:c r="G546" s="34" t="str">
        <x:v>2020</x:v>
      </x:c>
      <x:c r="H546" s="37" t="str">
        <x:v>Wim Hof'un dağı — imkansız olduğu söylenenin kanıtı</x:v>
      </x:c>
      <x:c r="I546" s="37" t="str">
        <x:v>Hof, yalnızca şort ve botlarla Everest'e çıkıp Mont Blanc'a tırmanan, buz banyosunda saatlerce kalan ve tıbbın imkansız dediği şeyleri tekrar tekrar yapan bu kişinin sırrını ve bunu herkesin öğrenebileceğini anlatıyor.</x:v>
      </x:c>
      <x:c r="J546" s="37" t="str">
        <x:v>Wim Hof Kuzey Kutbu'nda koştu.
Yalnızca şort. Sıcaklık eksi 20. Maraton mesafesi.
Tıp dünyası şaşkına döndü. "Bu mümkün değil. Hipotermi kaçınılmaz."
Hof bitirdi.
##Sonra başka bir şey oldu. Bilim insanları Hof'u laboratuvara davet etti. Endotoksin — normalde yüksek ateş ve grip benzeri semptomlara yol açan bir bakteri toksini — enjekte ettiler. Hof, nefes tekniği ve soğuk maruziyetiyle bağışıklık tepkisini gönüllü olarak kontrol altına aldı. Semptomlar minimal kaldı.##
Bu devrimdi. Otonom sinir sistemi — bağışıklık, kalp atışı, solunum — bilinçli kontrole kapalı kabul edilirdi. Hof sınırı kırdı.
Ama Hof şunu söylüyor: Ben özel değilim. Bu herkesin doğuştan sahip olduğu bir kapasite. Modern konforlu yaşam onu uyutmuş.
Atalarımız soğukta, açıkta, doğayla temas halinde yaşadı. O stresler adaptasyon mekanizmalarını aktif tutuyordu. Biz ısıtmalı evlerde, yumuşak yataklarda, sabit sıcaklıkta yaşıyoruz. Vücut uyuyor.
Wim Hof Yöntemi bu uyuyan kapasiteyi uyandırmak için: Nefes. Soğuk. Meditasyon.
$$İnsan vücudu modern konforun sandığından çok daha güçlü — onu uyandırmak yeterli.$$
&amp;&amp;Vücudunuzu son ne zaman gerçek anlamda zorladınız — soğuk, ısı, fiziksel yük? Bu zorlama size ne hissettirdi?&amp;&amp;</x:v>
      </x:c>
      <x:c r="K546" s="37" t="str"/>
      <x:c r="L546" s="37" t="str"/>
      <x:c r="M546" s="37" t="str"/>
      <x:c r="N546" s="37" t="str"/>
      <x:c r="O546" s="37" t="str"/>
    </x:row>
    <x:row r="547" ht="20" customHeight="1">
      <x:c r="A547" s="33" t="n">
        <x:v>1604</x:v>
      </x:c>
      <x:c r="B547" s="34" t="str">
        <x:v>1</x:v>
      </x:c>
      <x:c r="C547" s="34" t="str">
        <x:v>Sağlık</x:v>
      </x:c>
      <x:c r="D547" s="34" t="str">
        <x:v>Sağlık</x:v>
      </x:c>
      <x:c r="E547" s="34" t="str">
        <x:v>Soğuk Yöntem</x:v>
      </x:c>
      <x:c r="F547" s="34" t="str">
        <x:v>Wim Hof</x:v>
      </x:c>
      <x:c r="G547" s="34" t="str">
        <x:v>2020</x:v>
      </x:c>
      <x:c r="H547" s="37" t="str">
        <x:v>Soğuk duş ve buz banyosu — stresin ters çevrilmesi</x:v>
      </x:c>
      <x:c r="I547" s="37" t="str">
        <x:v>Hof, soğuğa kontrollü maruziyetin kahverengi yağ dokusunu aktive ettiğini, norepinefrin ve dopamini artırdığını, inflamasyonu düşürdüğünü ve en önemlisi zihinsel dayanıklılık ile soğukkanlılık için en hızlı antrenman aracı olduğunu anlatıyor.</x:v>
      </x:c>
      <x:c r="J547" s="37" t="str">
        <x:v>Wim Hof şöyle bir gözlem yapıyor.
Soğuk duşa ilk girdiğinizde ne olur?
Beden donuyor. Nefes kesiliyor. Panik başlıyor. Her sinyal «kaç» diyor.
##Ve işte tam orada en önemli şey oluyor. O anda paniğe kapılmayı ya da nefes alarak sakin kalmayı seçmek — bu seçim, zihinsel dayanıklılığın gerçek antrenmanı.##
Hof şunu söylüyor: Soğuk dürüst. Tepkini gösterir. Ve tepkini gözlemleyip değiştirmeyi öğrenince, hayatın geri kalanındaki tepkilerini de değiştirmeye başlarsın.
Fizyolojik etkileri de güçlü:
Norepinefrin 300 ila 500 yüzde artıyor — odak, dikkat, enerji.
Dopamin yükseliyor — motivasyon ve iyi hissetme.
Kahverengi yağ dokusu aktive oluyor — metabolizmayı ateşliyor.
İnflamasyon belirteçleri düşüyor — bağışıklık güçleniyor.
Ve Hof şunu ekliyor: Başlamak için Kuzey Kutbu gerekmez. Her sabah son 30 saniyeyi soğuk bitirmek yeterli. Oradan artırabilirsiniz.
$$Soğuk rahatsızlığa dayanmayı öğretir — ve bu dayanma kapasitesi hayatın her zorluğuna transfer olur.$$
&amp;&amp;Sabah duşunuzun son 30 saniyesini bu hafta soğuk bitirmeyi denediniz mi? İlk tepkiniz ne oldu?&amp;&amp;</x:v>
      </x:c>
      <x:c r="K547" s="37" t="str"/>
      <x:c r="L547" s="37" t="str"/>
      <x:c r="M547" s="37" t="str"/>
      <x:c r="N547" s="37" t="str"/>
      <x:c r="O547" s="37" t="str"/>
    </x:row>
    <x:row r="548" ht="20" customHeight="1">
      <x:c r="A548" s="33" t="n">
        <x:v>1605</x:v>
      </x:c>
      <x:c r="B548" s="34" t="str">
        <x:v>1</x:v>
      </x:c>
      <x:c r="C548" s="34" t="str">
        <x:v>Sağlık</x:v>
      </x:c>
      <x:c r="D548" s="34" t="str">
        <x:v>Sağlık</x:v>
      </x:c>
      <x:c r="E548" s="34" t="str">
        <x:v>Soğuk Yöntem</x:v>
      </x:c>
      <x:c r="F548" s="34" t="str">
        <x:v>Wim Hof</x:v>
      </x:c>
      <x:c r="G548" s="34" t="str">
        <x:v>2020</x:v>
      </x:c>
      <x:c r="H548" s="37" t="str">
        <x:v>Wim Hof nefes tekniği — kontrollü hiperventilasyon ve tutma</x:v>
      </x:c>
      <x:c r="I548" s="37" t="str">
        <x:v>Hof, kendi geliştirdiği nefes tekniğinin — hızlı derin nefesler ardından tutma — kan kimyasını, beyin aktivitesini ve bağışıklık sistemini nasıl etkilediğini ve bilim insanlarının bu tekniği laboratuvarda nasıl doğruladığını anlatıyor.</x:v>
      </x:c>
      <x:c r="J548" s="37" t="str">
        <x:v>Wim Hof'un nefes tekniğini ilk duyanlar güldü.
"Sadece hızlı nefes al, tut, tekrar et. Bu kadar mı?"
Sonra denedenler geri döndü. Baş dönmesi. Karıncalanma. Öfori. Bazıları ağladı. Bazıları güldü. Herkes bir şey hissetti.
##Teknik şu: 30 ila 40 kez derin ve hızlı nefes alınıyor. Sonra tamamen verilip tutulur — oksijen düşünce değil CO2 düşünce istek oluşuyor. Ortalama 1-3 dakika tutulabiliyor, bazıları daha fazla. Sonra derin nefes alınıp 15 saniye tutulur. Bu döngü 3-4 kez tekrarlanır.##
Peki ne oluyor fizyolojik olarak?
Hızlı nefes CO2'yi düşürüyor — kan alkali oluyor. Beyne daha fazla kan gidiyor. Adrenalin salgılanıyor. Bağışıklık hücreleri aktive oluyor.
Radboud Üniversitesi araştırması gösterdi: Hof yöntemini öğrenen kişiler endotoksine maruz kaldığında normal gruptan çok daha az semptom yaşadı. Bağışıklık sistemi bilinçli kontrole açıldı.
Hof şöyle diyor: Bu tekniği öğrenmek için dağa çıkmanıza gerek yok. Yere uzanın, 15 dakika verin, biyolojiniz değişecek.
$$Nefes vücudun en hızlı bilinçli kontrolüdür — doğru teknikle dakikalar içinde biyolojinizi yeniden programlayabilirsiniz.$$
&amp;&amp;Wim Hof nefes tekniğini hiç denediniz mi? Denemediyseniz, bugün 10 dakika ayırıp ilk döngüyü yapmayı düşünür müsünüz?&amp;&amp;</x:v>
      </x:c>
      <x:c r="K548" s="37" t="str"/>
      <x:c r="L548" s="37" t="str"/>
      <x:c r="M548" s="37" t="str"/>
      <x:c r="N548" s="37" t="str"/>
      <x:c r="O548" s="37" t="str"/>
    </x:row>
    <x:row r="549" ht="20" customHeight="1">
      <x:c r="A549" s="33" t="n">
        <x:v>1606</x:v>
      </x:c>
      <x:c r="B549" s="34" t="str">
        <x:v>1</x:v>
      </x:c>
      <x:c r="C549" s="34" t="str">
        <x:v>Finans</x:v>
      </x:c>
      <x:c r="D549" s="34" t="str">
        <x:v>Finans</x:v>
      </x:c>
      <x:c r="E549" s="34" t="str">
        <x:v>Zengin Olmayı Öğrenmek</x:v>
      </x:c>
      <x:c r="F549" s="34" t="str">
        <x:v>Ramit Sethi</x:v>
      </x:c>
      <x:c r="G549" s="34" t="str">
        <x:v>2009</x:v>
      </x:c>
      <x:c r="H549" s="37" t="str">
        <x:v>Otomatik sistem — para kararlarını irade dışına taşımak</x:v>
      </x:c>
      <x:c r="I549" s="37" t="str">
        <x:v>Sethi, insanların finansal başarısızlığının asıl nedeninin bilgi eksikliği değil otomasyon eksikliği olduğunu ve her finansal hareketi otomatik hale getirmenin neden en güçlü servet inşa aracı olduğunu anlatıyor.</x:v>
      </x:c>
      <x:c r="J549" s="37" t="str">
        <x:v>Ramit Sethi yüzlerce insanla görüştü.
Hepsi akıllıydı. Hepsi tasarruf etmenin önemini biliyordu. Çoğu bütçe planı yapmıştı.
Hiçbiri uygulamıyordu.
Sethi soruyor: Neden?
##Çünkü para kararları irade gücüne bırakılmıştı. Ve irade güvenilmez bir kaynak. Yorgun olunca çalışmıyor. Stresli olunca çalışmıyor. Başka şeyler aklı meşgul edince çalışmıyor.##
Sethi'nin çözümü: Sistemi kur, sonra unutun.
Maaş geldiğinde otomatik olarak:
— Yatırım hesabına yüzde on gidiyor.
— Acil durum fonuna miktar gidiyor.
— Faturaları ödenecek hesaba miktar gidiyor.
— Geri kalan harcama hesabına kalıyor.
Artık her ay «bu ay tasarruf edecek miyim» kararı almak zorunda değilsiniz. Karar bir kez alındı, sistem her ay uygulıyor.
Sethi şöyle diyor: Finansal özgürlük iradenizden değil sisteminizden geliyor. Doğru sistem kurulduğunda, en az disiplinli insan bile zenginleşiyor. Çünkü sistem çalışıyor, onlar uyurken bile.
$$Para yönetiminde irade değil sistem kazanır — otomatik sistem en büyük finansal disiplindir.$$
&amp;&amp;Şu an finansal kararlarınızın kaçı otomatik? Maaş geldiğinde yatırım ve tasarruf otomatik olarak mı ayrılıyor?&amp;&amp;</x:v>
      </x:c>
      <x:c r="K549" s="37" t="str"/>
      <x:c r="L549" s="37" t="str"/>
      <x:c r="M549" s="37" t="str"/>
      <x:c r="N549" s="37" t="str"/>
      <x:c r="O549" s="37" t="str"/>
    </x:row>
    <x:row r="550" ht="20" customHeight="1">
      <x:c r="A550" s="33" t="n">
        <x:v>1607</x:v>
      </x:c>
      <x:c r="B550" s="34" t="str">
        <x:v>1</x:v>
      </x:c>
      <x:c r="C550" s="34" t="str">
        <x:v>Finans</x:v>
      </x:c>
      <x:c r="D550" s="34" t="str">
        <x:v>Finans</x:v>
      </x:c>
      <x:c r="E550" s="34" t="str">
        <x:v>Zengin Olmayı Öğrenmek</x:v>
      </x:c>
      <x:c r="F550" s="34" t="str">
        <x:v>Ramit Sethi</x:v>
      </x:c>
      <x:c r="G550" s="34" t="str">
        <x:v>2009</x:v>
      </x:c>
      <x:c r="H550" s="37" t="str">
        <x:v>Büyük kazançlara odaklanmak — latte faktörünün yanlışı</x:v>
      </x:c>
      <x:c r="I550" s="37" t="str">
        <x:v>Sethi, popüler 'küçük harcamaları kes' tavsiyesinin neden yanıltıcı olduğunu ve bunun yerine büyük kazançlara — kira, araba, maaş müzakeresi — odaklanmanın geometrik fark yarattığını anlatıyor.</x:v>
      </x:c>
      <x:c r="J550" s="37" t="str">
        <x:v>Ramit Sethi popüler bir finansal tavsiyeyi reddediyor.
«Günlük kahvenizi kesin. Yılda 1.500 dolar tasarruf edersiniz.»
Sethi şöyle diyor: Bu matematiksel olarak doğru ama stratejik olarak yanlış.
##İnsanlar küçük harcamaları kısarken büyük harcamaları görmezden geliyor. Ama servet büyük kazanımlardan inşa ediliyor — küçük tasarruflardan değil.##
Sethi üç büyük kaldıraca odaklanıyor:
Birincisi kira. Ortalama insan gelirinin yüzde otuz ila kırkını kirayla ödiyor. Bu rakamı yüzde yirmi beşe indirmek yıllık binlerce dolar fark yaratıyor. Günlük kahveyi kesmek ise yüzde birin altında.
İkincisi araba. Araç sahipliğinin gerçek maliyeti — taksit, sigorta, bakım, yakıt — görünenden çok daha yüksek. Daha küçük ya da daha az araba, büyük fark.
Üçüncüsü maaş müzakeresi. Sethi şunu söylüyor: Maaşınızı yüzde on artırırsanız, bu artış kariyer boyu her yıl bileşik büyür. Tek bir müzakere, on yıl boyunca kahve kesmekten daha fazla değer taşıyabilir.
$$Büyük kararları doğru almak küçük tasarrufları anlamsız kılacak kadar güçlü — önce büyük kazançlara bakın.$$
&amp;&amp;Şu anki finansal hayatınızda en büyük üç maliyet kalemine bakın. Bunlardan birini optimize etmek ne kadar fark yaratırdı?&amp;&amp;</x:v>
      </x:c>
      <x:c r="K550" s="37" t="str"/>
      <x:c r="L550" s="37" t="str"/>
      <x:c r="M550" s="37" t="str"/>
      <x:c r="N550" s="37" t="str"/>
      <x:c r="O550" s="37" t="str"/>
    </x:row>
    <x:row r="551" ht="20" customHeight="1">
      <x:c r="A551" s="33" t="n">
        <x:v>1608</x:v>
      </x:c>
      <x:c r="B551" s="34" t="str">
        <x:v>1</x:v>
      </x:c>
      <x:c r="C551" s="34" t="str">
        <x:v>Finans</x:v>
      </x:c>
      <x:c r="D551" s="34" t="str">
        <x:v>Finans</x:v>
      </x:c>
      <x:c r="E551" s="34" t="str">
        <x:v>Zengin Olmayı Öğrenmek</x:v>
      </x:c>
      <x:c r="F551" s="34" t="str">
        <x:v>Ramit Sethi</x:v>
      </x:c>
      <x:c r="G551" s="34" t="str">
        <x:v>2009</x:v>
      </x:c>
      <x:c r="H551" s="37" t="str">
        <x:v>Zengin hayat tasarımı — paranın araç olduğunu hatırlamak</x:v>
      </x:c>
      <x:c r="I551" s="37" t="str">
        <x:v>Sethi, çoğu kişisel finans kitabının para biriktirmeyi amaç haline getirdiğini oysa paranın yalnızca zengin ve anlamlı bir hayat için araç olduğunu ve bu farkın tüm finansal kararları nasıl değiştirdiğini anlatıyor.</x:v>
      </x:c>
      <x:c r="J551" s="37" t="str">
        <x:v>Ramit Sethi bir soruyu soruyor.
«Zengin olsaydınız ne yapardınız?»
Çoğu insan duraksıyor. Çünkü gerçekten düşünmemişler.
«Seyahat ederdim» — nereye? Ne kadar? Kaç günde bir?
«Aileme yardım ederdim» — nasıl? Ne kadar?
«İş kurmayı denerdim» — hangi iş?
##Sethi şunu söylüyor: Çoğu kişisel finans yaklaşımı hedef koymadan tasarruf etmeyi öğretiyor. Ama neden biriktirdiğinizi bilmeden biriktirmek, nereye gideceğinizi bilmeden araba sürmek gibi. Yakıt harcayıyorsunuz ama ilerlemenin anlamı yok.##
Sethi'nin yaklaşımı farklı: Önce zengin hayatı tanımlayın. Sonra o hayatın maliyetini hesaplayın. Sonra geriye doğru plan yapın.
Bazıları için zengin hayat yılda iki büyük tatil demek — bu belirli bir maliyet. Bazıları için çalışmadan seçimle çalışmak — bu farklı bir maliyet. Bazıları için aile için büyük bir ev — bu başka bir sayı.
O sayı bilinince plan gerçekleşiyor.
Sethi şöyle diyor: Para biriktirmek erdem değil. Zengin bir hayat yaşamak için araç. Bu farkı kaybetmeyin.
$$Para amaç değil araçtır — neyin araçı olduğunu bilmeden biriktirmek hayatı ertelemektir.$$
&amp;&amp;Sizin için 'zengin hayat' tam olarak nasıl görünüyor? Bu soruyu hiç somutlaştırdınız mı?&amp;&amp;</x:v>
      </x:c>
      <x:c r="K551" s="37" t="str"/>
      <x:c r="L551" s="37" t="str"/>
      <x:c r="M551" s="37" t="str"/>
      <x:c r="N551" s="37" t="str"/>
      <x:c r="O551" s="37" t="str"/>
    </x:row>
    <x:row r="552" ht="20" customHeight="1">
      <x:c r="A552" s="33" t="n">
        <x:v>1609</x:v>
      </x:c>
      <x:c r="B552" s="34" t="str">
        <x:v>1</x:v>
      </x:c>
      <x:c r="C552" s="34" t="str">
        <x:v>Finans</x:v>
      </x:c>
      <x:c r="D552" s="34" t="str">
        <x:v>Finans</x:v>
      </x:c>
      <x:c r="E552" s="34" t="str">
        <x:v>Mantıklı Borsa</x:v>
      </x:c>
      <x:c r="F552" s="34" t="str">
        <x:v>John Bogle</x:v>
      </x:c>
      <x:c r="G552" s="34" t="str">
        <x:v>2007</x:v>
      </x:c>
      <x:c r="H552" s="37" t="str">
        <x:v>Maliyet paradoksu — daha fazla ödemek daha az kazandırır</x:v>
      </x:c>
      <x:c r="I552" s="37" t="str">
        <x:v>Bogle, yatırım fonlarının aldığı yönetim ücretlerinin bileşik büyüme üzerindeki yıkıcı etkisini somut hesaplamalarla gösteriyor ve neden yüzde birlik bir ücret farkının onlarca yılda servetin yarısını erittiğini anlatıyor.</x:v>
      </x:c>
      <x:c r="J552" s="37" t="str">
        <x:v>John Bogle basit bir hesap yapıyor.
İki yatırımcı. İkisi de piyasaya yılda 10.000 dolar yatırıyor. 40 yıl boyunca.
Piyasa ortalama yüzde yedi getiri sağlıyor.
Birincisi aktif yönetimli fon kullanıyor. Yıllık yüzde iki ücret.
İkincisi endeks fonu kullanıyor. Yıllık yüzde 0.05 ücret.
40 yılın sonunda:
##Birinci yatırımcı: 1.1 milyon dolar. İkinci yatırımcı: 2.1 milyon dolar. Neredeyse bir milyon dolar fark. Yalnızca yüzde iki ücret farkından.##
Bogle bunu «maliyet paradoksu» olarak tanımlıyor. Aktif fon yöneticileri daha fazla çalışıyor, daha fazla analiz yapıyor, daha fazla alım satım yapıyor. Ve ortalamada piyasayı yenemiyorlar. Ama aldıkları ücret kesin, getirileri değil.
Matematiği acımasız: Piyasa getirisi sabit. Sizin aldığınız getiri = Piyasa getirisi - Maliyetler. Maliyeti azaltmak doğrudan getirinizi artırıyor.
Bogle'ın mesajı net: Yatırım endüstrisinde satılan karmaşıklık çoğunlukla sizi değil satıcıyı zengin ediyor. Basitlik kazanıyor.
$$Yatırımda maliyet tek kontrol edebileceğiniz değişkendir — ve bileşik büyüme üzerindeki etkisi devasa.$$
&amp;&amp;Şu an yatırım yaptığınız fonların yıllık yönetim ücretlerini biliyor musunuz? Bu ücretler 30 yılda ne anlama geliyor?&amp;&amp;</x:v>
      </x:c>
      <x:c r="K552" s="37" t="str"/>
      <x:c r="L552" s="37" t="str"/>
      <x:c r="M552" s="37" t="str"/>
      <x:c r="N552" s="37" t="str"/>
      <x:c r="O552" s="37" t="str"/>
    </x:row>
    <x:row r="553" ht="20" customHeight="1">
      <x:c r="A553" s="33" t="n">
        <x:v>1610</x:v>
      </x:c>
      <x:c r="B553" s="34" t="str">
        <x:v>1</x:v>
      </x:c>
      <x:c r="C553" s="34" t="str">
        <x:v>Finans</x:v>
      </x:c>
      <x:c r="D553" s="34" t="str">
        <x:v>Finans</x:v>
      </x:c>
      <x:c r="E553" s="34" t="str">
        <x:v>Mantıklı Borsa</x:v>
      </x:c>
      <x:c r="F553" s="34" t="str">
        <x:v>John Bogle</x:v>
      </x:c>
      <x:c r="G553" s="34" t="str">
        <x:v>2007</x:v>
      </x:c>
      <x:c r="H553" s="37" t="str">
        <x:v>Haystack'i satın al — tüm samanlığı almak neden kazandırır</x:v>
      </x:c>
      <x:c r="I553" s="37" t="str">
        <x:v>Bogle, piyasada kazanan hisseyi aramak yerine tüm piyasayı satın almanın neden uzun vadede aktif yöneticilerin büyük çoğunluğunu geride bıraktığını ve çeşitlendirmenin matematiksel mantığını anlatıyor.</x:v>
      </x:c>
      <x:c r="J553" s="37" t="str">
        <x:v>John Bogle bir metafor kullanıyor.
Piyasada kazanan hisseyi bulmak samanlıkta iğne aramak gibi.
Aktif yöneticiler iğneyi aramak için büyük paralar harcıyor. Analistler, algoritmalar, haberler, şirket ziyaretleri. Tüm bu maliyet yatırımcının cebinden çıkıyor.
Ve sonuç? Araştırmalar defalarca gösterdi: 10 yıllık süreçte aktif yöneticilerin yüzde sekseninden fazlası piyasayı yenemedi.
##Bogle şunu söylüyor: İğneyi aramayı bırakın. Tüm samanlığı satın alın. Endeks fonu tüm piyasayı satın alıyor — kazanan da, kaybeden de. Kazananlar kaybedenleri siliyor. Net sonuç piyasanın ortalaması. Ve bu ortalama aktif yöneticilerin büyük çoğunluğundan daha iyi.##
Neden?
Piyasa sıfır toplamlı. Birinin fazla kazandığı, diğerinin az kazandığı anlamına geliyor. Ama aktif yönetim maliyetleri ortalamanın altına çekiyor. Endeks fonunun maliyeti minimum — bu nedenle endeks yatırımcısı ortalamanın üstünde kalıyor.
Bogle şöyle diyor: Piyasayı yenmeye çalışmayın. Piyasanın tamamını satın alın. Zamanla bu en akıllı strateji.
$$İğneyi aramak yerine samanlığı satın almak — bu basit fikir milyonların finansal geleceğini değiştirebilir.$$
&amp;&amp;Yatırımlarınızda piyasayı yenmeye mi çalışıyorsunuz yoksa piyasayla mı büyümeye? Bu iki yaklaşımın farkını gerçekten değerlendirdiniz mi?&amp;&amp;</x:v>
      </x:c>
      <x:c r="K553" s="37" t="str"/>
      <x:c r="L553" s="37" t="str"/>
      <x:c r="M553" s="37" t="str"/>
      <x:c r="N553" s="37" t="str"/>
      <x:c r="O553" s="37" t="str"/>
    </x:row>
    <x:row r="554" ht="20" customHeight="1">
      <x:c r="A554" s="33" t="n">
        <x:v>1611</x:v>
      </x:c>
      <x:c r="B554" s="34" t="str">
        <x:v>1</x:v>
      </x:c>
      <x:c r="C554" s="34" t="str">
        <x:v>Finans</x:v>
      </x:c>
      <x:c r="D554" s="34" t="str">
        <x:v>Finans</x:v>
      </x:c>
      <x:c r="E554" s="34" t="str">
        <x:v>Mantıklı Borsa</x:v>
      </x:c>
      <x:c r="F554" s="34" t="str">
        <x:v>John Bogle</x:v>
      </x:c>
      <x:c r="G554" s="34" t="str">
        <x:v>2007</x:v>
      </x:c>
      <x:c r="H554" s="37" t="str">
        <x:v>Piyasa zamanlaması yanılgısı — içeride kalmak neden her şeyden önemli</x:v>
      </x:c>
      <x:c r="I554" s="37" t="str">
        <x:v>Bogle, yatırımcıların piyasaya girip çıkarak zamanlama yapmaya çalışmasının neden her zaman geri teptiğini ve piyasanın en iyi 20 gününü kaçırmanın onlarca yıllık getiriyi nasıl mahvettiğini somut verilerle anlatıyor.</x:v>
      </x:c>
      <x:c r="J554" s="37" t="str">
        <x:v>John Bogle çarpıcı bir veriyi sunuyor.
1980'den 2005'e kadar S&amp;P 500'ün toplam getirisi yüzde on bir civarındaydı. Her yıl ortalama.
Ama bu dönemde piyasanın en iyi 30 günü çıkarılsaydı?
##Getiri yüzde on birden yüzde ikiye düşüyordu. Otuz gün. 25 yılın 9.000 gününde yalnızca otuz gün. Ve bu otuz günü kaçırmak getirinin yüzde seksenini siliyordu.##
Piyasayı zamanlamaya çalışanlar sürekli bu tuzağa düşüyor. Düşüş beklentisiyle çıkıyorlar. Piyasa yükseliyor. Geri girmeye çalışıyorlar ama o en iyi günleri kaçırıyorlar.
Bogle şunu söylüyor: Kimse piyasanın ne zaman yükseleceğini tutarlı biçimde tahmin edemiyor. Profesyoneller de edemedi. Algoritmalar da edemedi.
Peki çözüm?
İçeride kal. Her ay düzenli al. Düşüşlerde satma — mümkünse daha fazla al. Uzun vadeli al ve tut.
Bu heyecansız. Kulağa akıllıca gelmiyor. Ama matematik çalışıyor.
$$Piyasa zamanlaması çoğunlukla en iyi günleri kaçırarak sonuçlanır — içeride kalmak en güçlü stratejidir.$$
&amp;&amp;Piyasa düştüğünde ilk tepkiniz nedir — satmak mı, beklemek mi, daha fazla almak mı? Bu tepki uzun vadeli hedefinizle uyumlu mu?&amp;&amp;</x:v>
      </x:c>
      <x:c r="K554" s="37" t="str"/>
      <x:c r="L554" s="37" t="str"/>
      <x:c r="M554" s="37" t="str"/>
      <x:c r="N554" s="37" t="str"/>
      <x:c r="O554" s="37" t="str"/>
    </x:row>
    <x:row r="555" ht="20" customHeight="1">
      <x:c r="A555" s="33" t="n">
        <x:v>1612</x:v>
      </x:c>
      <x:c r="B555" s="34" t="str">
        <x:v>1</x:v>
      </x:c>
      <x:c r="C555" s="34" t="str">
        <x:v>Finans</x:v>
      </x:c>
      <x:c r="D555" s="34" t="str">
        <x:v>Finans</x:v>
      </x:c>
      <x:c r="E555" s="34" t="str">
        <x:v>Komşu Milyoner</x:v>
      </x:c>
      <x:c r="F555" s="34" t="str">
        <x:v>Thomas Stanley</x:v>
      </x:c>
      <x:c r="G555" s="34" t="str">
        <x:v>1996</x:v>
      </x:c>
      <x:c r="H555" s="37" t="str">
        <x:v>Zengin görünmek ile zengin olmak — sessiz servetin sırrı</x:v>
      </x:c>
      <x:c r="I555" s="37" t="str">
        <x:v>Stanley, Amerikan milyonerlerini araştırdığında şaşırtıcı bir bulguyla karşılaştığını anlatıyor: Gerçek zenginlerin büyük çoğunluğu lüks arabalar ve büyük evlerde değil, sıradan mahallelerde mütevazı hayatlar yaşıyor.</x:v>
      </x:c>
      <x:c r="J555" s="37" t="str">
        <x:v>Thomas Stanley bir araştırma yapmak istedi.
Amerika'daki milyonerleri bulmak. Onlarla konuşmak. Sırlarını öğrenmek.
Bir sorunla başladı: Onları nasıl bulacaktı?
Lüks mahallelere gitti. Pahalı arabalara, büyük evlere, markalı kıyafetlere baktı.
Yanlış yerdeydi.
##Araştırması bitti ve bulgu şaşırtıcıydı: Amerikan milyonerlerinin büyük çoğunluğu sıradan evlerde yaşıyor. Sıradan arabalar kullanıyor. Bütçe takip ediyor. Ve kimse onların zengin olduğunu bilmiyor.##
Stanley bunun tersini de buldu: Zengin görünen insanların büyük bölümü aslında varlıklı değil. Yüksek gelir, yüksek harcama. Servetten çok imaj.
Stanley bunu iki kavramla açıklıyor: UAW — Under Accumulator of Wealth, geliriyle orantılı servet biriktiremeyenler. PAW — Prodigious Accumulator of Wealth, gelirinin çok üzerinde servet biriktirenler.
PAW'ların ortak özellikleri: Gelirlerinin altında yaşıyorlar. Sürekli yatırım yapıyorlar. Statü harcamalarına aldırmıyorlar. Ve servetlerini gizliyorlar.
$$Gerçek zenginlik gösterilen değil biriktirilen şeydir — ve en büyük gösteriş tuzağı zenginliği eritir.$$
&amp;&amp;Şu an gelirinin altında mı üstünde mi yaşıyorsunuz? Bu soru hakkında dürüst bir cevabınız var mı?&amp;&amp;</x:v>
      </x:c>
      <x:c r="K555" s="37" t="str"/>
      <x:c r="L555" s="37" t="str"/>
      <x:c r="M555" s="37" t="str"/>
      <x:c r="N555" s="37" t="str"/>
      <x:c r="O555" s="37" t="str"/>
    </x:row>
    <x:row r="556" ht="20" customHeight="1">
      <x:c r="A556" s="33" t="n">
        <x:v>1613</x:v>
      </x:c>
      <x:c r="B556" s="34" t="str">
        <x:v>1</x:v>
      </x:c>
      <x:c r="C556" s="34" t="str">
        <x:v>Finans</x:v>
      </x:c>
      <x:c r="D556" s="34" t="str">
        <x:v>Finans</x:v>
      </x:c>
      <x:c r="E556" s="34" t="str">
        <x:v>Komşu Milyoner</x:v>
      </x:c>
      <x:c r="F556" s="34" t="str">
        <x:v>Thomas Stanley</x:v>
      </x:c>
      <x:c r="G556" s="34" t="str">
        <x:v>1996</x:v>
      </x:c>
      <x:c r="H556" s="37" t="str">
        <x:v>Ekonomik giden rüzgar — aile desteğinin gizli bedeli</x:v>
      </x:c>
      <x:c r="I556" s="37" t="str">
        <x:v>Stanley, araştırmasında zengin ailelerin çocuklarına nakit hediyeler ve mali destek sağlamasının onları daha zengin değil daha bağımlı ve daha az servet biriktiren bireyler haline getirdiğini gösteren şaşırtıcı veriyi anlatıyor.</x:v>
      </x:c>
      <x:c r="J556" s="37" t="str">
        <x:v>Thomas Stanley araştırmasında beklenmedik bir örüntü buldu.
Zengin ailelerden gelen çocuklar daha zengin olmuyor muydu?
Hayır. Tam tersi.
##Ailesinden düzenli nakit destek alan bireyler — 'ekonomik giden rüzgar' aldıkları için daha az birikiyor, daha fazla harcıyor ve bağımsız servet inşası konusunda daha zayıf kalıyordu.##
Stanley bunu şöyle açıklıyor: Dışarıdan gelen para harcama standardını yükseltiyor. Kişi daha büyük ev, daha iyi araba, daha pahalı tatil bekliyor. Aile kesmeyeceği için tasarruf etme ihtiyacı azalıyor.
Aynı zamanda bağımsız olma dürtüsü zayıflıyor. "Sıkışırsam aile var" düşüncesi risk almayı ve servet inşa etme motivasyonunu kesiyor.
En ilginç bulgu: Kendi kendine yetişen — ailesinden minimum destek alan — bireyler ortalamada çok daha fazla servet biriktirdi.
Stanley şöyle diyor: Çocuğunuza en değerli hediye finansal bağımsızlık alışkanlıkları vermek. Nakit değil. Ekonomik giden rüzgar güçlük değil, bağımlılık üretiyor.
$$Mali destek kısa vadede yardım, uzun vadede bağımlılık üretebilir — gerçek hediye bağımsızlık alışkanlıklarıdır.$$
&amp;&amp;Finansal alışkanlıklarınız çocukluğunuzdan nasıl etkilendi? Aile desteği mi bağımsızlık mı daha fazla etkili oldu?&amp;&amp;</x:v>
      </x:c>
      <x:c r="K556" s="37" t="str"/>
      <x:c r="L556" s="37" t="str"/>
      <x:c r="M556" s="37" t="str"/>
      <x:c r="N556" s="37" t="str"/>
      <x:c r="O556" s="37" t="str"/>
    </x:row>
    <x:row r="557" ht="20" customHeight="1">
      <x:c r="A557" s="33" t="n">
        <x:v>1614</x:v>
      </x:c>
      <x:c r="B557" s="34" t="str">
        <x:v>1</x:v>
      </x:c>
      <x:c r="C557" s="34" t="str">
        <x:v>Finans</x:v>
      </x:c>
      <x:c r="D557" s="34" t="str">
        <x:v>Finans</x:v>
      </x:c>
      <x:c r="E557" s="34" t="str">
        <x:v>Komşu Milyoner</x:v>
      </x:c>
      <x:c r="F557" s="34" t="str">
        <x:v>Thomas Stanley</x:v>
      </x:c>
      <x:c r="G557" s="34" t="str">
        <x:v>1996</x:v>
      </x:c>
      <x:c r="H557" s="37" t="str">
        <x:v>Zaman, enerji, para — milyonerlerin gerçek yatırımı</x:v>
      </x:c>
      <x:c r="I557" s="37" t="str">
        <x:v>Stanley, gerçek milyonerlerin yalnızca para değil zaman ve enerjilerini de nasıl yatırım yaptığını, bütçe planlamasına, vergi optimizasyonuna ve yatırımlara harcadıkları saatlerin zenginliklerinin asıl kaynağı olduğunu anlatıyor.</x:v>
      </x:c>
      <x:c r="J557" s="37" t="str">
        <x:v>Thomas Stanley milyonerlere bir soru sordu.
«Geçen ay finansal planlamanıza kaç saat harcadınız?»
Ortalama cevap: Sekiz saatten fazla.
Sonra benzer gelire sahip ama servet birikiremeyenlere aynı soruyu sordu.
##Ortalama cevap: İki saatten az.##
Stanley şunu söylüyor: Para birikimi tesadüf değil. Milyonerler servetlerine zaman yatırıyor. Bütçelerini takip ediyorlar. Vergi stratejilerini planlıyorlar. Yatırım kararlarını araştırıyorlar.
Ve bu zaman yatırımı doğrudan getiri üretiyor.
Bir saat vergi planlaması binlerce lira tasarruf sağlayabiliyor. Bir saat sigorta karşılaştırması yüzlerce lira kurtarabiliyor. Bir saat yatırım araştırması yıllar içinde büyük fark yaratıyor.
Stanley şöyle diyor: Yüksek gelirli ama düşük serveti olan kişilerin büyük bölümü finansa zaman harcamıyor. Kazandıklarını harcıyor ve geri kalanına bakmıyor.
Milyonerler ise tersini yapıyor: Önce finanslarına bakıyorlar, sonra harcıyorlar.
$$Servet para birikiminin değil dikkat ve zaman yatırımının sonucudur — finansalarınıza verdiğiniz saat doğrudan servetinizi şekillendirir.$$
&amp;&amp;Geçen ay kendi finansal durumunuzu incelemeye, planlamaya ve optimize etmeye kaç saat harcadınız?&amp;&amp;</x:v>
      </x:c>
      <x:c r="K557" s="37" t="str"/>
      <x:c r="L557" s="37" t="str"/>
      <x:c r="M557" s="37" t="str"/>
      <x:c r="N557" s="37" t="str"/>
      <x:c r="O557" s="37" t="str"/>
    </x:row>
    <x:row r="558" ht="20" customHeight="1">
      <x:c r="A558" s="33" t="n">
        <x:v>1615</x:v>
      </x:c>
      <x:c r="B558" s="34" t="str">
        <x:v>1</x:v>
      </x:c>
      <x:c r="C558" s="34" t="str">
        <x:v>Finans</x:v>
      </x:c>
      <x:c r="D558" s="34" t="str">
        <x:v>Finans</x:v>
      </x:c>
      <x:c r="E558" s="34" t="str">
        <x:v>Borç Devrimi</x:v>
      </x:c>
      <x:c r="F558" s="34" t="str">
        <x:v>Dave Ramsey</x:v>
      </x:c>
      <x:c r="G558" s="34" t="str">
        <x:v>2003</x:v>
      </x:c>
      <x:c r="H558" s="37" t="str">
        <x:v>Çığlık atan bebek ve kar topu — borcun psikolojik savaşı</x:v>
      </x:c>
      <x:c r="I558" s="37" t="str">
        <x:v>Ramsey, borç ödemenin neden matematiksel optimizasyon değil davranışsal bir sorun olduğunu ve küçük borçları önce öderken kazanılan psikolojik ivmenin neden faiz oranına göre optimize etmekten çok daha etkili olduğunu anlatıyor.</x:v>
      </x:c>
      <x:c r="J558" s="37" t="str">
        <x:v>Dave Ramsey bir soruyla başlıyor.
Matematikte en mantıklı borç ödeme yöntemi nedir?
Cevap basit: En yüksek faizli borcu önce öde. Toplam faiz maliyeti minimum olur.
Peki gerçekte ne işe yarıyor?
##Ramsey şunu söylüyor: Borç bir matematik problemi değil, davranış problemi. Ve davranış değiştirmek için motivasyon şart. Motivasyon kazanım hissinden geliyor — küçük zaferlerden.##
Bu yüzden Ramsey «Kar Topu» yöntemini öneriyor: Borçları faiz oranına değil bakiyeye göre sırala. En küçük bakiyeli borcu önce öde. O bitince bir sonraki küçüğe geç. Ödeme ivmesi her borç bitince büyüyor — tıpkı yokuş aşağı yuvarlanan kar topu gibi.
Birisi 2.000 liralık küçük bir kredi kartı borcunu yüzde on sekiz faizle öderken, 20.000 liralık araba kredisini yüzde on iki faizle ödüyor.
Matematiksel optimizasyon araba kredisini önce söylüyor. Ama küçük borcu bitirmek insanı ateşliyor. Ve bu ateş olmadan büyük borcu bitirmek çok daha zor.
Ramsey şöyle diyor: Biraz daha fazla faiz ödeseniz bile, davranışı değiştiriyorsunuz. Ve davranış değişimi her şeyin önüne geçiyor.
$$Borç matematikle değil motivasyonla ödenir — küçük zaferler büyük savaşı mümkün kılar.$$
&amp;&amp;Şu an birden fazla borcunuz varsa, en küçük bakiyeli borcu bilip bilmediğinizi ve onu önce bitirmeyi düşünüp düşünmediğinizi sorguladınız mı?&amp;&amp;</x:v>
      </x:c>
      <x:c r="K558" s="37" t="str"/>
      <x:c r="L558" s="37" t="str"/>
      <x:c r="M558" s="37" t="str"/>
      <x:c r="N558" s="37" t="str"/>
      <x:c r="O558" s="37" t="str"/>
    </x:row>
    <x:row r="559" ht="20" customHeight="1">
      <x:c r="A559" s="33" t="n">
        <x:v>1616</x:v>
      </x:c>
      <x:c r="B559" s="34" t="str">
        <x:v>1</x:v>
      </x:c>
      <x:c r="C559" s="34" t="str">
        <x:v>Finans</x:v>
      </x:c>
      <x:c r="D559" s="34" t="str">
        <x:v>Finans</x:v>
      </x:c>
      <x:c r="E559" s="34" t="str">
        <x:v>Borç Devrimi</x:v>
      </x:c>
      <x:c r="F559" s="34" t="str">
        <x:v>Dave Ramsey</x:v>
      </x:c>
      <x:c r="G559" s="34" t="str">
        <x:v>2003</x:v>
      </x:c>
      <x:c r="H559" s="37" t="str">
        <x:v>Acil durum fonu — beklenmedik olanı beklemek</x:v>
      </x:c>
      <x:c r="I559" s="37" t="str">
        <x:v>Ramsey, acil durum fonunun neden borç ödemenin önüne geçmesi gerektiğini ve 1.000 dolarlık küçük tampon fonun insanların borç döngüsünden çıkmasında nasıl kritik bir kırılma noktası oluşturduğunu anlatıyor.</x:v>
      </x:c>
      <x:c r="J559" s="37" t="str">
        <x:v>Dave Ramsey bir sahneyi defalarca gördü.
Birisi borçlarını ödüyor. Her ay düzenli. İyi gidiyor.
Sonra araba arızalanıyor. Ya da diş ağrısı başlıyor. Ya da çamaşır makinesi bozuluyor.
Acil durum fonu yok. Tek seçenek: Kredi kartı.
##Borç ödeme süreci durduruldu. Yeni borç eklendi. Motivasyon çöktü. Birçok insan bu noktada vazgeçiyor.##
Ramsey şunu söylüyor: Beklenmedik olan tamamen beklenebilir. Hayatın her döneminde beklenmedik harcamalar çıkıyor. Bunun için hazırlanmak zorundasınız.
Bu yüzden Ramsey'in ilk adımı borç ödemek değil — önce 1.000 dolarlık küçük acil durum fonu oluşturmak.
Bu tam acil durum fonu değil — sadece bir tampon. Çoğu küçük krizi karşılayacak kadar. Ve bu tampon olmadan borç ödeme süreci her seferinde raydan çıkıyor.
Borçlar bittikten sonra bu fon 3-6 aylık gidere çıkarılıyor. Ama başlamak için 1.000 dolar yeterli.
Ramsey şöyle diyor: Acil durum fonu olmayan biri kredi kartı kullanmaya mahkum. Fon olan biri özgürlük seçiyor.
$$Acil fon olmadan her beklenmedik gider yeni bir borç demektir — tampon özgürlüğün ilk adımıdır.$$
&amp;&amp;Şu an 3-6 aylık giderinizi karşılayacak acil durum fonunuz var mı? Yoksa bu hafta ilk küçük adımı atmak ne hissettirirdi?&amp;&amp;</x:v>
      </x:c>
      <x:c r="K559" s="37" t="str"/>
      <x:c r="L559" s="37" t="str"/>
      <x:c r="M559" s="37" t="str"/>
      <x:c r="N559" s="37" t="str"/>
      <x:c r="O559" s="37" t="str"/>
    </x:row>
    <x:row r="560" ht="20" customHeight="1">
      <x:c r="A560" s="33" t="n">
        <x:v>1617</x:v>
      </x:c>
      <x:c r="B560" s="34" t="str">
        <x:v>1</x:v>
      </x:c>
      <x:c r="C560" s="34" t="str">
        <x:v>Finans</x:v>
      </x:c>
      <x:c r="D560" s="34" t="str">
        <x:v>Finans</x:v>
      </x:c>
      <x:c r="E560" s="34" t="str">
        <x:v>Borç Devrimi</x:v>
      </x:c>
      <x:c r="F560" s="34" t="str">
        <x:v>Dave Ramsey</x:v>
      </x:c>
      <x:c r="G560" s="34" t="str">
        <x:v>2003</x:v>
      </x:c>
      <x:c r="H560" s="37" t="str">
        <x:v>Bütçe — paranın patronu olmak</x:v>
      </x:c>
      <x:c r="I560" s="37" t="str">
        <x:v>Ramsey, bütçenin kısıtlama değil özgürlük aracı olduğunu ve her ay sıfırdan yapılan 'sıfır tabanlı bütçenin' insanların paralarının nereye gittiğini ilk kez görmelerini sağlayan en dönüştürücü finansal alışkanlık olduğunu anlatıyor.</x:v>
      </x:c>
      <x:c r="J560" s="37" t="str">
        <x:v>Dave Ramsey insanlara soruyor.
«Geçen ay ne kadar harcadınız?»
Çoğu insan bilmiyor. Tahmin ediyor. Ve tahmini her zaman gerçeğin altında.
«Nereye harcadınız?»
Daha az biliyor.
##Ramsey şunu söylüyor: Para nereye gittiğini bilmeden kontrol edemezsiniz. Ve kontrol etmeden özgür olamazsınız. Bütçe hapishane değil — paranızın patronu olmanın aracı.##
Ramsey «sıfır tabanlı bütçe» öneriyor. Her ay başında gelir eksi gider sıfır olacak şekilde plan yapılıyor. Her lira bir göreve atanıyor: Kira, yiyecek, ulaşım, borç ödeme, tasarruf, eğlence.
Geliri 10.000 lira. Tüm kalemler toplamı 10.000 lira olmalı. Artakalan sıfır — çünkü her şey bir yere tahsis edildi.
İlk ay bu bütçeyi yapan insanlar genellikle şok geçiriyor. Dışarıda yemeye, kafede içmeye, alışverişe ne kadar harcadıklarını ilk kez görüyorlar.
O görme anı değişimi tetikliyor. Çünkü görmeden değiştiremezsiniz.
Ramsey şöyle diyor: Bütçe eğlenceyi kesmek değil — eğlenceye bilinçli olarak evet demek. Her harcama seçim haline geliyor.
$$Bütçe kısıtlama değil bilinç — paranın nereye gittiğini görene kadar onu yönetemezsiniz.$$
&amp;&amp;Bu ay harcamalarınızı gerçekten takip ettiniz mi? En büyük sürpriz kalem ne olurdu?&amp;&amp;</x:v>
      </x:c>
      <x:c r="K560" s="37" t="str"/>
      <x:c r="L560" s="37" t="str"/>
      <x:c r="M560" s="37" t="str"/>
      <x:c r="N560" s="37" t="str"/>
      <x:c r="O560" s="37" t="str"/>
    </x:row>
    <x:row r="561" ht="20" customHeight="1">
      <x:c r="A561" s="33" t="n">
        <x:v>1618</x:v>
      </x:c>
      <x:c r="B561" s="34" t="str">
        <x:v>1</x:v>
      </x:c>
      <x:c r="C561" s="34" t="str">
        <x:v>İletişim</x:v>
      </x:c>
      <x:c r="D561" s="34" t="str">
        <x:v>İlişkiler</x:v>
      </x:c>
      <x:c r="E561" s="34" t="str">
        <x:v>İlişki Psikolojisi</x:v>
      </x:c>
      <x:c r="F561" s="34" t="str">
        <x:v>Sue Johnson</x:v>
      </x:c>
      <x:c r="G561" s="34" t="str">
        <x:v>2008</x:v>
      </x:c>
      <x:c r="H561" s="37" t="str">
        <x:v>Duygusal bağ — yetişkin bağlanmasının temel ihtiyacı</x:v>
      </x:c>
      <x:c r="I561" s="37" t="str">
        <x:v>Johnson, Bowlby'nin bağlanma teorisini yetişkin ilişkilerine uygulayan EFT'nin temelini açıklıyor: Partnerlerden birinin 'orada mısın, güvende miyim, önemli miyim' sorularını sormaya devam etmesi ve bu soruların yanıtsız kalmasının kavgaları değil ayrılığı nasıl başlattığını anlatıyor.</x:v>
      </x:c>
      <x:c r="J561" s="37" t="str">
        <x:v>Sue Johnson on yıllar boyunca çiftlerle çalıştı.
Yüzlerce terapist seansı. Binlerce tartışma, kavga, sessizlik.
Ve bir örüntü fark etti.
Çiftler yüzeyde farklı şeyler için kavga ediyordu. Bulaşıklar, para, çocuklar, zaman. Ama derinlere indiğinde hep aynı ağrı vardı.
##Johnson şunu keşfetti: Her kavganın altında iki kişinin sorduğu aynı soru var. 'Orada mısın? Önemli miyim? Sana ihtiyacım olduğumda koşar mısın?' Bu soruların yanıtsız kalması — ya da yanlış yanıtlanması — ilişkiyi parçalıyor.##
Johnson bunu bağlanma teorisine dayandırıyor. Bebek tehlike hissedince bakıcıya yaklaşıyor. Yetişkin de tehlike hissedince — üzgün, yorgun, korkmuş — partnerine yaklaşmak istiyor.
Partner ise bu yaklaşmayı görmüyor. Ya da geriyor. Ya da eleştiriyor. Gönderilen sinyal «sen önemli değilsin, sana bakamam».
O an kavga değil ayrılık başlıyor. Kavga ayrılığın dışavurumu.
Johnson şöyle diyor: Çiftler doğru şeyi yanlış yoldan yapıyor. Bağ kurmak istiyorlar ama yöntemleri bağı kesiyor.
$$İlişkilerdeki kavgaların çoğu konu değil — bağ kaybetme korkusunun sesidir.$$
&amp;&amp;Son büyük tartışmanızda asıl sormak istediğiniz şey neydi? 'Bulaşıkları neden yıkamadın' mı, yoksa 'beni duyuyor musun' mu?&amp;&amp;</x:v>
      </x:c>
      <x:c r="K561" s="37" t="str"/>
      <x:c r="L561" s="37" t="str"/>
      <x:c r="M561" s="37" t="str"/>
      <x:c r="N561" s="37" t="str"/>
      <x:c r="O561" s="37" t="str"/>
    </x:row>
    <x:row r="562" ht="20" customHeight="1">
      <x:c r="A562" s="33" t="n">
        <x:v>1619</x:v>
      </x:c>
      <x:c r="B562" s="34" t="str">
        <x:v>1</x:v>
      </x:c>
      <x:c r="C562" s="34" t="str">
        <x:v>İletişim</x:v>
      </x:c>
      <x:c r="D562" s="34" t="str">
        <x:v>İlişkiler</x:v>
      </x:c>
      <x:c r="E562" s="34" t="str">
        <x:v>İlişki Psikolojisi</x:v>
      </x:c>
      <x:c r="F562" s="34" t="str">
        <x:v>Sue Johnson</x:v>
      </x:c>
      <x:c r="G562" s="34" t="str">
        <x:v>2008</x:v>
      </x:c>
      <x:c r="H562" s="37" t="str">
        <x:v>Şeytan döngüsü — saldır ve çekil sarmalı</x:v>
      </x:c>
      <x:c r="I562" s="37" t="str">
        <x:v>Johnson, ilişkilerde en yaygın ve yıkıcı örüntüyü — birinin yakınlaşmak için saldırması, diğerinin korunmak için çekilmesi ve bu hareketin döngüyü nasıl büyüttüğünü — ve bu döngüyü tanımanın nasıl tek başına dönüşümü başlattığını anlatıyor.</x:v>
      </x:c>
      <x:c r="J562" s="37" t="str">
        <x:v>Sue Johnson bir çiftle çalışıyordu.
Kadın şikayet ediyordu: «Her zaman uzaklaşıyor. Hiçbir şeyi paylaşmıyor. Onu geri kazanmak için çırpınıyorum.»
Erkek şikayet ediyordu: «Sürekli eleştiriyor. Ne yapsam yanlış. Uzaklaşmaktan başka seçeneğim yok.»
##Johnson bunu «şeytan döngüsü» olarak tanımlıyor: Kadın bağ kurmak istiyor, saldırarak yaklaşıyor. Erkek eleştiriden korunmak için çekiliyor. Kadın daha fazla saldırıyor — çünkü çekilme «önemli değilsin» mesajı veriyor. Erkek daha fazla çekiliyor — çünkü saldırı güvenliği tehdit ediyor. Döngü büyüyor.##
İkisi de iyi niyetli. İkisi de aynı şeyi istiyor: Bağ. Ama yöntemleri tam tersine çalışıyor.
Johnson şöyle diyor: Bu döngüyü tanımak terapinin en kritik anı. Çünkü döngüyü gördüğünüzde düşman «partner» değil «döngü» oluyor.
«Biz ikimiz bu döngünün içindeyiz» demek «sen benim düşmanımsın» demekten bambaşka bir ilişki açıyor.
Ve döngüyü birlikte durdurmak mümkün hale geliyor.
$$İlişkilerdeki döngüler kişilikten değil korkudan beslenir — döngüyü görmek onu kırmayı mümkün kılar.$$
&amp;&amp;Yakın ilişkilerinizde tekrar eden bir döngü fark ediyor musunuz? Kim saldırıyor, kim çekiliyor? Her ikisi de ne arıyor gerçekte?&amp;&amp;</x:v>
      </x:c>
      <x:c r="K562" s="37" t="str"/>
      <x:c r="L562" s="37" t="str"/>
      <x:c r="M562" s="37" t="str"/>
      <x:c r="N562" s="37" t="str"/>
      <x:c r="O562" s="37" t="str"/>
    </x:row>
    <x:row r="563" ht="20" customHeight="1">
      <x:c r="A563" s="33" t="n">
        <x:v>1620</x:v>
      </x:c>
      <x:c r="B563" s="34" t="str">
        <x:v>1</x:v>
      </x:c>
      <x:c r="C563" s="34" t="str">
        <x:v>İletişim</x:v>
      </x:c>
      <x:c r="D563" s="34" t="str">
        <x:v>İlişkiler</x:v>
      </x:c>
      <x:c r="E563" s="34" t="str">
        <x:v>İlişki Psikolojisi</x:v>
      </x:c>
      <x:c r="F563" s="34" t="str">
        <x:v>Sue Johnson</x:v>
      </x:c>
      <x:c r="G563" s="34" t="str">
        <x:v>2008</x:v>
      </x:c>
      <x:c r="H563" s="37" t="str">
        <x:v>Hold me tight anı — yeniden bağlanmanın kapısı</x:v>
      </x:c>
      <x:c r="I563" s="37" t="str">
        <x:v>Johnson, EFT terapisinin en dönüştürücü anını — 'hold me tight' konuşmasını — ve partnerlerin kırılganlığı kabul edip bağlanma ihtiyaçlarını doğrudan ifade ettiklerinde nasıl dramatik bir dönüşüm yaşandığını anlatıyor.</x:v>
      </x:c>
      <x:c r="J563" s="37" t="str">
        <x:v>Sue Johnson bir seansın ortasında bir şey fark etti.
Yıllarca kavga eden çift durmuştu.
Kadın, saldırgan savunmacı tonunu bırakmıştı. Sessizce, yumuşakça konuşuyordu:
«Bazen geceleri yanımda uyurken yine de yalnız hissediyorum. Ve bu beni korkutuyor. Belki hiçbir zaman gerçekten burada olmayacaksın."
Erkek donup kalmıştı. Sonra gözleri doldu.
«Ben hep buradaydım. Sadece nasıl söyleyeceğimi bilmiyordum."
##Johnson buna «hold me tight» anı diyor. Kırılganlığın kapıyı açtığı an. Saldırı değil ihtiyaç. Eleştiri değil korku. Ve o açıklığa verilen gerçek yanıt.##
Johnson şunu söylüyor: İnsanlar kırılgan olmaktan korkuyor. Çünkü kırılgan olmak reddedilme riskini artırıyor. Bu yüzden öfkeyle, sessizlikle, eleştiriyle kendini koruyor.
Ama paradoks şu: Koruyan davranışlar tam olarak bağı kesiyor. Kırılganlık ise bağı kuruyor.
O an tüm yılların kavgasından daha fazla iş yapıyor. Çünkü gerçeği söylüyor.
$$Kırılganlık bağın düşmanı değil — bağın kendisidir. Gerçek yakınlık ancak korku sesleri içinde doğar.$$
&amp;&amp;Yakın birinin yanında son ne zaman gerçekten kırılgan oldunuz — öfke ya da sessizlik yerine ihtiyacınızı doğrudan ifade ettiniz?&amp;&amp;</x:v>
      </x:c>
      <x:c r="K563" s="37" t="str"/>
      <x:c r="L563" s="37" t="str"/>
      <x:c r="M563" s="37" t="str"/>
      <x:c r="N563" s="37" t="str"/>
      <x:c r="O563" s="37" t="str"/>
    </x:row>
    <x:row r="564" ht="20" customHeight="1">
      <x:c r="A564" s="33" t="n">
        <x:v>1621</x:v>
      </x:c>
      <x:c r="B564" s="34" t="str">
        <x:v>1</x:v>
      </x:c>
      <x:c r="C564" s="34" t="str">
        <x:v>İletişim</x:v>
      </x:c>
      <x:c r="D564" s="34" t="str">
        <x:v>İlişkiler</x:v>
      </x:c>
      <x:c r="E564" s="34" t="str">
        <x:v>Bağlanma Teorisi</x:v>
      </x:c>
      <x:c r="F564" s="34" t="str">
        <x:v>Amir Levine</x:v>
      </x:c>
      <x:c r="G564" s="34" t="str">
        <x:v>2010</x:v>
      </x:c>
      <x:c r="H564" s="37" t="str">
        <x:v>Üç bağlanma stili — güvenli, kaygılı, kaçıngan</x:v>
      </x:c>
      <x:c r="I564" s="37" t="str">
        <x:v>Levine, Bowlby'nin bebek bağlanma stillerinin yetişkin romantik ilişkilerine aynen yansıdığını ve kişinin bağlanma stilini bilmesinin ilişki örüntülerini anlamak için nasıl devrimci bir çerçeve sunduğunu anlatıyor.</x:v>
      </x:c>
      <x:c r="J564" s="37" t="str">
        <x:v>Amir Levine bebek araştırmalarından başlıyor.
Psikolog Mary Ainsworth 'Strange Situation' deneyi. Anne bebeği yabancı bir odada bırakıp çıkıyor. Sonra geri dönüyor.
Bebekler üç farklı tepki gösterdi.
Bir grup — güvenli bağlananlar: Anne gidince üzüldüler, döndüğünde hemen sakinleştiler. Anneden güven alarak keşfe çıkabildiler.
İkinci grup — kaygılı bağlananlar: Anne gidince aşırı tepki. Döndüğünde hem sarılıp hem iterek sakinleşemediler. Sürekli tetikte kaldılar.
Üçüncü grup — kaçıngan bağlananlar: Anne gidince tepki yok. Döndüğünde de tepki yok. Ama kalp atışları incelendi — içten stres yaşıyorlardı.
##Levine şunu söylüyor: Bu üç stil yetişkin ilişkilerinde aynen karşımıza çıkıyor. Güvenli, kaygılı, kaçıngan. Ve hangi stilde olduğunuzu bilmek ilişki örüntülerinizi anlamak için en güçlü araçtır.##
Popülasyonun yaklaşık yüzde ellisi güvenli, yüzde yirmi beşi kaygılı, yüzde yirmi beşi kaçıngan.
Ve bu stiller değişmez değil — doğru ilişki ve farkındalıkla dönüşebiliyor.
$$Bağlanma stili kader değil — ama onu tanımadan ilişki örüntülerinizi değiştirmeniz çok daha zor.$$
&amp;&amp;Kendi bağlanma stilinizi tahmin edebilir misiniz? İlişkilerde daha çok ne hissedersiniz — kaygı mı, mesafe mi, yoksa güvenli zemin mi?&amp;&amp;</x:v>
      </x:c>
      <x:c r="K564" s="37" t="str"/>
      <x:c r="L564" s="37" t="str"/>
      <x:c r="M564" s="37" t="str"/>
      <x:c r="N564" s="37" t="str"/>
      <x:c r="O564" s="37" t="str"/>
    </x:row>
    <x:row r="565" ht="20" customHeight="1">
      <x:c r="A565" s="33" t="n">
        <x:v>1622</x:v>
      </x:c>
      <x:c r="B565" s="34" t="str">
        <x:v>1</x:v>
      </x:c>
      <x:c r="C565" s="34" t="str">
        <x:v>İletişim</x:v>
      </x:c>
      <x:c r="D565" s="34" t="str">
        <x:v>İlişkiler</x:v>
      </x:c>
      <x:c r="E565" s="34" t="str">
        <x:v>Bağlanma Teorisi</x:v>
      </x:c>
      <x:c r="F565" s="34" t="str">
        <x:v>Amir Levine</x:v>
      </x:c>
      <x:c r="G565" s="34" t="str">
        <x:v>2010</x:v>
      </x:c>
      <x:c r="H565" s="37" t="str">
        <x:v>Kaçıngan paradoksu — yakınlık isteyen ama uzaklaşan</x:v>
      </x:c>
      <x:c r="I565" s="37" t="str">
        <x:v>Levine, kaçıngan bağlanma stilindeki kişilerin aslında yakınlık istediklerini ama yakınlık arttıkça otomatik olarak mesafe koyma mekanizmalarını devreye girdiklerini ve bu paradoksun hem kendileri hem partnerleri için nasıl anlaşılması güç bir döngü yarattığını anlatıyor.</x:v>
      </x:c>
      <x:c r="J565" s="37" t="str">
        <x:v>Amir Levine bir örüntüyü aktarıyor.
İlk buluşmalar mükemmel. Kimya var. Bağlantı hissediliyor.
Sonra birkaç hafta geçiyor. Partner daha yakın olmaya çalışıyor. Ve bir şey değişiyor.
Kaçıngan bağlanan kişi aniden fark etmeye başlıyor. Partnerinin sesi biraz rahatsız edici. Alışkanlıkları biraz kötü. Aslında o kadar da uyumlu değiller.
«Sanki düşmeye başladıkça koşuyorum» diyor kaçınganlığın farkına varan biri.
##Levine şunu söylüyor: Kaçıngan bağlanan kişiler yakınlık istiyor — ama yakınlık tehdidini hissettiklerinde otomatik bir uzaklaşma mekanizması devreye giriyor. Beyin bir aktivasyona giriyor: 'Çok yakın, tehlikeli, çek.' Bu bilinçli değil — refleks.##
Bu kaçıngan kişi için de acı verici. Hem yakın olmak istiyor hem içten uzaklaşmak zorunda hissediyor.
Partneri için de kafa karıştırıcı. İyi anlar var, sonra buz gibi. Nedenini anlamıyor.
Levine şöyle diyor: Kaçıngan stilini tanımak — «bu ben değilim, bu benim aktivasyon sistemim» demek — değişimin ilk adımı.
$$Kaçınmak korunmak için öğrenilmiş bir reflekstir — onu tanımak onu seçmemek için alan açar.$$
&amp;&amp;İlişkide yakınlık arttıkça uzaklaşma ya da hata arama dürtüsü hissettiniz mi hiç? Bu dürtünün arkasında ne olabilir?&amp;&amp;</x:v>
      </x:c>
      <x:c r="K565" s="37" t="str"/>
      <x:c r="L565" s="37" t="str"/>
      <x:c r="M565" s="37" t="str"/>
      <x:c r="N565" s="37" t="str"/>
      <x:c r="O565" s="37" t="str"/>
    </x:row>
    <x:row r="566" ht="20" customHeight="1">
      <x:c r="A566" s="33" t="n">
        <x:v>1623</x:v>
      </x:c>
      <x:c r="B566" s="34" t="str">
        <x:v>1</x:v>
      </x:c>
      <x:c r="C566" s="34" t="str">
        <x:v>İletişim</x:v>
      </x:c>
      <x:c r="D566" s="34" t="str">
        <x:v>İlişkiler</x:v>
      </x:c>
      <x:c r="E566" s="34" t="str">
        <x:v>Bağlanma Teorisi</x:v>
      </x:c>
      <x:c r="F566" s="34" t="str">
        <x:v>Amir Levine</x:v>
      </x:c>
      <x:c r="G566" s="34" t="str">
        <x:v>2010</x:v>
      </x:c>
      <x:c r="H566" s="37" t="str">
        <x:v>Kaygılı-kaçıngan tuzağı — zıt stiller neden birbirini çeker</x:v>
      </x:c>
      <x:c r="I566" s="37" t="str">
        <x:v>Levine, kaygılı ve kaçıngan bağlananların neden birbirlerini inanılmaz derecede çekici bulduklarını, bu çekim ilişki başladıktan sonra nasıl tam tersine döndüğünü ve bu döngüden çıkmanın yollarını anlatıyor.</x:v>
      </x:c>
      <x:c r="J566" s="37" t="str">
        <x:v>Amir Levine ilginç bir örüntüyü aktarıyor.
Kaygılı bağlananlar en sık kimle ilişkiye giriyor?
Kaçınganlarla.
Ve kaçınganlar?
Kaygılılarla.
##Bu tesadüf değil. Levine bunu şöyle açıklıyor: Kaçıngan kişinin mesafesi, kaygılı için 'zor kazanılacak' hissini yaratıyor. Bu heyecan verici. Kaygılı kişinin yoğun ihtiyaçları ise kaçıngan için kontrollü yakınlık imkanı sunuyor — istediğinde yakın, istediğinde uzak.##
Ama ilişki derinleştikçe döngü başlıyor.
Kaygılı daha fazla yakınlık istiyor. Kaçıngan mesafe koyuyor. Kaygılı daha çok baskı yapıyor. Kaçıngan daha da uzaklaşıyor. İkisi de birbirini suçluyor. İkisi de acı çekiyor.
Levine şunu söylüyor: Suçlu yok. İki bağlanma sistemi birbirini tetikliyor. Ama bu mekanizmayı görmek her şeyi değiştiriyor.
Kaygılı kişi öğreniyor: «Baskı uzaklaştırıyor, geri çekilmek yaklaştırıyor.» Kaçıngan öğreniyor: «Partnerimin baskısı saldırı değil, bağ ihtiyacı.»
$$Zıt stiller birbirini çeker çünkü her biri diğerinin korkusunu onaylıyor — bu döngüyü görmek onu kırmayı mümkün kılar.$$
&amp;&amp;İlişkilerinizde tekrar eden bir çekim-itme örüntüsü var mı? Bunu bağlanma stilleri üzerinden okumak size ne söylüyor?&amp;&amp;</x:v>
      </x:c>
      <x:c r="K566" s="37" t="str"/>
      <x:c r="L566" s="37" t="str"/>
      <x:c r="M566" s="37" t="str"/>
      <x:c r="N566" s="37" t="str"/>
      <x:c r="O566" s="37" t="str"/>
    </x:row>
    <x:row r="567" ht="20" customHeight="1">
      <x:c r="A567" s="33" t="n">
        <x:v>1624</x:v>
      </x:c>
      <x:c r="B567" s="34" t="str">
        <x:v>1</x:v>
      </x:c>
      <x:c r="C567" s="34" t="str">
        <x:v>Psikoloji</x:v>
      </x:c>
      <x:c r="D567" s="34" t="str">
        <x:v>Psikoloji</x:v>
      </x:c>
      <x:c r="E567" s="34" t="str">
        <x:v>Duygusal Olgunlaşmamış Ebeveynler</x:v>
      </x:c>
      <x:c r="F567" s="34" t="str">
        <x:v>Lindsay Gibson</x:v>
      </x:c>
      <x:c r="G567" s="34" t="str">
        <x:v>2015</x:v>
      </x:c>
      <x:c r="H567" s="37" t="str">
        <x:v>Duygusal olgunlaşmamış ebeveyn — sevgi var ama bağ yok</x:v>
      </x:c>
      <x:c r="I567" s="37" t="str">
        <x:v>Gibson, duygusal olgunlaşmamış ebeveynlerin çocuklarını sevdiklerini ama duygusal olarak erişilebilir olmadıklarını ve bu 'sevgi var ama bağlantı yok' dinamiğinin çocuklar üzerinde nasıl derin ve sessiz izler bıraktığını anlatıyor.</x:v>
      </x:c>
      <x:c r="J567" s="37" t="str">
        <x:v>Lindsay Gibson bir hastasıyla konuşuyordu.
Kadın şöyle dedi: «Annem her şeyi yaptı. Yemek pişirdi, okula götürdü, hasta olduğumda baktı. Ama hep bir şeyler eksik hissettim. Tam olarak ne olduğunu anlatamıyorum."
Gibson anladı. Bu eksikliğin adı vardı.
##Duygusal erişilebilirlik. Anne oradaydı — ama duygusal olarak değil. Fiziksel bakımı vardı, duygusal aynalama yoktu. Çocuğun hisleri, heyecanları, korkuları karşılık bulmuyordu. Sanki camın arkasından bakılıyordu.##
Gibson şunu söylüyor: Duygusal olgunlaşmamış ebeveynler mutlaka kötü niyetli değil. Çoğu seviyor. Ama kendi duygusal gelişimleri tamamlanmamış. Başkalarının duygusal ihtiyaçlarını görmekte güçlük çekiyorlar.
Özelliklerini Gibson şöyle listeli yor: Empati kısıtlı. Kendi ihtiyaçları merkez. Eleştiri ya da hayal kırıklığıyla başa çıkmakta zorlanıyorlar. Çocuk onları yönetmeye, memnun etmeye, duygularını kontrol etmeye öğreniyor.
Ve bu çocuk yetişkin olduğunda: «Neden her ilişkide aynı örüntü?» «Neden ihtiyaçlarımı söylemek bu kadar zor?» «Neden kendimi hep yalnız hissediyorum, yanımda biri olsa bile?"
$$Fiziksel bakım sevgidir, ama duygusal erişilebilirlik olmadan çocuk için yeterli değildir.$$
&amp;&amp;Çocukluğunuzda duygularınız — sevinç, korku, üzüntü — gerçekten karşılık buldu mu? Bu soruyu düşünmek içinizde ne uyandırıyor?&amp;&amp;</x:v>
      </x:c>
      <x:c r="K567" s="37" t="str"/>
      <x:c r="L567" s="37" t="str"/>
      <x:c r="M567" s="37" t="str"/>
      <x:c r="N567" s="37" t="str"/>
      <x:c r="O567" s="37" t="str"/>
    </x:row>
    <x:row r="568" ht="20" customHeight="1">
      <x:c r="A568" s="33" t="n">
        <x:v>1625</x:v>
      </x:c>
      <x:c r="B568" s="34" t="str">
        <x:v>1</x:v>
      </x:c>
      <x:c r="C568" s="34" t="str">
        <x:v>Psikoloji</x:v>
      </x:c>
      <x:c r="D568" s="34" t="str">
        <x:v>Psikoloji</x:v>
      </x:c>
      <x:c r="E568" s="34" t="str">
        <x:v>Duygusal Olgunlaşmamış Ebeveynler</x:v>
      </x:c>
      <x:c r="F568" s="34" t="str">
        <x:v>Lindsay Gibson</x:v>
      </x:c>
      <x:c r="G568" s="34" t="str">
        <x:v>2015</x:v>
      </x:c>
      <x:c r="H568" s="37" t="str">
        <x:v>Rolü tersine çevirmek — ebeveynin çocuğu olan çocuk</x:v>
      </x:c>
      <x:c r="I568" s="37" t="str">
        <x:v>Gibson, duygusal olgunlaşmamış ebeveynlerin çocuklarını nasıl farkında olmadan duygusal destek kaynağı olarak kullandığını — 'parentifikasyon' — ve bu rolün çocukta nasıl kronik bir sorumluluk, suçluluk ve kendi ihtiyaçlarını görmezden gelme kalıbı oluşturduğunu anlatıyor.</x:v>
      </x:c>
      <x:c r="J568" s="37" t="str">
        <x:v>Lindsay Gibson bir örüntüyü tanımlıyor.
Bazı çocuklar çok erken büyüyor. Sebebi yoksulluk ya da hastalık değil — ebeveynin duygusal ihtiyaçları.
Anne ya da baba üzgün olduğunda çocuk teselli ediyor. Endişeli olduğunda güvence veriyor. Kavga olduğunda arabuluculuk yapıyor. Ebeveyn hayal kırıklığı yaşadığında çocuk suçluluk hissediyor.
##Gibson buna 'parentifikasyon' diyor: Çocuk, ebeveynin duygusal bakıcısı rolüne sürükleniyor. Kendi çocukluğunu, kendi ihtiyaçlarını, kendi duygularını arka plana atıyor.##
Bu bilinçli değil. Ebeveyn «çocuğum bana baksın» demiyor. Ama duygusal sinyaller sürekli o yönde.
Ve çocuk öğreniyor: «Benim ihtiyaçlarım ikincil. Önce onların ihtiyaçları. Ben önemliyim yalnızca işe yaradığımda."
Yetişkinlikte bu kalıp devam ediyor: Herkesi memnun etme dürtüsü. Sınır koyamama. «Hayır» diyememek. Kendi ihtiyaçlarını fark etmekte güçlük. Ve kronik bir yorgunluk — çünkü hep başkasına enerji veriliyor.
Gibson şöyle diyor: Bu kişiler harika bakıcılar, harika çalışanlar, harika arkadaşlar. Ama kendilerine karşı çoğunlukla acımasız yabancılar.
$$Başkalarının ihtiyaçlarını erken öğrenen çocuk, kendi ihtiyaçlarını geç ya da hiç öğrenemiyor.$$
&amp;&amp;Hayatınızda kendi ihtiyaçlarınızdan çok başkalarının ihtiyaçlarına odaklandığınız örüntüler fark ediyor musunuz? Bu nereden geliyor olabilir?&amp;&amp;</x:v>
      </x:c>
      <x:c r="K568" s="37" t="str"/>
      <x:c r="L568" s="37" t="str"/>
      <x:c r="M568" s="37" t="str"/>
      <x:c r="N568" s="37" t="str"/>
      <x:c r="O568" s="37" t="str"/>
    </x:row>
    <x:row r="569" ht="20" customHeight="1">
      <x:c r="A569" s="33" t="n">
        <x:v>1626</x:v>
      </x:c>
      <x:c r="B569" s="34" t="str">
        <x:v>1</x:v>
      </x:c>
      <x:c r="C569" s="34" t="str">
        <x:v>Psikoloji</x:v>
      </x:c>
      <x:c r="D569" s="34" t="str">
        <x:v>Psikoloji</x:v>
      </x:c>
      <x:c r="E569" s="34" t="str">
        <x:v>Duygusal Olgunlaşmamış Ebeveynler</x:v>
      </x:c>
      <x:c r="F569" s="34" t="str">
        <x:v>Lindsay Gibson</x:v>
      </x:c>
      <x:c r="G569" s="34" t="str">
        <x:v>2015</x:v>
      </x:c>
      <x:c r="H569" s="37" t="str">
        <x:v>Yeniden ebeveynlik — kendini iyileştirmenin yolu</x:v>
      </x:c>
      <x:c r="I569" s="37" t="str">
        <x:v>Gibson, duygusal olgunlaşmamış ebeveynlerin çocukları olarak yetişen yetişkinlerin nasıl iyileşebileceğini — kendi iç çocuklarını fark etmeyi, sınır koymayı ve ebeveynlerini değiştirmeye çalışmak yerine kendilerini beslemeyi — anlatıyor.</x:v>
      </x:c>
      <x:c r="J569" s="37" t="str">
        <x:v>Lindsay Gibson şunu söylüyor.
Yetişkin çocukların sık düştüğü tuzak: Ebeveyni değiştirmeye çalışmak.
«Belki bu sefer anlayacak.» «Belki yeterince açıklarsam.» «Belki yeterince iyi olursam."
Yıllar geçiyor. Ebeveyn değişmiyor. Çocuk tükeniyor.
##Gibson şöyle diyor: Duygusal olarak olgunlaşmamış biri değişmez — en azından sizin çabanızla değil. Değişebilecek tek kişi sizsiniz. Ve bu kabul, ilk kurtuluş adımı.##
İyileşme birkaç katmanda oluyor:
Birincisi farkındalık: «Bu benim hatam değildi. O benim ihtiyaçlarımı karşılayacak kapasitede değildi.» Bu cümle suçluluk yükünü kaldırmaya başlıyor.
İkincisi sınır: Ebeveynle ilişkiyi kesmek değil — ama rol değiştirmek. «Ben artık senin duygusal bakıcın değilim."
Üçüncüsü yeniden ebeveynlik: Kendi iç çocuğuna — o erken büyümek zorunda kalan çocuğa — şimdi ne ihtiyacı olduğunu sormak. Ve onu beslemek. Oyun, merak, dinlenme, sınır.
Gibson şöyle bitirir: Sizi yetiştiren kişi sizi sevdi. Ama size ihtiyacınız olanı veremedi. Şimdi bunu kendinize verebilirsiniz.
$$İyileşme ebeveyni değiştirmekle değil, kendinizi yeniden ebeveynlemeyi öğrenmekle başlar.$$
&amp;&amp;Kendi iç çocuğunuza karşı nasıl bir ebeveyn oluyorsunuz — eleştirici mi, sevecen mi, görmezden gelen mi?&amp;&amp;</x:v>
      </x:c>
      <x:c r="K569" s="37" t="str"/>
      <x:c r="L569" s="37" t="str"/>
      <x:c r="M569" s="37" t="str"/>
      <x:c r="N569" s="37" t="str"/>
      <x:c r="O569" s="37" t="str"/>
    </x:row>
    <x:row r="570" ht="20" customHeight="1">
      <x:c r="A570" s="33" t="n">
        <x:v>1627</x:v>
      </x:c>
      <x:c r="B570" s="34" t="str">
        <x:v>1</x:v>
      </x:c>
      <x:c r="C570" s="34" t="str">
        <x:v>Psikoloji</x:v>
      </x:c>
      <x:c r="D570" s="34" t="str">
        <x:v>Psikoloji</x:v>
      </x:c>
      <x:c r="E570" s="34" t="str">
        <x:v>Travma ve İyileşme</x:v>
      </x:c>
      <x:c r="F570" s="34" t="str">
        <x:v>Judith Herman</x:v>
      </x:c>
      <x:c r="G570" s="34" t="str">
        <x:v>1992</x:v>
      </x:c>
      <x:c r="H570" s="37" t="str">
        <x:v>Travmanın dili — sözsüz yaranın kökeni</x:v>
      </x:c>
      <x:c r="I570" s="37" t="str">
        <x:v>Herman, travmanın neden doğrusal bir anlatı oluşturamadığını — travmatik anıların parçalı, duyusal ve kelimelerden yoksun olduğunu — ve bu parçalılığın iyileşme sürecinde neden anlatı yeniden inşasını zorunlu kıldığını anlatıyor.</x:v>
      </x:c>
      <x:c r="J570" s="37" t="str">
        <x:v>Judith Herman onlarca yıl travma mağdurlarıyla çalıştı.
Hastaların anlattıkları tutarsızdı. Parçalıydı. Bir şey söylüyorlar, sonra unututuyorlar. Beden tepkileri veriyordu ama kelimeler bulunmuyordu.
Bir savaş gazisi şöyle dedi: «Anlatabileceğim bir hikaye yok. Sadece sesler var, görüntüler var, beden var.»
##Herman şunu açıklıyor: Travmatik anılar normal anılar gibi kodlanmıyor. Normal anı sözel, zaman damgalı, bağlamsal. Travmatik anı duyusal, parçalı, zamansız. Beyin, aşırı stres altında anıyı 'normal şekilde işleyemiyor'.##
Bu yüzden travma mağdurları 'anlatamıyor'. Çünkü ortada doğrusal bir anlatı yok — parçalar var. Bir koku. Bir ses. Bir his. Zaman damgası olmadan. Sanki hâlâ o anda.
Ve bu parçalılık hem tanı hem iyileşme için kritik.
Herman şunu söylüyor: İyileşme anlatı inşasıyla başlıyor. Parçaları birleştirmek. Olana kelimeler bulmak. Bağlamına oturtmak. «Bu geçmişte oldu, şimdi burada değilim» hissini kazanmak.
Bu kolay değil. Ama mümkün. Ve çoğu zaman güvenli bir ilişkinin içinde mümkün.
$$Travma anlatılamaz değil — henüz birleştirilmemiş parçalardır. İyileşme bu parçalara dil vermekle başlar.$$
&amp;&amp;Geçmişten taşıdığınız ve henüz doğrusal bir hikayeye oturtamadığınız bir deneyim var mı? Bu deneyim bedende nerede yaşıyor?&amp;&amp;</x:v>
      </x:c>
      <x:c r="K570" s="37" t="str"/>
      <x:c r="L570" s="37" t="str"/>
      <x:c r="M570" s="37" t="str"/>
      <x:c r="N570" s="37" t="str"/>
      <x:c r="O570" s="37" t="str"/>
    </x:row>
    <x:row r="571" ht="20" customHeight="1">
      <x:c r="A571" s="33" t="n">
        <x:v>1628</x:v>
      </x:c>
      <x:c r="B571" s="34" t="str">
        <x:v>1</x:v>
      </x:c>
      <x:c r="C571" s="34" t="str">
        <x:v>Psikoloji</x:v>
      </x:c>
      <x:c r="D571" s="34" t="str">
        <x:v>Psikoloji</x:v>
      </x:c>
      <x:c r="E571" s="34" t="str">
        <x:v>Travma ve İyileşme</x:v>
      </x:c>
      <x:c r="F571" s="34" t="str">
        <x:v>Judith Herman</x:v>
      </x:c>
      <x:c r="G571" s="34" t="str">
        <x:v>1992</x:v>
      </x:c>
      <x:c r="H571" s="37" t="str">
        <x:v>Güç ve bağ — iyileşmenin iki ayağı</x:v>
      </x:c>
      <x:c r="I571" s="37" t="str">
        <x:v>Herman, travma iyileşmesinin iki temel dinamiğini — kişinin kendi güç ve kontrolünü yeniden kazanması ile güvenli bir bağ içinde tanıklık edilmesi — ve bu ikisinin neden birbirinin yerini almadığını, her ikisinin de zorunlu olduğunu anlatıyor.</x:v>
      </x:c>
      <x:c r="J571" s="37" t="str">
        <x:v>Judith Herman bir gözlem yapıyor.
Travma mağdurlarının iyileşmesine bakan iki farklı yaklaşım var.
Birincisi: Terapist ya da destek grubu merkez. İlişki, şefkat, kabul. «Sen yalnız değilsin, ben buradayım."
İkincisi: Bireyin gücü merkez. Yeniden kontrol. Seçimler yapabilmek. Kendi hayatına dönebilmek.
##Herman şunu söylüyor: Her ikisi de gerekli. Ve birbirini tamamlıyor. Güvenli bağ olmadan güç kazanmak zor — çünkü izolasyon travmanın kendisi. Ama bağ tek başına yetmez — çünkü iyileşme nihayetinde kişinin kendi gücünü yeniden bulmasıyla tamamlanıyor.##
Pratik anlamı şu: İyileşme süreci terapistin kurtarması değil. Terapist tanık. Mağdur ise kahraman.
Herman şöyle diyor: Travma gücü elinden alır. Kontrol edilemezlik, öngörülememezlik, kaçış yolunun kapanması. İyileşme bu gücü geri almak demek. Küçük seçimlerden başlayarak.
«Bugün ne yemek istiyorum?» Bu soru küçük görünür. Ama kontrol kaybetmiş biri için o soruyu sorabilmek dev bir adım.
$$Travma gücü alır — iyileşme onu geri kazanmaktır. Ve bu yolculuk güvenli bir bağ içinde mümkün olur.$$
&amp;&amp;Hayatınızda kontrol hissini yeniden kazandığınız küçük bir an hatırlıyor musunuz? O an neden önemliydi?&amp;&amp;</x:v>
      </x:c>
      <x:c r="K571" s="37" t="str"/>
      <x:c r="L571" s="37" t="str"/>
      <x:c r="M571" s="37" t="str"/>
      <x:c r="N571" s="37" t="str"/>
      <x:c r="O571" s="37" t="str"/>
    </x:row>
    <x:row r="572" ht="20" customHeight="1">
      <x:c r="A572" s="33" t="n">
        <x:v>1629</x:v>
      </x:c>
      <x:c r="B572" s="34" t="str">
        <x:v>1</x:v>
      </x:c>
      <x:c r="C572" s="34" t="str">
        <x:v>Psikoloji</x:v>
      </x:c>
      <x:c r="D572" s="34" t="str">
        <x:v>Psikoloji</x:v>
      </x:c>
      <x:c r="E572" s="34" t="str">
        <x:v>Travma ve İyileşme</x:v>
      </x:c>
      <x:c r="F572" s="34" t="str">
        <x:v>Judith Herman</x:v>
      </x:c>
      <x:c r="G572" s="34" t="str">
        <x:v>1992</x:v>
      </x:c>
      <x:c r="H572" s="37" t="str">
        <x:v>Toplumsal travma — sessizliğin suç ortaklığı</x:v>
      </x:c>
      <x:c r="I572" s="37" t="str">
        <x:v>Herman, bireysel travmanın her zaman toplumsal bir bağlamda yaşandığını ve toplumların travmayı görünmez kılma, mağduru suçlama ya da inkâr etme eğiliminin iyileşmeyi nasıl engellediğini ve tanıklığın neden bireysel olduğu kadar toplumsal da olması gerektiğini anlatıyor.</x:v>
      </x:c>
      <x:c r="J572" s="37" t="str">
        <x:v>Judith Herman tarihin tekerrür eden bir örüntüsünü aktarıyor.
Travma her keşfedildiğinde bir dirençle karşılaşıyor.
19. yüzyılda Charcot histerik kadın hastalarını inceledi — birçoğunun cinsel istismara maruz kaldığını gördü. Ama bu bulgu bastırıldı.
1. Dünya Savaşı'nda savaş nevrözleri ilk kez belgelendi. Sonra inkar edildi.
Vietnam gazileri PTSD semptomlarını tanımladığında yıllarca duyulmadılar.
##Herman şunu söylüyor: Travmayı görmek, yaşanan şeyin gerçekliğini kabul etmek zorunda kalmak demek. Ve bu kabul sorumluluğu da getiriyor. Toplumlar bundan kaçıyor. İnkar etmek ya da mağduru suçlamak daha kolay.##
Bu bireysel iyileşmeyi doğrudan etkiliyor. Mağdur toplumsal inkar içinde iyileşemiyor — çünkü «gerçekten yaşandı» onayı olmadan, yaşananı bütünleştirmek çok daha zor.
Herman şöyle diyor: İyileşme tanıklık gerektirir. Birinin — terapist, aile, toplum — «evet bu oldu, bu gerçekti, bu senin hatan değildi» demesi.
Ve bu tanıklık bireysel olduğu kadar kolektif de. Toplumların travmayı görmesi, adlandırması, kabul etmesi iyileşmenin bir parçası.
$$Tanıklık iyileşmenin temelidir — hem bireysel hem toplumsal olarak 'bu oldu ve gerçekti' demek mağduru yalnız bırakmaz.$$
&amp;&amp;Yaşadığınız ya da gözlemlediğiniz bir travmayı toplumun nasıl karşıladığını hatırlıyor musunuz — tanıdı mı, inkâr etti mi, suçladı mı?&amp;&amp;</x:v>
      </x:c>
      <x:c r="K572" s="37" t="str"/>
      <x:c r="L572" s="37" t="str"/>
      <x:c r="M572" s="37" t="str"/>
      <x:c r="N572" s="37" t="str"/>
      <x:c r="O572" s="37" t="str"/>
    </x:row>
    <x:row r="573" ht="20" customHeight="1">
      <x:c r="A573" s="33" t="n">
        <x:v>1630</x:v>
      </x:c>
      <x:c r="B573" s="34" t="str">
        <x:v>1</x:v>
      </x:c>
      <x:c r="C573" s="34" t="str">
        <x:v>Sağlık</x:v>
      </x:c>
      <x:c r="D573" s="34" t="str">
        <x:v>Sağlık</x:v>
      </x:c>
      <x:c r="E573" s="34" t="str">
        <x:v>Bedenin Hayır Demesi</x:v>
      </x:c>
      <x:c r="F573" s="34" t="str">
        <x:v>Gabor Maté</x:v>
      </x:c>
      <x:c r="G573" s="34" t="str">
        <x:v>2003</x:v>
      </x:c>
      <x:c r="H573" s="37" t="str">
        <x:v>Bastırılan duygu, beden dili — hastalık mesajın taşıyıcısı</x:v>
      </x:c>
      <x:c r="I573" s="37" t="str">
        <x:v>Maté, kronik hastalıkların — kanser, MS, ALS, romatoid artrit — sıklıkla duygusal bastırma, sınır koyamama ve kronik stresle bağlantılı olduğunu ve bedenin ifade edilemeyen şeyleri nasıl hastalık diliyle konuştuğunu anlatıyor.</x:v>
      </x:c>
      <x:c r="J573" s="37" t="str">
        <x:v>Gabor Maté hastaları hakkında şaşırtıcı bir örüntü fark etti.
Kronik hastalığı olan insanlarla uzun uzun konuşuyordu. Ve tekrar eden bir karakter profili vardı.
Hastalık öncesi hayat: Hep başkaları için. Hiç «hayır» diyemeyen. Öfkeyi yutan, sınırı olmayan, sürekli veren biri. «Herkes benim için gelir, ben kimse için gitmem» diyen biri.
##Maté bunu tesadüf olarak görmüyor. Bastırılan duygular — özellikle öfke — ve kronik «bakım verici» rolü, sinir sistemi üzerinde uzun vadeli stres yaratıyor. Bu kronik stres bağışıklık sistemini baskılıyor. Ve baskılanan bağışıklık sistem hastalığa kapı açıyor.##
Bu «hastalık senin hatan» demek değil. Maté bunu çok net söylüyor: Suçlamak değil, anlamak.
Ama bağlantı gerçek. Araştırmalar gösteriyor: Hayatında büyük kayıp ya da kronik stres yaşayan insanlarda immün fonksiyon değişiyor. Duygusal bastırma kanser progresyonuyla ilişkili. Sınır koyamayan kişilik profili otoimmün hastalıklarda çok sık görülüyor.
Maté şöyle diyor: Beden hayır diyemiyen kişi adına hayır diyor. Hastalık bir sınır. Bedenin koyduğu.
$$Beden söylenmek isteneni söylüyor — bastırılan duygu bulmadığı çıkışı hastalık olarak açıyor.$$
&amp;&amp;Hayatınızda «hayır» demekte zorlandığınız alanlarda bedeniniz size sinyal veriyor mu — kronik ağrı, yorgunluk, sık hastalanma?&amp;&amp;</x:v>
      </x:c>
      <x:c r="K573" s="37" t="str"/>
      <x:c r="L573" s="37" t="str"/>
      <x:c r="M573" s="37" t="str"/>
      <x:c r="N573" s="37" t="str"/>
      <x:c r="O573" s="37" t="str"/>
    </x:row>
    <x:row r="574" ht="20" customHeight="1">
      <x:c r="A574" s="33" t="n">
        <x:v>1631</x:v>
      </x:c>
      <x:c r="B574" s="34" t="str">
        <x:v>1</x:v>
      </x:c>
      <x:c r="C574" s="34" t="str">
        <x:v>Sağlık</x:v>
      </x:c>
      <x:c r="D574" s="34" t="str">
        <x:v>Sağlık</x:v>
      </x:c>
      <x:c r="E574" s="34" t="str">
        <x:v>Bedenin Hayır Demesi</x:v>
      </x:c>
      <x:c r="F574" s="34" t="str">
        <x:v>Gabor Maté</x:v>
      </x:c>
      <x:c r="G574" s="34" t="str">
        <x:v>2003</x:v>
      </x:c>
      <x:c r="H574" s="37" t="str">
        <x:v>Stres ve bağışıklık — neden duygular fizyoloji değiştirir</x:v>
      </x:c>
      <x:c r="I574" s="37" t="str">
        <x:v>Maté, psikoneuroimmünoloji araştırmalarını aktararak beyin, sinir sistemi ve bağışıklık sisteminin aynı biyokimyasal dili konuştuğunu ve uzun süreli duygusal stresin bağışıklık fonksiyonunu nasıl doğrudan ve ölçülebilir biçimde değiştirdiğini anlatıyor.</x:v>
      </x:c>
      <x:c r="J574" s="37" t="str">
        <x:v>Gabor Maté bir araştırmayı aktarıyor.
Psikolog Janice Kiecolt-Glaser çiftleri laboratuvara davet etti. Birbirleriyle tartışmalarını izledi. Kan örnekleri aldı.
##Yüksek düşmanlık ve olumsuzlukla geçen tartışmaların ardından bağışıklık belirteçleri — NK hücreler, interlökinler — ölçülebilir biçimde düşmüştü. Yalnızca birkaç saatlik duygusal stres, bağışıklık fonksiyonunu değiştirmişti.##
Maté bunu psikoneuroimmünoloji araştırmalarıyla bağlıyor. Bu alan şunu söylüyor: Beyin, sinir sistemi ve bağışıklık sistemi ayrı değil. Aynı biyokimyasal dili konuşuyorlar.
Beyindeki her duygu, her düşünce, her stres tepkisi — nöropeptidler ve sitokinler aracılığıyla bağışıklık sistemine ulaşıyor.
Uzun süreli duygusal stres şu anlama geliyor: Kortizol kronik olarak yüksek. Bağışıklık baskılanmış. İnflamasyon kronik olarak aktif.
Maté şöyle diyor: «Zihinsel» ve «fiziksel» hastalık ayrımı yapay. Beyin bir organ. Duygular biyokimyasal olaylar. Ve her ikisi de bedeni doğrudan etkiliyor.
Bu determinizm değil. Ama görmezden gelinecek bir bağlantı da değil.
$$Zihin ve beden ayrı değil — her duygu biyokimyasal bir olayı tetikler ve beden bunun faturasını öder.$$
&amp;&amp;Hayatınızın en stresli dönemlerinde bedeniniz nasıl tepki verdi? Bu bağlantıyı fark ettiniz mi o zaman?&amp;&amp;</x:v>
      </x:c>
      <x:c r="K574" s="37" t="str"/>
      <x:c r="L574" s="37" t="str"/>
      <x:c r="M574" s="37" t="str"/>
      <x:c r="N574" s="37" t="str"/>
      <x:c r="O574" s="37" t="str"/>
    </x:row>
    <x:row r="575" ht="20" customHeight="1">
      <x:c r="A575" s="33" t="n">
        <x:v>1632</x:v>
      </x:c>
      <x:c r="B575" s="34" t="str">
        <x:v>1</x:v>
      </x:c>
      <x:c r="C575" s="34" t="str">
        <x:v>Sağlık</x:v>
      </x:c>
      <x:c r="D575" s="34" t="str">
        <x:v>Sağlık</x:v>
      </x:c>
      <x:c r="E575" s="34" t="str">
        <x:v>Bedenin Hayır Demesi</x:v>
      </x:c>
      <x:c r="F575" s="34" t="str">
        <x:v>Gabor Maté</x:v>
      </x:c>
      <x:c r="G575" s="34" t="str">
        <x:v>2003</x:v>
      </x:c>
      <x:c r="H575" s="37" t="str">
        <x:v>Şefkatli sınır — iyileşmenin pratik kapısı</x:v>
      </x:c>
      <x:c r="I575" s="37" t="str">
        <x:v>Maté, hastalıkla yüzleşmenin ardından gelen en önemli sorunun 'neden hasta oldum' değil 'hayatımda ne değişmeli' olduğunu ve sınır koymayı, otantik duygulara alan açmayı ve 'hayır' demeyi öğrenmenin nasıl biyolojik iyileşmeyi desteklediğini anlatıyor.</x:v>
      </x:c>
      <x:c r="J575" s="37" t="str">
        <x:v>Gabor Maté bir hastasını anlatıyor.
Kadın MS tanısı aldıktan sonra onun kliniğine geldi. Yıllardır annesi, çocukları, eşi, işi için koşturmaktaydı. Hiç durmamıştı.
Maté ona bir soru sordu: «Ne zaman son kez gerçekten istediğin şeyi yaptın?"
Kadın duraksadı. Uzun süre düşündü. «Hatırlamıyorum» dedi.
##Maté şunu söylüyor: Hastalık bazen zorla gelen bir dur işareti. Ve 'neden hasta oldum' sorusundan daha önemli olan: 'Bu hastalık bana hayatımda ne değiştirmem gerektiğini söylüyor?'##
Bu suçlama değil — daveti görmek.
Pratik iyileşme şu soruları içeriyor: Hayatımda hangi ilişkiler beni tüketiyor? Nerede «hayır» demem gerekiyor ama demiyorum? Öfkemi, üzüntümü, korkumu nerede bastırıyorum? Kendi ihtiyaçlarıma ne kadar alan veriyorum?
Maté şöyle diyor: Beden bir mesaj gönderiyor. Mesajı okumak ilaçtan daha zor — ama çoğu zaman daha kalıcı.
Sınır koymak öğrenilebilir. «Hayır» demek öğrenilebilir. Duyguları hissetmek ve ifade etmek öğrenilebilir. Ve bu öğrenme sinir sistemini yeniden düzenliyor.
$$Hastalık bir düşman değil — bedenin duyulmak isteyen bir mesajı. Mesajı okumak iyileşmenin kapısıdır.$$
&amp;&amp;Şu an bedeniniz size ne söylüyor? Dinlemediğiniz hangi mesaj var?&amp;&amp;</x:v>
      </x:c>
      <x:c r="K575" s="37" t="str"/>
      <x:c r="L575" s="37" t="str"/>
      <x:c r="M575" s="37" t="str"/>
      <x:c r="N575" s="37" t="str"/>
      <x:c r="O575" s="37" t="str"/>
    </x:row>
    <x:row r="576" ht="20" customHeight="1">
      <x:c r="A576" s="33" t="n">
        <x:v>1633</x:v>
      </x:c>
      <x:c r="B576" s="34" t="str">
        <x:v>1</x:v>
      </x:c>
      <x:c r="C576" s="34" t="str">
        <x:v>Psikoloji</x:v>
      </x:c>
      <x:c r="D576" s="34" t="str">
        <x:v>Psikoloji</x:v>
      </x:c>
      <x:c r="E576" s="34" t="str">
        <x:v>Dağınık Beyin</x:v>
      </x:c>
      <x:c r="F576" s="34" t="str">
        <x:v>Gabor Maté</x:v>
      </x:c>
      <x:c r="G576" s="34" t="str">
        <x:v>1999</x:v>
      </x:c>
      <x:c r="H576" s="37" t="str">
        <x:v>DEHB bir bozukluk değil — uyumsuzluk</x:v>
      </x:c>
      <x:c r="I576" s="37" t="str">
        <x:v>Maté, DEHB'in genetik bir kusur ya da biyolojik bir arıza olmadığını, aksine hassas çocukların olumsuz erken çevre koşullarına verdiği nörobilimsel bir tepki olduğunu ve bu çerçevenin tanı ve tedaviye yaklaşımı nasıl kökten değiştirdiğini anlatıyor.</x:v>
      </x:c>
      <x:c r="J576" s="37" t="str">
        <x:v>Gabor Maté hem bir psikiyatrist hem de DEHB'li bir yetişkin.
Kendi tanısını aldığında 50'li yaşlarındaydı. Ve o an geriye baktığında her şey yerli yerine oturdu.
«Neden bu kadar dağınıktım? Neden başladığım şeyleri bitiremiyordum? Neden öfke patlamalarım vardı?»
##Maté şunu söylüyor: DEHB «dağınık beyin» değil — hassas beyin. Dikkat düzenlemesi genetikle değil, erken çevre koşullarıyla şekilleniyor. Kronik stres, duygusal ihmal, erken kaygı — bunlar beyin gelişimini doğrudan etkiliyor.##
Araştırmalar gösteriyor: DEHB'li çocukların büyük bölümünde erken dönem stres, travma ya da bakıcı tutarsızlığı var. Bu tesadüf değil — beyin strese adaptasyon yapıyor.
Maté'nin provokasyonu şu: Çocuğu ilaçlamadan önce şunu sormak lazım — bu çocuk hangi ortama adapte oluyor? Hangi strese yanıt olarak bu davranışı gösteriyor?
Bu ilaçlara karşı değil. Ama çevre değişmeden, ilişki değişmeden, travma ele alınmadan ilaç bir bant-aid. Semptomları bastırıyor, alttaki soruyu cevaplamıyor.
$$DEHB bozuk bir beyin değil — olumsuz koşullara adapte olmuş hassas bir beyin. Semptom cevap değil — soruyu sormak gerekiyor.$$
&amp;&amp;Dikkat ya da odaklanma güçlüğü yaşadığınızda, 'beynimde bir sorun var' mı düşünürsünüz, yoksa 'bu ortamda ne yaşıyorum' diye mi sorarsınız?&amp;&amp;</x:v>
      </x:c>
      <x:c r="K576" s="37" t="str"/>
      <x:c r="L576" s="37" t="str"/>
      <x:c r="M576" s="37" t="str"/>
      <x:c r="N576" s="37" t="str"/>
      <x:c r="O576" s="37" t="str"/>
    </x:row>
    <x:row r="577" ht="20" customHeight="1">
      <x:c r="A577" s="33" t="n">
        <x:v>1634</x:v>
      </x:c>
      <x:c r="B577" s="34" t="str">
        <x:v>1</x:v>
      </x:c>
      <x:c r="C577" s="34" t="str">
        <x:v>Psikoloji</x:v>
      </x:c>
      <x:c r="D577" s="34" t="str">
        <x:v>Psikoloji</x:v>
      </x:c>
      <x:c r="E577" s="34" t="str">
        <x:v>Dağınık Beyin</x:v>
      </x:c>
      <x:c r="F577" s="34" t="str">
        <x:v>Gabor Maté</x:v>
      </x:c>
      <x:c r="G577" s="34" t="str">
        <x:v>1999</x:v>
      </x:c>
      <x:c r="H577" s="37" t="str">
        <x:v>Dopamin ve anlam — DEHB beyninin gerçek ihtiyacı</x:v>
      </x:c>
      <x:c r="I577" s="37" t="str">
        <x:v>Maté, DEHB'li bireylerin dikkat düzenlemesinin aslında «ilgi» ile doğrudan bağlantılı olduğunu, gerçek anlam ve merak uyandıran konularda odağın olağanüstü güçlendiğini ve bu hiperfokus kapasitesinin DEHB'in bir güçlü yönü olduğunu anlatıyor.</x:v>
      </x:c>
      <x:c r="J577" s="37" t="str">
        <x:v>Gabor Maté bir paradoksu aktarıyor.
DEHB'li çocuk matematik dersinde dakikalar içinde dağılıyor. Öğretmen dikkatini çekemiyur. Kalem oynuyor, pencereden bakıyor, sandalyede kıvranıyor.
Aynı çocuk video oyununda beş saat kesilemeden oynuyor. Saatlerce lego yapıyor. Hob bisiyle ilgili okurken göz kırpmıyor.
##Maté şunu söylüyor: Bu dikkat bozukluğu değil — dikkat seçiciliği. DEHB beyni anlam hissettiği şeyde olağanüstü odaklanabiliyor. Buna 'hiperfokus' deniyor. Ama anlam hissetmediği şeyde sinir sistemi devre dışı kalıyor.##
Mekanizma dopaminle ilgili. DEHB beyninde dopamin sinyallemesi farklı çalışıyor. Anlam, merak, yenilik, aciliyet — bunlar dopamini ateşliyor. Rutin, tekrar, zorlama — ateşlemiyor.
Bu bilgi hem tanı hem tedavi için kritik.
Eğitimde: Nasıl konuyu daha anlamlı kılabilir iz? İşte: Bu kişinin güçlü olduğu alan ne? Dopamini ateşleyen ne?
Maté şöyle diyor: DEHB beyni ilaçla yavaşlatılabilir. Ama anlamla ateşlendiğinde, o beyin çoğu «normal» beyinden çok daha güçlü çalışıyor.
$$DEHB dikkat eksikliği değil, anlam arayışıdır — doğru bağlamda o beyin alışılmadık bir güç taşır.$$
&amp;&amp;Sizi gerçekten odaklayabilen — saatler geçse fark etmediğiniz — konular ya da aktiviteler neler? Bu odak size bir şey söylüyor mu?&amp;&amp;</x:v>
      </x:c>
      <x:c r="K577" s="37" t="str"/>
      <x:c r="L577" s="37" t="str"/>
      <x:c r="M577" s="37" t="str"/>
      <x:c r="N577" s="37" t="str"/>
      <x:c r="O577" s="37" t="str"/>
    </x:row>
    <x:row r="578" ht="20" customHeight="1">
      <x:c r="A578" s="33" t="n">
        <x:v>1635</x:v>
      </x:c>
      <x:c r="B578" s="34" t="str">
        <x:v>1</x:v>
      </x:c>
      <x:c r="C578" s="34" t="str">
        <x:v>Psikoloji</x:v>
      </x:c>
      <x:c r="D578" s="34" t="str">
        <x:v>Psikoloji</x:v>
      </x:c>
      <x:c r="E578" s="34" t="str">
        <x:v>Dağınık Beyin</x:v>
      </x:c>
      <x:c r="F578" s="34" t="str">
        <x:v>Gabor Maté</x:v>
      </x:c>
      <x:c r="G578" s="34" t="str">
        <x:v>1999</x:v>
      </x:c>
      <x:c r="H578" s="37" t="str">
        <x:v>Utanç sarmalı — DEHB ve kimlik yarası</x:v>
      </x:c>
      <x:c r="I578" s="37" t="str">
        <x:v>Maté, DEHB'li bireylerin hayatları boyunca aldıkları 'dağınık, tembel, umursamaz, potansiyelinin altında' mesajlarının nasıl derin bir utanç ve yetersizlik kimliği oluşturduğunu ve bu kimlik yarasının semptomlardan çok daha yıkıcı olabildiğini anlatıyor.</x:v>
      </x:c>
      <x:c r="J578" s="37" t="str">
        <x:v>Gabor Maté kendi hikayesini anlatıyor.
Okuldaki notlar: «Zekidir ama çalışmıyor.» «Kapasitesinin altında.» «Dağınık.» «Daha iyi yapabilir."
Evdeki mesajlar: «Neden bunu bitiremiyorsun?» «Dikkatini topla.» «Senden bu kadar çok şey beklenmez ki."
##Maté şunu söylüyor: DEHB'li çocuklar yıllar boyunca bu mesajları alıyor. Ve bir noktada bu mesajlar içselleşiyor. Artık dışarıdan gelmiyor — içten. 'Ben tembelim. Ben yetersizim. Ben bir türlü beceremiyorum.' Bu kimlik yarası, dikkat güçlüğünden çok daha yıkıcı oluyor.##
Yetişkinlikte bu şekilde görünüyor: Mükemmeliyetçilik ya da tam tersi — «neden deneyeyim ki, yine başaramayacağım.» Erteleme — çünkü başlamak reddedilme riskini başlatıyor. Aşırı başarı arayışı — değerini ispat etme çabası. Kronik eleştiriye aşırı duyarlılık.
Maté şöyle diyor: DEHB tedavisinin büyük bölümü semptom yönetimi değil — kimlik onarımı. «Ben kırık değilim. Farklı bir beynimle var oluyorum. Ve bu beynin kendi güçleri var."
$$DEHB semptomları yönetilebilir — ama asıl yara kimlikte. İyileşme 'benim sorunum yok' demek değil, 'ben kırık değilim' demektir.$$
&amp;&amp;Kendinizle ilgili taşıdığınız 'ben bir türlü beceremiyorum' türünden bir inanç var mı? O inanç nereden geliyor?&amp;&amp;</x:v>
      </x:c>
      <x:c r="K578" s="37" t="str"/>
      <x:c r="L578" s="37" t="str"/>
      <x:c r="M578" s="37" t="str"/>
      <x:c r="N578" s="37" t="str"/>
      <x:c r="O578" s="37" t="str"/>
    </x:row>
    <x:row r="579" ht="20" customHeight="1">
      <x:c r="A579" s="33" t="n">
        <x:v>1636</x:v>
      </x:c>
      <x:c r="B579" s="34" t="str">
        <x:v>1</x:v>
      </x:c>
      <x:c r="C579" s="34" t="str">
        <x:v>Finans</x:v>
      </x:c>
      <x:c r="D579" s="34" t="str">
        <x:v>Satış</x:v>
      </x:c>
      <x:c r="E579" s="34" t="str">
        <x:v>Her Şey Gerçek Olabilir</x:v>
      </x:c>
      <x:c r="F579" s="34" t="str">
        <x:v>Gabor Maté</x:v>
      </x:c>
      <x:c r="G579" s="34" t="str">
        <x:v>2008</x:v>
      </x:c>
      <x:c r="H579" s="37" t="str">
        <x:v>Bağımlılık bir seçim değil — acının dili</x:v>
      </x:c>
      <x:c r="I579" s="37" t="str">
        <x:v>Maté, on yıllarca Vancouver'ın en yoksul mahallesinde bağımlı hastalarla çalışarak bağımlılığın ahlaki bir zaaf ya da kötü bir seçim olmadığını, hepsinin ortak paydasının erken dönem travma, ihmal ve duygusal acı olduğunu keşfettiğini anlatıyor.</x:v>
      </x:c>
      <x:c r="J579" s="37" t="str">
        <x:v>Gabor Maté on yıl boyunca Vancouver'ın Downtown Eastside mahallesinde çalıştı.
Kanada'nın en yoksul mahallesi. Ağır uyuşturucu kullanımı. Sokak bağımlıları.
Herkese aynı soruyu sordu: «Uyuşturucu size ne veriyor?"
Cevaplar şaşırtıcı derecede tutarlıydı.
##«Acı hissetmiyorum.» «İlk kez rahatladım.» «Kendimi sevebiliyorum.» «Yalnız hissetmiyorum.» «O an için olsun, her şey yolunda hissediyorum."##
Maté şunu söylüyor: Bağımlılık uyuşturucuya değil — o uyuşturucunun verdiği şeye bağımlılık. Ağrı kesici. Teselli. Bağlantı hissi. Kendinle barış.
Ve o ihtiyaçların kaynağını araştırdığında hep aynı zemin: Erken dönem travma. İhmal. Duygusal yalnızlık. Şiddet.
Maté şöyle diyor: «Neden uyuşturucu kullanıyorsun» sorusu yanlış. Doğru soru: «Acını ne dindiriyordu ondan önce?" Ve: «O acı nereden geliyor?"
Bağımlılığı suçlamak ve cezalandırmak tedavi etmiyor — çünkü suçlama acıya acı ekliyor. Merhamet ise tedavinin kapısını açıyor.
$$Bağımlılık ahlaki çöküş değil — bastırılmış acının anlık çözümü. Acıyı görmeden bağımlılığı görmek mümkün değildir.$$
&amp;&amp;Kendi hayatınızda 'acıdan kaçmak için kullandığınız' bir mekanizma — yemek, ekran, çalışma, alışveriş — fark ediyor musunuz?&amp;&amp;</x:v>
      </x:c>
      <x:c r="K579" s="37" t="str"/>
      <x:c r="L579" s="37" t="str"/>
      <x:c r="M579" s="37" t="str"/>
      <x:c r="N579" s="37" t="str"/>
      <x:c r="O579" s="37" t="str"/>
    </x:row>
    <x:row r="580" ht="20" customHeight="1">
      <x:c r="A580" s="33" t="n">
        <x:v>1637</x:v>
      </x:c>
      <x:c r="B580" s="34" t="str">
        <x:v>1</x:v>
      </x:c>
      <x:c r="C580" s="34" t="str">
        <x:v>Finans</x:v>
      </x:c>
      <x:c r="D580" s="34" t="str">
        <x:v>Satış</x:v>
      </x:c>
      <x:c r="E580" s="34" t="str">
        <x:v>Her Şey Gerçek Olabilir</x:v>
      </x:c>
      <x:c r="F580" s="34" t="str">
        <x:v>Gabor Maté</x:v>
      </x:c>
      <x:c r="G580" s="34" t="str">
        <x:v>2008</x:v>
      </x:c>
      <x:c r="H580" s="37" t="str">
        <x:v>Toksik toplum — bağımlılığı besleyen sistem</x:v>
      </x:c>
      <x:c r="I580" s="37" t="str">
        <x:v>Maté, bağımlılığın bireysel bir başarısızlık olmadığını, tükenmişlik, kopukluk ve anlamsızlık üreten modern toplumun kendisinin bağımlılığı sistematik biçimde beslediğini ve bu çerçevenin ceza yerine şefkate dayalı bir sağlık politikasını nasıl zorunlu kıldığını anlatıyor.</x:v>
      </x:c>
      <x:c r="J580" s="37" t="str">
        <x:v>Gabor Maté Vietnam Savaşı'ndan dönen askerler hakkında bir araştırmayı aktarıyor.
Savaş döneminde Amerikan askerlerinin yüzde yirmisi eroin kullanıyordu. ABD hükümeti paniklemişti: Milyonlarca bağımlı geri dönecekti.
Olmadı.
Geri dönen askerlerin yüzde doksan beşi bağımlılık geliştirmeden devam etti. Aynı madde, dramatik olarak farklı sonuç.
##Maté bunu şöyle açıklıyor: Savaş ortamında — aşırı stres, kopukluk, anlamsızlık, travma — uyuşturucu inanılmaz bir işlev görüyordu. Geri döndüklerinde, aile bağları, anlam, topluluk ve destek varken, o işleve ihtiyaç azaldı.##
Bu bağımlılığın büyük sorusunu cevaplıyor: Madde mi bağımlılık yapar, ortam mı?
Maté modern toplumu eleştiriyor: Kopukluk, yalnızlık, anlamsızlık, kronik stres, rekabetçilik — bunlar bağımlılığın toprağı. Bireysel zayıflık değil, toplumsal koşullar.
Sonuç olarak şunu söylüyor: Bağımlılıkla savaş politikaları işe yaramıyor — çünkü sorunu yanlış tanımlıyor. Ceza vermek acıyı artırıyor. Tedavi, şefkat ve bağlantı fırsatları ise gerçek iyileşmeyi başlatıyor.
$$Bağımlılık bireyin başarısızlığı değil — bağlantısızlık, anlamsızlık ve acının toplumsal ürünüdür.$$
&amp;&amp;Günlük hayatınızda ne kadar derin bağlantı ve anlam hissediyorsunuz? Bu hissin azaldığı dönemlerde neye yöneliyorsunuz?&amp;&amp;</x:v>
      </x:c>
      <x:c r="K580" s="37" t="str"/>
      <x:c r="L580" s="37" t="str"/>
      <x:c r="M580" s="37" t="str"/>
      <x:c r="N580" s="37" t="str"/>
      <x:c r="O580" s="37" t="str"/>
    </x:row>
    <x:row r="581" ht="20" customHeight="1">
      <x:c r="A581" s="33" t="n">
        <x:v>1638</x:v>
      </x:c>
      <x:c r="B581" s="34" t="str">
        <x:v>1</x:v>
      </x:c>
      <x:c r="C581" s="34" t="str">
        <x:v>Finans</x:v>
      </x:c>
      <x:c r="D581" s="34" t="str">
        <x:v>Satış</x:v>
      </x:c>
      <x:c r="E581" s="34" t="str">
        <x:v>Her Şey Gerçek Olabilir</x:v>
      </x:c>
      <x:c r="F581" s="34" t="str">
        <x:v>Gabor Maté</x:v>
      </x:c>
      <x:c r="G581" s="34" t="str">
        <x:v>2008</x:v>
      </x:c>
      <x:c r="H581" s="37" t="str">
        <x:v>Şefkatin nörobilimi — bağlantı bağımlılığın panzehiri</x:v>
      </x:c>
      <x:c r="I581" s="37" t="str">
        <x:v>Maté, laboratuvar farelerinden başlayıp insan klinik çalışmalarına uzanan araştırmalarla sosyal bağlantı ve şefkatin bağımlılık davranışını nasıl azalttığını ve 'bağımlılığın panzehiri yıllık değil bağlantıdır' tezini destekleyen kanıtları aktarıyor.</x:v>
      </x:c>
      <x:c r="J581" s="37" t="str">
        <x:v>Gabor Maté «Rat Park» deneyini anlatıyor.
Psikolog Bruce Alexander iki deney düzeneği kurdu.
Birinci düzenek: Yalnız fare, küçük kafes, morfin-su ve normal su. Fare hemen morfini seçiyor ve öldüresiye içiyor.
İkinci düzenek: Geniş alan, fareler birlikte, tünel, oyun alanı, eş cinsi. Morfin-su yine var. Ama fareler onu nadiren seçiyor.
##Alexander şunu söyledi: Bağımlılık maddeye değil koşullara yanıt. Sosyal bağlantı, anlam ve özgürlük olduğunda fareler uyuşturucuya yönelmiyor. Bu insan için de geçerli.##
Maté bunu klinik gözlemleriyle doğruluyor. Hastalarının bağımlılığını gerçekten kıran şeyler hep aynı: Gerçek bir bağlantı. Yargılanmadan kabul görmek. Anlam bulmak. Bir topluluğa ait hissetmek.
Ve nörobilim bu süreci açıklıyor: Sosyal bağlantı ve şefkat oksitosini artırıyor. Oksitosin dopamin sistemini düzenliyor. Bağımlılık davranışı azalıyor.
Maté şöyle bitirir: «Bağımlılığın panzehiri yıllık değil bağlantıdır.» Bu cümle hem klinik pratiği hem sağlık politikasını hem de bireysel yaklaşımı kökten değiştiriyor.
$$Bağımlılığın panzehiri irade gücü değil — gerçek bağlantı, şefkat ve aidiyet hissidir.$$
&amp;&amp;Hayatınızda gerçekten yargılanmadan kabul gördüğünüzü hissettiğiniz ilişkiler var mı? O bağlantının hayatınıza etkisi ne?&amp;&amp;</x:v>
      </x:c>
      <x:c r="K581" s="37" t="str"/>
      <x:c r="L581" s="37" t="str"/>
      <x:c r="M581" s="37" t="str"/>
      <x:c r="N581" s="37" t="str"/>
      <x:c r="O581" s="37" t="str"/>
    </x:row>
    <x:row r="582" ht="20" customHeight="1">
      <x:c r="A582" s="33" t="n">
        <x:v>1639</x:v>
      </x:c>
      <x:c r="B582" s="34" t="str">
        <x:v>1</x:v>
      </x:c>
      <x:c r="C582" s="34" t="str">
        <x:v>Büyüme</x:v>
      </x:c>
      <x:c r="D582" s="34" t="str">
        <x:v>Kişisel Gelişim</x:v>
      </x:c>
      <x:c r="E582" s="34" t="str">
        <x:v>Özgür Olmak 2</x:v>
      </x:c>
      <x:c r="F582" s="34" t="str">
        <x:v>Brené Brown</x:v>
      </x:c>
      <x:c r="G582" s="34" t="str">
        <x:v>2010</x:v>
      </x:c>
      <x:c r="H582" s="37" t="str">
        <x:v>Yeterince iyi olmak — mükemmeliyetçiliğin gerçek bedeli</x:v>
      </x:c>
      <x:c r="I582" s="37" t="str">
        <x:v>Brown, mükemmeliyetçiliğin yüksek standart peşinde koşmak değil utanç ve yargılanma korkusundan beslenen bir kalkan olduğunu ve bu kalkanın tam olarak ulaşmaya çalıştığı şeyi — bağlantı ve kabul — nasıl engellediğini anlatıyor.</x:v>
      </x:c>
      <x:c r="J582" s="37" t="str">
        <x:v>Brené Brown araştırmasında insanlara sordu.
«Kendinizi yeterince iyi hissediyor musunuz?"
Çoğu insanın cevabı aynıydı: «Yeterince başarılı değilim. Yeterince ince değilim. Yeterince üretken değilim. Yeterince iyi bir ebeveyn değilim."
##Brown şunu keşfetti: Mükemmeliyetçilik yüksek standart değil — kalkan. Utanç korkusunu, yargılanmayı ve yetersizlik hissini engellemek için inşa edilen bir zırh. «Eğer mükemmel olursam, kimse beni eleştiremez.'##
Ama paradoks şu: Bu kalkan tam olarak istenen şeyi engelliyor.
Bağlantı kurmak için görülmek gerekiyor. Gerçek haliyle, eksiklikleriyle. Mükemmeliyetçi kalkan ise gerçek benliği gizliyor.
Brown şöyle diyor: Başkalarının «mükemmel» halini seviyor muyuz? Yoksa gerçek, kırılgan, «ben de böyle anlar yaşadım» halini mi?
Cevap her zaman ikincisi. Ama kendimize bunu göstermekten korkuyoruz.
Brown'ın tezi şu: Yeterlik «daha fazla başarmak» değil, «şu an olduğum haliyle yeterliyim» demek. Bu kabul, mükemmeliyetçi döngünün tek gerçek sonu.
$$Mükemmeliyetçilik yüksek standart değil — utanç korkusundan beslenen ve bağlantıyı engelleyen bir zırhtır.$$
&amp;&amp;«Yeterince iyi» hissedebilmek için neyin değişmesi gerektiğini düşünüyorsunuz? O koşul gerçekten gerekli mi?&amp;&amp;</x:v>
      </x:c>
      <x:c r="K582" s="37" t="str"/>
      <x:c r="L582" s="37" t="str"/>
      <x:c r="M582" s="37" t="str"/>
      <x:c r="N582" s="37" t="str"/>
      <x:c r="O582" s="37" t="str"/>
    </x:row>
    <x:row r="583" ht="20" customHeight="1">
      <x:c r="A583" s="33" t="n">
        <x:v>1640</x:v>
      </x:c>
      <x:c r="B583" s="34" t="str">
        <x:v>1</x:v>
      </x:c>
      <x:c r="C583" s="34" t="str">
        <x:v>Büyüme</x:v>
      </x:c>
      <x:c r="D583" s="34" t="str">
        <x:v>Kişisel Gelişim</x:v>
      </x:c>
      <x:c r="E583" s="34" t="str">
        <x:v>Özgür Olmak 2</x:v>
      </x:c>
      <x:c r="F583" s="34" t="str">
        <x:v>Brené Brown</x:v>
      </x:c>
      <x:c r="G583" s="34" t="str">
        <x:v>2010</x:v>
      </x:c>
      <x:c r="H583" s="37" t="str">
        <x:v>Utanç ve suçluluk — birbirinden çok farklı iki his</x:v>
      </x:c>
      <x:c r="I583" s="37" t="str">
        <x:v>Brown, utancın «ben kötüyüm» ve suçluluğun «kötü bir şey yaptım» arasındaki kritik farkı ve neden utancın değişimi engellerken suçluluğun değişimi mümkün kıldığını, araştırma verileriyle açıklıyor.</x:v>
      </x:c>
      <x:c r="J583" s="37" t="str">
        <x:v>Brené Brown onlarca yıl utanç araştırdı.
Ve insanların çoğunun iki duyguyu birbirine karıştırdığını fark etti.
Birisi şöyle dedi: «Çok utandım. Çocuğuma bağırdım. Korkunç bir anneydim."
Brown yavaşça ayırt etti:
«'Çocuğuma bağırmak kötüydü' — bu suçluluk. 'Ben korkunç bir anneyim' — bu utanç."
##Brown şunu söylüyor: Suçluluk davranışa yönelik. «Kötü bir şey yaptım.» Utanç ise kimliğe. «Ben kötüyüm.» Ve bu fark her şeyi değiştiriyor.##
Araştırmalar gösteriyor: Suçluluk değişime yol açıyor. «Kötü bir şey yaptım» diyebilen kişi özür dileyebiliyor, düzeltiyor, davranışını değiştiriyor.
Utanç ise değişimi engelliyor. «Ben kötüyüm» diyen kişi ya kaçıyor, ya küçülüyor, ya saldırıya geçiyor. Değişim değil savunma.
Brown şöyle diyor: Çocuklara «sen kötüsün» demek yerine «bu davranış kötüydü» demek küçük bir kelime farkı değil — kimlik ve değişim kapasitesi arasındaki fark.
Ve kendimize de aynı şefkati göstermek gerekiyor. «Ben başarısızım» değil, «bu seferlik başarısız oldum."
$$Utanç kimliği etiketler ve değişimi engeller — suçluluk davranışı etiketler ve büyümeyi mümkün kılar.$$
&amp;&amp;Hata yaptığınızda içinizdeki ses «kötü bir şey yaptım» mı diyor yoksa «ben kötüyüm» mi? Bu farkı fark etmek ne değiştirir?&amp;&amp;</x:v>
      </x:c>
      <x:c r="K583" s="37" t="str"/>
      <x:c r="L583" s="37" t="str"/>
      <x:c r="M583" s="37" t="str"/>
      <x:c r="N583" s="37" t="str"/>
      <x:c r="O583" s="37" t="str"/>
    </x:row>
    <x:row r="584" ht="20" customHeight="1">
      <x:c r="A584" s="33" t="n">
        <x:v>1641</x:v>
      </x:c>
      <x:c r="B584" s="34" t="str">
        <x:v>1</x:v>
      </x:c>
      <x:c r="C584" s="34" t="str">
        <x:v>Büyüme</x:v>
      </x:c>
      <x:c r="D584" s="34" t="str">
        <x:v>Kişisel Gelişim</x:v>
      </x:c>
      <x:c r="E584" s="34" t="str">
        <x:v>Özgür Olmak 2</x:v>
      </x:c>
      <x:c r="F584" s="34" t="str">
        <x:v>Brené Brown</x:v>
      </x:c>
      <x:c r="G584" s="34" t="str">
        <x:v>2010</x:v>
      </x:c>
      <x:c r="H584" s="37" t="str">
        <x:v>Minnettarlık ve neşe — en cesur duygular</x:v>
      </x:c>
      <x:c r="I584" s="37" t="str">
        <x:v>Brown, araştırmasında en neşeli insanların neşeyi kendiliğinden yaşamadığını, aksine aktif bir minnettarlık pratiğiyle neşeyi bilinçli olarak inşa ettiğini ve neşenin neden en kırılgan ve en cesaret isteyen duygulardan biri olduğunu anlatıyor.</x:v>
      </x:c>
      <x:c r="J584" s="37" t="str">
        <x:v>Brené Brown neşeyi araştırırken beklenmedik bir bulguya ulaştı.
En neşeli insanları tanımlamasını istedi. Sonra onlarla konuştu.
Beklenti şuydu: «Ben doğası gereği neşeli biriyim. Her şey çok güzel görünüyor."
Gerçek çok farklıydı.
##Bu insanlar neşeyi kendiliğinden yaşamıyordu. Aktif bir pratikle inşa ediyorlardı. Ve hepsinde ortak bir şey vardı: Minnettarlık pratiği.##
Brown ayrıca şaşırtıcı bir şey keşfetti: Neşe en kırılgan duygulardan biri. Çünkü neşe hissedildiğinde hemen bir kaygı geliyor: «Bunu kaybedersem ne olur?"
İyi bir an yaşanıyor — çocukla oynama, partnere bakma, güzel bir gün geçirme. Ve hemen bir düşünce: «Keşke hep böyle olsa. Ya bir şey olursa?"
Brown buna «neşeyi önden yas tutma» diyor. Kaybetmeden önce yası tutmak.
Ve en neşeli insanların yaptığı şey bu düşünceye kapılmak yerine durup demek: «Bu an burada. Minnettarım."
Minettarlık neşeyi geleceğe değil şu ana bağlıyor.
$$Neşe pasif bir duygu değil — minnettarlık pratiğiyle aktif olarak inşa edilen bir seçimdir.$$
&amp;&amp;Bu hafta içinde gerçekten «bu an için minnettarım» diyebildiğiniz kaç an vardı? Bu anları fark etmek için ne yapıyorsunuz?&amp;&amp;</x:v>
      </x:c>
      <x:c r="K584" s="37" t="str"/>
      <x:c r="L584" s="37" t="str"/>
      <x:c r="M584" s="37" t="str"/>
      <x:c r="N584" s="37" t="str"/>
      <x:c r="O584" s="37" t="str"/>
    </x:row>
    <x:row r="585" ht="20" customHeight="1">
      <x:c r="A585" s="33" t="n">
        <x:v>1642</x:v>
      </x:c>
      <x:c r="B585" s="34" t="str">
        <x:v>1</x:v>
      </x:c>
      <x:c r="C585" s="34" t="str">
        <x:v>Büyüme</x:v>
      </x:c>
      <x:c r="D585" s="34" t="str">
        <x:v>Dayanıklılık</x:v>
      </x:c>
      <x:c r="E585" s="34" t="str">
        <x:v>Güçlü Kalkmak</x:v>
      </x:c>
      <x:c r="F585" s="34" t="str">
        <x:v>Brené Brown</x:v>
      </x:c>
      <x:c r="G585" s="34" t="str">
        <x:v>2015</x:v>
      </x:c>
      <x:c r="H585" s="37" t="str">
        <x:v>Arenada olmak — düşme cesareti</x:v>
      </x:c>
      <x:c r="I585" s="37" t="str">
        <x:v>Brown, Roosevelt'in «Arenada Adam» konuşmasından yola çıkarak gerçek cesaretin eleştiriden uzak durmak değil, eleştiriye rağmen arenaya girmeye devam etmek olduğunu ve düşmenin arenada olmayan değil arenaya girme cesaretinin kanıtı olduğunu anlatıyor.</x:v>
      </x:c>
      <x:c r="J585" s="37" t="str">
        <x:v>Brené Brown Theodore Roosevelt'in 1910 yılındaki bir konuşmasını okudu.
Roosevelt şöyle diyordu: «Kredi; yüzü toza bulanmış, teri ve kanıyla kirlenmiş, cesurca çabalayan, yanılan, tekrar tekrar düşen, ama çabayı bilen adama aittir. En iyi ihtimalle büyük başarının zaferini tanır; en kötü ihtimalle ise yürekli cesaretle başarısızlığa uğrar. Ama yeri kesinlikle soğuk ve ürkek ruhların yanında değildir — ne zafer ne de yenilgi tanımayan bu ruhların."
##Brown bu pasajı hayatının pusulası haline getirdi. Ve şunu söylüyor: Arenaya girmek, görünmek, kırılgan olmak — bu cesaret. Tribünden eleştiri yapmak ise kolaydır.##
Araştırmasında en cesur insanlar aynı zamanda en çok düşenlerdi. En çok eleştiri alanlar en çok arenaya girenlerdi.
Brown şöyle soruyor: Sizi eleştiren kişi de arenada mı? Kendi işini ortaya koyuyor mu, kendi kırılganlığını gösteriyor mu?
Eğer değilse, o eleştiri için çok yer ayırmayın.
Ve şunu ekliyor: Düşmek başarısızlık değil — arenada olmanın kanıtı. Hiç düşmeyenler arenaya girmeyenlerdir.
$$Cesaret düşmemek değil — düşmeye rağmen arenaya girmeye devam etmektir.$$
&amp;&amp;Hayatınızda arenaya girmekten çekindiğiniz — görünmekten, denenip eleştirilmekten korktuğunuz — bir alan var mı?&amp;&amp;</x:v>
      </x:c>
      <x:c r="K585" s="37" t="str"/>
      <x:c r="L585" s="37" t="str"/>
      <x:c r="M585" s="37" t="str"/>
      <x:c r="N585" s="37" t="str"/>
      <x:c r="O585" s="37" t="str"/>
    </x:row>
    <x:row r="586" ht="20" customHeight="1">
      <x:c r="A586" s="33" t="n">
        <x:v>1643</x:v>
      </x:c>
      <x:c r="B586" s="34" t="str">
        <x:v>1</x:v>
      </x:c>
      <x:c r="C586" s="34" t="str">
        <x:v>Büyüme</x:v>
      </x:c>
      <x:c r="D586" s="34" t="str">
        <x:v>Dayanıklılık</x:v>
      </x:c>
      <x:c r="E586" s="34" t="str">
        <x:v>Güçlü Kalkmak</x:v>
      </x:c>
      <x:c r="F586" s="34" t="str">
        <x:v>Brené Brown</x:v>
      </x:c>
      <x:c r="G586" s="34" t="str">
        <x:v>2015</x:v>
      </x:c>
      <x:c r="H586" s="37" t="str">
        <x:v>Hikaye tamamlama — beyin boşluğu nasıl dolduruyor</x:v>
      </x:c>
      <x:c r="I586" s="37" t="str">
        <x:v>Brown, beynin belirsizlik karşısında otomatik olarak hikaye tamamladığını ve bu tamamlamanın çoğunlukla en kötü varsayımı seçtiğini; «hikayemi tanıyorum» farkındalığının nasıl bu otomatik süreci kırabileceğini anlatıyor.</x:v>
      </x:c>
      <x:c r="J586" s="37" t="str">
        <x:v>Brené Brown kocasına kızdığı bir anı anlatıyor.
Havuzda yüzüyordu. Yoruldu, durup kocasına baktı — yan şezlongtaydı ve gülümseyerek telefona bakıyordu.
Brown içinde bir şey hissetti. Kıskançlık mı? Terk edilmişlik mi?
Hikaye kurulmaya başladı: «O rahatça oturuyor, ben yoruyorum. Önem vermiyor. Hep ben daha çok çabalıyorum."
Eve döndüğünde suçlayıcı bir tavırla konuştu.
Kocası şaşırdı: «Eski arkadaşımdan komik bir mesaj gelmişti, paylaşmak istedim ama gittin."
##Brown şunu söylüyor: Beyin belirsizliği sevmiyor. Eksik veri olduğunda otomatik olarak hikaye tamamlıyor. Ve bu tamamlama çoğunlukla korku ve savunma mekanizmalarından beslendiği için en kötü senaryoyu seçiyor.##
Brown'ın pratik çözümü: «Hikayemi tanıyorum» demek. O anı fark etmek — «beynim şu an bir hikaye kuruyor ve bu hikaye gerçek olmayabilir."
Sonra soruyu sormak: «Sana ne oldu? Ben şunu düşündüm — doğru mu?"
Bu küçük duraklama onlarca gereksiz çatışmayı önleyebiliyor.
$$Beyin boşlukta hikaye üretir — ve çoğunlukla en kötüsünü. 'Hikayemi tanıyorum' farkındalığı bu otomatik pilotu durdurur.$$
&amp;&amp;Son bir tartışmada ya da hayal kırıklığında beyin tarafından otomatik üretilen bir hikaye var mıydı? O hikaye gerçek miydi?&amp;&amp;</x:v>
      </x:c>
      <x:c r="K586" s="37" t="str"/>
      <x:c r="L586" s="37" t="str"/>
      <x:c r="M586" s="37" t="str"/>
      <x:c r="N586" s="37" t="str"/>
      <x:c r="O586" s="37" t="str"/>
    </x:row>
    <x:row r="587" ht="20" customHeight="1">
      <x:c r="A587" s="33" t="n">
        <x:v>1644</x:v>
      </x:c>
      <x:c r="B587" s="34" t="str">
        <x:v>1</x:v>
      </x:c>
      <x:c r="C587" s="34" t="str">
        <x:v>Büyüme</x:v>
      </x:c>
      <x:c r="D587" s="34" t="str">
        <x:v>Dayanıklılık</x:v>
      </x:c>
      <x:c r="E587" s="34" t="str">
        <x:v>Güçlü Kalkmak</x:v>
      </x:c>
      <x:c r="F587" s="34" t="str">
        <x:v>Brené Brown</x:v>
      </x:c>
      <x:c r="G587" s="34" t="str">
        <x:v>2015</x:v>
      </x:c>
      <x:c r="H587" s="37" t="str">
        <x:v>Devrilme ve kalkış — iyileşmenin üç aşaması</x:v>
      </x:c>
      <x:c r="I587" s="37" t="str">
        <x:v>Brown, düştükten sonra güçlü kalkmanın tesadüfi olmadığını; yüzleşme, netleşme ve devrilme anını dönüştürmenin üç belirgin aşamadan geçtiğini ve bu sürecin bilinçli olarak uygulanabilecek bir beceri olduğunu anlatıyor.</x:v>
      </x:c>
      <x:c r="J587" s="37" t="str">
        <x:v>Brené Brown yüzlerce insanla devrilme ve kalkış hikayelerini araştırdı.
Ve güçlü kalkan insanların tesadüfen kalkmadığını fark etti. Bir süreçten geçiyorlardı.
##Brown üç aşama tanımlıyor:
Birinci aşama — Yüzleşme: Düştüğünü kabul etmek. «Ben şu an çamurda yatıyorum.» Ne hissedildiğini tanımak. Hisleri bastırmadan ya da çözmeye çalışmadan — sadece görmek.
İkinci aşama — Netleşme: Hikayeyi gözden geçirmek. «Gerçekte ne oldu? Hangi kısım gerçek, hangi kısım benim zihnimin ürettiği?» Kendi katkısını görmek — hem ne hissedildi hem nasıl tepki verildi.
Üçüncü aşama — Dönüştürme: Yeni hikayeyi yazmak. «Bu deneyimden ne öğrendim? Bu beni nasıl değiştirdi?"##
Brown şöyle diyor: Çoğu insan ya birinci aşamada takılıyor — hep kurban, hep acı — ya da ikinci aşamayı atlıyor — hızla üstüne geçiyor, «tamam oldu, devam."
Ama gerçek kalkış için üç aşamanın tamamından geçmek gerekiyor. Ve bu bir beceri — öğrenilebilir.
$$Güçlü kalkış tesadüf değil — yüzleşme, netleşme ve dönüştürme aşamalarından bilinçli geçişin sonucudur.$$
&amp;&amp;Son düştüğünüzde bu üç aşamadan geçebildiniz mi? Hangisinde takıldınız ya da atladınız?&amp;&amp;</x:v>
      </x:c>
      <x:c r="K587" s="37" t="str"/>
      <x:c r="L587" s="37" t="str"/>
      <x:c r="M587" s="37" t="str"/>
      <x:c r="N587" s="37" t="str"/>
      <x:c r="O587" s="37" t="str"/>
    </x:row>
    <x:row r="588" ht="20" customHeight="1">
      <x:c r="A588" s="33" t="n">
        <x:v>1645</x:v>
      </x:c>
      <x:c r="B588" s="34" t="str">
        <x:v>1</x:v>
      </x:c>
      <x:c r="C588" s="34" t="str">
        <x:v>Psikoloji</x:v>
      </x:c>
      <x:c r="D588" s="34" t="str">
        <x:v>Nörobilim</x:v>
      </x:c>
      <x:c r="E588" s="34" t="str">
        <x:v>Çölde Yürümek</x:v>
      </x:c>
      <x:c r="F588" s="34" t="str">
        <x:v>Brené Brown</x:v>
      </x:c>
      <x:c r="G588" s="34" t="str">
        <x:v>2017</x:v>
      </x:c>
      <x:c r="H588" s="37" t="str">
        <x:v>Gerçek aitlik — onay için değil özgünlük için</x:v>
      </x:c>
      <x:c r="I588" s="37" t="str">
        <x:v>Brown, aitliğin gruba uyum sağlamak değil tam olarak kendin olurken kabul görmek olduğunu ve bu iki şeyin çoğunlukla birbirinin tam tersi olduğunu, araştırmasından çıkan en çarpıcı bulgulardan biri olarak anlatıyor.</x:v>
      </x:c>
      <x:c r="J588" s="37" t="str">
        <x:v>Brené Brown uzun yıllar aitlik araştırdı.
Ve şaşırtıcı bir bulguya ulaştı.
İnsanların gruplarına uyduğunda — düşüncelerini gizlediğinde, gerçek hislerini sakladığında, «normal» görünmeye çalıştığında — gruba ait hissettiklerini sordu.
Cevap hayırdı.
##Brown şu tanımı geliştirdi: Gerçek aitlik, tam olarak kendin olduğunda kabul görmektir. Kendinizden vazgeçmeyi gerektiren bir yere ait olmak — aitlik değil, uyum. Ve uyum yalnızlığın en yalnız biçimi.##
Brown bunu kendi hayatından da anlatıyor. Yıllarca «herkesle geçinen» biri olmaya çalıştı. Gruptan gruba geçti, her yerde biraz farklı biri oldu.
Ve hiçbir yerde gerçekten ait hissetmedi.
Araştırmasındaki en ait hisseden insanlar ise paradoksal bir şeye sahipti: Yalnız kalmayı kabul etme kapasitesi. «Eğer gerçek beni gösterirsem ve reddedilirsem, bununla yaşayabilirim» diyebilme.
Brown şöyle diyor: Aitlik cesaret ister — görünme cesareti. Ve görünme olmadan gerçek aitlik mümkün değil.
$$Kabul için kendinizden vazgeçmek aitlik değil uyumdur — gerçek aitlik tam olarak kendinizken mümkündür.$$
&amp;&amp;Hayatınızda tam olarak kendiniz olduğunuzda kabul gördüğünüz bir yer ya da ilişki var mı? O hissi ne yaratıyor?&amp;&amp;</x:v>
      </x:c>
      <x:c r="K588" s="37" t="str"/>
      <x:c r="L588" s="37" t="str"/>
      <x:c r="M588" s="37" t="str"/>
      <x:c r="N588" s="37" t="str"/>
      <x:c r="O588" s="37" t="str"/>
    </x:row>
    <x:row r="589" ht="20" customHeight="1">
      <x:c r="A589" s="33" t="n">
        <x:v>1646</x:v>
      </x:c>
      <x:c r="B589" s="34" t="str">
        <x:v>1</x:v>
      </x:c>
      <x:c r="C589" s="34" t="str">
        <x:v>Psikoloji</x:v>
      </x:c>
      <x:c r="D589" s="34" t="str">
        <x:v>Nörobilim</x:v>
      </x:c>
      <x:c r="E589" s="34" t="str">
        <x:v>Çölde Yürümek</x:v>
      </x:c>
      <x:c r="F589" s="34" t="str">
        <x:v>Brené Brown</x:v>
      </x:c>
      <x:c r="G589" s="34" t="str">
        <x:v>2017</x:v>
      </x:c>
      <x:c r="H589" s="37" t="str">
        <x:v>Kutup yıldızı değerleri — kalabalığa rağmen yolunu bulmak</x:v>
      </x:c>
      <x:c r="I589" s="37" t="str">
        <x:v>Brown, toplumsal baskı ve uyum isteği en güçlü olduğu anlarda yönünü kaybetmemenin tek yolunun net tanımlanmış kişisel değerler olduğunu ve bu değerlerin nasıl soyut prensipler değil somut davranış kılavuzları haline getirileceğini anlatıyor.</x:v>
      </x:c>
      <x:c r="J589" s="37" t="str">
        <x:v>Brené Brown bir soruyu araştırdı.
«Çoğunluğa karşı durabilen insanların sırrı ne?"
Ve tutarlı bir cevap buldu: Net tanımlanmış değerler.
Ama dikkat çekici olan şu: Bu insanlar onlarca değer listelemiyor. İki ya da üç değer söylüyor. Ve bu değerler için somut, gözlemlenebilir davranışlar tanımlayabiliyorlar.
##Brown'ın araştırmasındaki en güçlü insanlar şöyle konuşuyordu: «Değerim cesaret. Benim için cesaret şu anlama geliyor: Korksam bile söylemem gereken şeyi söylemek. Bunu yapmadığımda kendimle tutarsızlık yaşıyorum."##
Soyut değer: Dürüstlük. Somut davranış: «Zor da olsa söylemem gereken şeyi söylerim."
Brown şunu söylüyor: Değerler poster üzerinde sözcükler olduğunda hiçbir şey ifade etmiyor. Ama «benim için bu değer şu davranış demek» netliğine ulaşınca kılavuz oluyor.
Ve o kılavuz kalabalığın sesinin en yüksek olduğu anda — kalabalığa uyma ya da kendin olma arasında seçim yaparken — pusulanız oluyor.
$$Değerler soyut kaldığında süs; somut davranışa dönüştüğünde ise kalabalığa rağmen yön veren pusulaya dönüşür.$$
&amp;&amp;Sizin için en önemli iki değer ne? Ve bu değerler hayatınızda somut olarak nasıl görünüyor — ne yapıyor, ne yapmıyorsunuz?&amp;&amp;</x:v>
      </x:c>
      <x:c r="K589" s="37" t="str"/>
      <x:c r="L589" s="37" t="str"/>
      <x:c r="M589" s="37" t="str"/>
      <x:c r="N589" s="37" t="str"/>
      <x:c r="O589" s="37" t="str"/>
    </x:row>
    <x:row r="590" ht="20" customHeight="1">
      <x:c r="A590" s="33" t="n">
        <x:v>1647</x:v>
      </x:c>
      <x:c r="B590" s="34" t="str">
        <x:v>1</x:v>
      </x:c>
      <x:c r="C590" s="34" t="str">
        <x:v>Psikoloji</x:v>
      </x:c>
      <x:c r="D590" s="34" t="str">
        <x:v>Nörobilim</x:v>
      </x:c>
      <x:c r="E590" s="34" t="str">
        <x:v>Çölde Yürümek</x:v>
      </x:c>
      <x:c r="F590" s="34" t="str">
        <x:v>Brené Brown</x:v>
      </x:c>
      <x:c r="G590" s="34" t="str">
        <x:v>2017</x:v>
      </x:c>
      <x:c r="H590" s="37" t="str">
        <x:v>Ortak ağrı — yalnızlığı aşmanın beklenmedik yolu</x:v>
      </x:c>
      <x:c r="I590" s="37" t="str">
        <x:v>Brown, paradoksal biçimde en derin bağlantının ortak neşede değil ortak acıda — paylaşılan kırılganlık ve acıyı tanıma anlarında — kurulduğunu ve bu paylaşımın toplumsal yalnızlık salgınının gerçek panzehiri olduğunu anlatıyor.</x:v>
      </x:c>
      <x:c r="J590" s="37" t="str">
        <x:v>Brené Brown 11 Eylül'den bir gün sonra bir süpermarkette alışveriş yapıyordu.
Herkes ağlıyordu. Herkes birbirine sarılıyordu. Yabancılar birbirine sarılıyordu.
Brown şunu fark etti: O gün insanlar birbirine hiç bu kadar yakın hissetmemişti. Ve bu yakınlık neşeden değil — ortak acıdan geliyordu.
##Brown şunu söylüyor: İnsan bağlantısı çoğunlukla ortak acıdan doğuyor. «Ben de bunu yaşadım» anı, «ben de böyle hissettim» tanıma anı — bunlar en derin bağ kurma anları.##
Ama modern kültür acıyı gizlemeyi öğretiyor. «Her şey yolunda» performansı. Sosyal medyada yalnızca iyi anlar. Kimseye yük olmama kaygısı.
Ve bu gizleme yalnızlığı derinleştiriyor. Çünkü herkes kendi acısını gizlerken, herkes diğerlerinin «sorunsuz» olduğunu düşünüyor. Ve kendi acısıyla daha yalnız hissediyor.
Brown'ın önerisi: Gerçeği paylaşmak. Mükemmel değil, gerçek. Yalnızca zaferleri değil, zorlanmaları da.
«Ben de bunu yaşıyorum» demek — bu cesaret. Ve bu cesaret başkasına «sen yalnız değilsin» demenin en güçlü yolu.
$$Ortak acı ortak neşeden daha güçlü bağlar kurar — gerçeği paylaşma cesareti yalnızlığın gerçek panzehiridir.$$
&amp;&amp;Zor bir anınızı paylaştığınızda ve karşınızdaki 'ben de' dediğinde ne hissettiniz? O an bağlantıyı nasıl değiştirdi?&amp;&amp;</x:v>
      </x:c>
      <x:c r="K590" s="37" t="str"/>
      <x:c r="L590" s="37" t="str"/>
      <x:c r="M590" s="37" t="str"/>
      <x:c r="N590" s="37" t="str"/>
      <x:c r="O590" s="37" t="str"/>
    </x:row>
    <x:row r="591" ht="20" customHeight="1">
      <x:c r="A591" s="33" t="n">
        <x:v>1648</x:v>
      </x:c>
      <x:c r="B591" s="34" t="str">
        <x:v>1</x:v>
      </x:c>
      <x:c r="C591" s="34" t="str">
        <x:v>Psikoloji</x:v>
      </x:c>
      <x:c r="D591" s="34" t="str">
        <x:v>Duygular</x:v>
      </x:c>
      <x:c r="E591" s="34" t="str">
        <x:v>Kalbin Haritası</x:v>
      </x:c>
      <x:c r="F591" s="34" t="str">
        <x:v>Brené Brown</x:v>
      </x:c>
      <x:c r="G591" s="34" t="str">
        <x:v>2021</x:v>
      </x:c>
      <x:c r="H591" s="37" t="str">
        <x:v>Duygu dili — adlandıramadığınızı yönetemezsiniz</x:v>
      </x:c>
      <x:c r="I591" s="37" t="str">
        <x:v>Brown, araştırmasında insanların büyük çoğunluğunun yaşadığı duyguları tanımlamak için yalnızca üç kelime kullandığını — mutlu, üzgün, kızgın — ve bu sınırlı duygu kelime dağarcığının hem kendini anlama hem de başkasıyla bağlantı kurma kapasitesini nasıl daralttığını anlatıyor.</x:v>
      </x:c>
      <x:c r="J591" s="37" t="str">
        <x:v>Brené Brown araştırmasında insanlara sordu.
«Hangi duyguları yaşadığınızı adlandırabilir misiniz?"
Bulgu şaşırtıcıydı.
##İnsanların yüzde ellisinden fazlası yaşadıkları duyguları tanımlamak için yalnızca üç kelime kullanıyordu: Mutlu, üzgün, kızgın. Duygu kelime dağarcığı bu kadar kısıtlı.##
Brown şunu söylüyor: Adlandıramadığınızı yönetemezsiniz. Hissettiğiniz şeyin adı olmadığında onu anlamlandırmak, başkasıyla paylaşmak ve ona uygun tepki vermek çok daha zor.
Örneğin: «Kızgın» hissediyorsunuz — ama bu gerçekten hayal kırıklığı mı, hor görülmüşlük mü, endişe mi, utanç mı? Her biri farklı bir ihtiyaca işaret ediyor ve farklı bir tepki gerektiriyor.
Brown bunun için 87 farklı duygu ve deneyimi haritaladı. Kitabın tamamı bu harita.
Amaç nörolog gibi duygu analiz etmek değil — daha geniş bir duygu dili geliştirmek. Çünkü kelime artınca anlayış artıyor. Anlayış artınca bağlantı kurmak mümkün hale geliyor.
$$Duygular adlandırıldığında anlaşılabilir, anlaşıldığında yönetilebilir hale gelir — duygu dili bilincin temelidir.$$
&amp;&amp;«Kızgın» yerine tam olarak ne hissediyorsunuz? Hayal kırıklığı mı, çaresizlik mi, hor görülmüşlük mü? Bu ayrımın ilişkilerinize etkisi ne olur?&amp;&amp;</x:v>
      </x:c>
      <x:c r="K591" s="37" t="str"/>
      <x:c r="L591" s="37" t="str"/>
      <x:c r="M591" s="37" t="str"/>
      <x:c r="N591" s="37" t="str"/>
      <x:c r="O591" s="37" t="str"/>
    </x:row>
    <x:row r="592" ht="20" customHeight="1">
      <x:c r="A592" s="33" t="n">
        <x:v>1649</x:v>
      </x:c>
      <x:c r="B592" s="34" t="str">
        <x:v>1</x:v>
      </x:c>
      <x:c r="C592" s="34" t="str">
        <x:v>Psikoloji</x:v>
      </x:c>
      <x:c r="D592" s="34" t="str">
        <x:v>Duygular</x:v>
      </x:c>
      <x:c r="E592" s="34" t="str">
        <x:v>Kalbin Haritası</x:v>
      </x:c>
      <x:c r="F592" s="34" t="str">
        <x:v>Brené Brown</x:v>
      </x:c>
      <x:c r="G592" s="34" t="str">
        <x:v>2021</x:v>
      </x:c>
      <x:c r="H592" s="37" t="str">
        <x:v>Kıskançlık ve haset — sık karıştırılan iki ayrı yara</x:v>
      </x:c>
      <x:c r="I592" s="37" t="str">
        <x:v>Brown, kıskançlık ve hasedi araştırarak bu iki duygunun köken ve işlev olarak nasıl birbirinden farklı olduğunu ve neden hasedi kabul etmenin utançtan korkan insanlar için bu kadar zor ama bu kadar önemli olduğunu anlatıyor.</x:v>
      </x:c>
      <x:c r="J592" s="37" t="str">
        <x:v>Brené Brown iki duyguyu araştırdı. Ve insanların hepsini karıştırdığını fark etti.
Kıskançlık: Üç kişi var. Siz, başkası ve o kişinin sizin istediğiniz şeyle ilişkisi. «Arkadaşım partnerimle çok iyi anlaşıyor, ben endişeleniyorum."
Haset: İki kişi var. Siz ve başkasının sahip olduğu şey. «Arkadaşım kariyer fırsatı aldı, ben de istiyordum."
##Brown şunu söylüyor: Haset kabul etmek çok zor — çünkü «ben de istiyorum» demek açgözlülük ya da kötülük gibi hissettiriyor. Ama haset aslında çok önemli bir bilgi: Size neyin önemli olduğunu gösteriyor.##
Birinin kitabı yayınlandı, içinizde bir şey sıkıştı. Bu haset mi? Belki. Ama bu haset şunu da söylüyor: «Yazmak önemli benim için. Ben de bir şeyler üretmek istiyorum."
Brown şöyle diyor: Hasedi «ben de istiyorum» olarak okuyun, «o neden o kadar şanslı» olarak değil. Birincisi sizi harekete geçirir, ikincisi sizi tüketir.
Ve kıskançlıkta üçüncü kişiyle konuşmak — «seninle geçirilen zamana ihtiyacım var» — ilişkiyi güçlendirir.
$$Haset utanılacak bir duygu değil — neyin önemli olduğunu gösteren bir işarettir. Onu okumak onu dönüştürür.$$
&amp;&amp;Son hissettiğiniz kıskançlık ya da haset duygusu size ne söylüyordu? Ardındaki gerçek ihtiyaç ya da istek neydi?&amp;&amp;</x:v>
      </x:c>
      <x:c r="K592" s="37" t="str"/>
      <x:c r="L592" s="37" t="str"/>
      <x:c r="M592" s="37" t="str"/>
      <x:c r="N592" s="37" t="str"/>
      <x:c r="O592" s="37" t="str"/>
    </x:row>
    <x:row r="593" ht="20" customHeight="1">
      <x:c r="A593" s="33" t="n">
        <x:v>1650</x:v>
      </x:c>
      <x:c r="B593" s="34" t="str">
        <x:v>1</x:v>
      </x:c>
      <x:c r="C593" s="34" t="str">
        <x:v>Psikoloji</x:v>
      </x:c>
      <x:c r="D593" s="34" t="str">
        <x:v>Duygular</x:v>
      </x:c>
      <x:c r="E593" s="34" t="str">
        <x:v>Kalbin Haritası</x:v>
      </x:c>
      <x:c r="F593" s="34" t="str">
        <x:v>Brené Brown</x:v>
      </x:c>
      <x:c r="G593" s="34" t="str">
        <x:v>2021</x:v>
      </x:c>
      <x:c r="H593" s="37" t="str">
        <x:v>Kin ve öfke — taşınan ağırlıkların farkı</x:v>
      </x:c>
      <x:c r="I593" s="37" t="str">
        <x:v>Brown, öfkenin bir bilgi taşıyan ve değişimi mümkün kılan canlı bir duygu olduğunu, kinin ise taşınan ve çürüten bir yük olduğunu ve bu iki duygunun nasıl birbirinden ayrıştırılacağını anlatıyor.</x:v>
      </x:c>
      <x:c r="J593" s="37" t="str">
        <x:v>Brené Brown öfke araştırmasında şaşırtıcı bir şey keşfetti.
İnsanlar öfkeden korktukları için onu bastırıyordu. Ve bastırılan öfke, kin olarak geri dönüyordu.
Brown şunu söylüyor: Öfke ve kin çok farklı duygular.
##Öfke canlıdır. Bir şeyin yanlış olduğunu söyleyen, sınırın çiğnendiğini haber veren, değişim isteyen bir sinyal. Öfke enerji taşır — harekete geçmek için.
Kin ise ölü bir duygudur. Bir şeyi tekrar tekrar zihinde canlandırmak, yaralanmayı tekrar yaşamak, intikam ya da özür hayal etmek. Kin enerji tüketir — sizi çürütür.##
Brown şöyle soruyor: «Bu öfke mi yoksa kin mi?" Eğer düşünce tekrar ediyorsa, geçmişe takılmışsa, o kişi ya da olay zihni meşgul ediyorsa — kin.
Ve kini çözmenin yolu o kişiyi affetmek değil — o yükü kendiniz için bırakmak. Taşımamak. «Bu artık benim enerjimi almayacak."
Brown şöyle diyor: Af karşı tarafı özgür kılmaz — sizi özgür kılar. Taşımayı bırakmak onları değil, sizi kurtarır.
$$Öfke bilgi taşır ve değişimi mümkün kılar — kin ise geçmişte tutarak sizi tüketir. İkisini ayırt etmek özgürleşmenin başlangıcıdır.$$
&amp;&amp;Şu an hayatınızda taşıdığınız bir kin var mı? O yükü bırakmak sizi ne özgür kılardı?&amp;&amp;</x:v>
      </x:c>
      <x:c r="K593" s="37" t="str"/>
      <x:c r="L593" s="37" t="str"/>
      <x:c r="M593" s="37" t="str"/>
      <x:c r="N593" s="37" t="str"/>
      <x:c r="O593" s="37" t="str"/>
    </x:row>
    <x:row r="594" ht="20" customHeight="1">
      <x:c r="A594" s="33" t="n">
        <x:v>1651</x:v>
      </x:c>
      <x:c r="B594" s="34" t="str">
        <x:v>1</x:v>
      </x:c>
      <x:c r="C594" s="34" t="str">
        <x:v>Psikoloji</x:v>
      </x:c>
      <x:c r="D594" s="34" t="str">
        <x:v>Psikoloji</x:v>
      </x:c>
      <x:c r="E594" s="34" t="str">
        <x:v>Akış Bulmak</x:v>
      </x:c>
      <x:c r="F594" s="34" t="str">
        <x:v>Mihaly Csikszentmihalyi</x:v>
      </x:c>
      <x:c r="G594" s="34" t="str">
        <x:v>1997</x:v>
      </x:c>
      <x:c r="H594" s="37" t="str">
        <x:v>Akış deneyimi — zamanın eridiği bilinç hali</x:v>
      </x:c>
      <x:c r="I594" s="37" t="str">
        <x:v>Csikszentmihalyi, yaşamın en tatmin edici anlarının ne rahatlık ne de heyecan değil — tam olarak zorluğun beceriyle buluştuğu «akış» halinde yaşandığını ve bu bilincin nasıl tanınıp kasıtlı olarak aranabileceğini anlatıyor.</x:v>
      </x:c>
      <x:c r="J594" s="37" t="str">
        <x:v>Mihaly Csikszentmihalyi bir soruyu araştırıyordu.
İnsanlar ne zaman en mutlu hissediyor?
Cevap beklediğinden farklı çıktı.
Dinlenirken değil. Tatilde değil. Hiçbir şey yaparken değil.
##En mutlu anlar tam konsantrasyon gerektiren, zorlayıcı ama becerileriyle uyumlu aktivite sırasında geçiyordu. Cerrah operasyonda. Müzisyen sahne üzerinde. Çocuk oyun oynarken. Satranç oyuncusu turnuvada.##
Csikszentmihalyi bu hale «akış» dedi. Zaman eriyor. Benlik kayboluyor. Aktivite ve kişi arasındaki sınır bulanıklaşıyor. Saf dikkat.
Ve bu hal güçlü bir formüle dayanıyor: Zorluk beceriyle buluştuğunda akış ortaya çıkıyor.
Zorluk düşük, beceri yüksek: Can sıkıntısı.
Zorluk yüksek, beceri düşük: Kaygı.
Zorluk ve beceri dengeli: Akış.
Bu formül her aktiviteye uygulanabilir. Çok kolay görevi zorlaştır. Çok zor görevi küçük adımlara böl. Denge kurulduğunda akış mümkün.
$$Akış ne rahatlık ne stres — zorlukla becerinin tam buluştuğu, zamanın eridiği bilinç halidir.$$
&amp;&amp;Son ne zaman zamanı unuttuğunuz bir aktiviteye daldınız? O aktivitede zorluk ve beceri dengesi nasıldı?&amp;&amp;</x:v>
      </x:c>
      <x:c r="K594" s="37" t="str"/>
      <x:c r="L594" s="37" t="str"/>
      <x:c r="M594" s="37" t="str"/>
      <x:c r="N594" s="37" t="str"/>
      <x:c r="O594" s="37" t="str"/>
    </x:row>
    <x:row r="595" ht="20" customHeight="1">
      <x:c r="A595" s="33" t="n">
        <x:v>1652</x:v>
      </x:c>
      <x:c r="B595" s="34" t="str">
        <x:v>1</x:v>
      </x:c>
      <x:c r="C595" s="34" t="str">
        <x:v>Psikoloji</x:v>
      </x:c>
      <x:c r="D595" s="34" t="str">
        <x:v>Psikoloji</x:v>
      </x:c>
      <x:c r="E595" s="34" t="str">
        <x:v>Akış Bulmak</x:v>
      </x:c>
      <x:c r="F595" s="34" t="str">
        <x:v>Mihaly Csikszentmihalyi</x:v>
      </x:c>
      <x:c r="G595" s="34" t="str">
        <x:v>1997</x:v>
      </x:c>
      <x:c r="H595" s="37" t="str">
        <x:v>Günlük hayatta akış — sıradan anların dönüşümü</x:v>
      </x:c>
      <x:c r="I595" s="37" t="str">
        <x:v>Csikszentmihalyi, akışın yalnızca müzisyen ya da sporcu gibi elit performanslarda değil, bulaşık yıkamaktan işe gitmek için yürümeye kadar her günlük aktivitede bilinçli bir dikkat dönüşümüyle nasıl yaratılabileceğini anlatıyor.</x:v>
      </x:c>
      <x:c r="J595" s="37" t="str">
        <x:v>Mihaly Csikszentmihalyi şaşırtıcı bir örnek veriyor.
Bir fabrika işçisiyle konuştu. Monoton, tekrar eden bir iş. Aynı hareket. Saatlerce.
Birçok işçi bu işi sıkıcı, anlamsız, tüketen buluyordu.
Ama bu işçi farklıydı. Kendine sürekli küçük hedefler koyuyordu. «Bu partiyı şu sürede bitirebilir miyim?» «Hatalar azaldı mı?» «Bu sabah dün sabahtan daha hızlı mıyım?"
##Csikszentmihalyi şunu söylüyor: O işçi aynı görevi akış aktivitesine çeviriyordu. Zorluk kendisi tarafından ayarlanıyordu. Geri bildirim anlık geliyordu. Konsantrasyon doğal oluşuyordu.##
Bu öğretilebilir bir beceri. Her aktiviteye şu sorularla bakılabilir:
«Bu aktivitede seviyemi zorlamak için ne ekleyebilirim?» «Anlık geri bildirim nasıl alırım?» «Kendimi tam buraya getirebilmek için ne yaparım?"
Csikszentmihalyi şöyle diyor: Akış aktiviteyle değil, aktiviteyle ilişkinizle belirleniyor. Aynı aktivite bir kişiye sıkıntı, diğerine akış. Fark dışarıda değil — içerideki dikkat kalitesinde.
$$Akış aktivitede değil ilişkide yaşanır — her sıradan an bilinçli dikkatle dönüşüm kapısına dönüşebilir.$$
&amp;&amp;Hayatınızdaki sıradan bir aktiviteyi — yürümek, yemek yapmak, bir görevi yapmak — akışa dönüştürmek için ne değiştirirdiniz?&amp;&amp;</x:v>
      </x:c>
      <x:c r="K595" s="37" t="str"/>
      <x:c r="L595" s="37" t="str"/>
      <x:c r="M595" s="37" t="str"/>
      <x:c r="N595" s="37" t="str"/>
      <x:c r="O595" s="37" t="str"/>
    </x:row>
    <x:row r="596" ht="20" customHeight="1">
      <x:c r="A596" s="33" t="n">
        <x:v>1653</x:v>
      </x:c>
      <x:c r="B596" s="34" t="str">
        <x:v>1</x:v>
      </x:c>
      <x:c r="C596" s="34" t="str">
        <x:v>Psikoloji</x:v>
      </x:c>
      <x:c r="D596" s="34" t="str">
        <x:v>Psikoloji</x:v>
      </x:c>
      <x:c r="E596" s="34" t="str">
        <x:v>Akış Bulmak</x:v>
      </x:c>
      <x:c r="F596" s="34" t="str">
        <x:v>Mihaly Csikszentmihalyi</x:v>
      </x:c>
      <x:c r="G596" s="34" t="str">
        <x:v>1997</x:v>
      </x:c>
      <x:c r="H596" s="37" t="str">
        <x:v>Yaşam kalitesi ve akış — mutluluğun yanlış aranması</x:v>
      </x:c>
      <x:c r="I596" s="37" t="str">
        <x:v>Csikszentmihalyi, insanların mutluluğu pasif tüketim ve rahatlıkta aradığını oysa araştırmaların mutluluğun tam tersini — aktif bağlılık, zorlayıcı aktivite ve anlam — gösterdiğini ve bu bulgunun hayat tasarımına nasıl yansıtılabileceğini anlatıyor.</x:v>
      </x:c>
      <x:c r="J596" s="37" t="str">
        <x:v>Mihaly Csikszentmihalyi araştırmasında insanlara günde birkaç kez anlık mesajlar gönderdi.
«Şu an ne yapıyorsunuz ve ne hissediyorsunuz?"
Bulgu paradoksal çıktı.
İnsanlar boş vakitlerinde — televizyon izlerken, passif dinlenirken — çalışırken ya da aktif uğraşırken olduklarından çok daha az mutlu ve odaklı hissediyorlardı.
##Csikszentmihalyi şunu söylüyor: Mutluluğu pasif tüketimde arıyoruz. Ama beyin pasif tüketimden tatmin olmak için evrimleşmedi. Beyin aktivite, zorluk, anlam için evrimleşti. Boş vakit verdiğinizde beyin çoğunlukla olumsuz düşüncelere kayıyor.##
Bu neden önemli?
Çünkü «daha fazla tatil, daha fazla dinlenme, daha az sorumluluk» mutluluk getirmiyor. En azından uzun vadede.
En mutlu insanlar hayatlarını akış yaratacak aktivitelerle şekillendiren insanlar. Anlamlı zorlukları olan insanlar. «Bu işi bitirebilir miyim?» sorusunu sorabilenler.
Csikszentmihalyi şöyle bitirir: Mutluluk bulunmaz — inşa edilir. Ve inşa malzemeleri zorluğu ve anlamı olan aktiviteler.
$$Mutluluk pasif tüketimde değil aktif bağlılıkta yaşanır — akış olmadan hayat kalitesi düşer, ne kadar rahatlık olsa da.$$
&amp;&amp;Hayatınızda gerçekten anlam ve zorluk hissettiğiniz aktiviteler yeterli mi? Pasif tüketim mi yoksa aktif bağlılık mı daha fazla yer kaplıyor?&amp;&amp;</x:v>
      </x:c>
      <x:c r="K596" s="37" t="str"/>
      <x:c r="L596" s="37" t="str"/>
      <x:c r="M596" s="37" t="str"/>
      <x:c r="N596" s="37" t="str"/>
      <x:c r="O596" s="37" t="str"/>
    </x:row>
    <x:row r="597" ht="20" customHeight="1">
      <x:c r="A597" s="33" t="n">
        <x:v>1654</x:v>
      </x:c>
      <x:c r="B597" s="34" t="str">
        <x:v>1</x:v>
      </x:c>
      <x:c r="C597" s="34" t="str">
        <x:v>Verimlilik</x:v>
      </x:c>
      <x:c r="D597" s="34" t="str">
        <x:v>Yaratıcılık</x:v>
      </x:c>
      <x:c r="E597" s="34" t="str">
        <x:v>Yaratıcılık ve Akış</x:v>
      </x:c>
      <x:c r="F597" s="34" t="str">
        <x:v>Mihaly Csikszentmihalyi</x:v>
      </x:c>
      <x:c r="G597" s="34" t="str">
        <x:v>1996</x:v>
      </x:c>
      <x:c r="H597" s="37" t="str">
        <x:v>Yaratıcı kişilik — paradoksların insanı</x:v>
      </x:c>
      <x:c r="I597" s="37" t="str">
        <x:v>Csikszentmihalyi, 91 yaratıcı dehayla yaptığı görüşmeler sonucunda yaratıcı kişiliğin tek bir karakter tipine değil birbiriyle çelişen özelliklerin aynı kişide barındırıldığı bir paradokslar bütününe işaret ettiğini anlatıyor.</x:v>
      </x:c>
      <x:c r="J597" s="37" t="str">
        <x:v>Mihaly Csikszentmihalyi 91 kişiyle görüştü.
Nobel ödüllüler. Sanatçılar. Mucitler. Yazarlar. Bilim insanları. Hepsinin ortak özelliği neydi?
Bir özellik değil. Paradokslar.
##Csikszentmihalyi şunu buldu: Yaratıcı insanlar birbirine zıt özellikleri aynı anda taşıyan insanlar. Enerjik ve dinlenmeye ihtiyaç duyan. Zeki ve saf. Oyuncu ve disiplinli. Hayal gücü geniş ve gerçekçi. İçe dönük ve dışa dönük. Mütevazı ve gururlu.##
Bu paradokslar çelişki değil — güç.
Yaratıcılık hem hayal gücü hem sıkı çalışma gerektiriyor. Hem kural dışı düşünmek hem teknik ustalaşmak. Hem derin odak hem geniş farkındalık.
Tek boyutlu biri bunları bir arada tutamıyor. Yaratıcı kişilik bu gerilimi yönetebilme kapasitesi.
Csikszentmihalyi şöyle diyor: «Yaratıcıyım» diyen ama bu paradokslardan kaçan biri muhtemelen gerçek yaratıcı değil. Gerçek yaratıcı kişiler zıtlıkları tolere etmekle kalmıyor — onlardan enerji alıyor.
$$Yaratıcılık tek bir karakter özelliği değil — çelişen güçlerin aynı kişide tutulmasının yarattığı gerilim enerjisidir.$$
&amp;&amp;Kendinizde birbiriyle çelişen hangi özellikler var? Bu zıtlıklar sizi zorlayan mı, yoksa güçlendiren mi?&amp;&amp;</x:v>
      </x:c>
      <x:c r="K597" s="37" t="str"/>
      <x:c r="L597" s="37" t="str"/>
      <x:c r="M597" s="37" t="str"/>
      <x:c r="N597" s="37" t="str"/>
      <x:c r="O597" s="37" t="str"/>
    </x:row>
    <x:row r="598" ht="20" customHeight="1">
      <x:c r="A598" s="33" t="n">
        <x:v>1655</x:v>
      </x:c>
      <x:c r="B598" s="34" t="str">
        <x:v>1</x:v>
      </x:c>
      <x:c r="C598" s="34" t="str">
        <x:v>Verimlilik</x:v>
      </x:c>
      <x:c r="D598" s="34" t="str">
        <x:v>Yaratıcılık</x:v>
      </x:c>
      <x:c r="E598" s="34" t="str">
        <x:v>Yaratıcılık ve Akış</x:v>
      </x:c>
      <x:c r="F598" s="34" t="str">
        <x:v>Mihaly Csikszentmihalyi</x:v>
      </x:c>
      <x:c r="G598" s="34" t="str">
        <x:v>1996</x:v>
      </x:c>
      <x:c r="H598" s="37" t="str">
        <x:v>Yaratıcı süreç — hazırlık, kuluçka ve aydınlanma</x:v>
      </x:c>
      <x:c r="I598" s="37" t="str">
        <x:v>Csikszentmihalyi, büyük yaratıcı fikirlerin anlık ilham değil bilinçli hazırlık, bilinçdışı işleme ve tetikleyici aydınlanma aşamalarından oluşan bir sürecin ürünü olduğunu ve bu sürecin nasıl kasıtlı olarak beslenebileceğini anlatıyor.</x:v>
      </x:c>
      <x:c r="J598" s="37" t="str">
        <x:v>Mihaly Csikszentmihalyi yüzlerce büyük keşfi inceledi.
Newton elma görüyor, yerçekimi geliyor. Arşimet banyoya giriyor, «Eureka!» Kekulé rüyasında benzeni görüyor.
Hepsi anlık ilham gibi görünüyor. Ama değil.
##Csikszentmihalyi yaratıcı süreci dört aşamada tanımlıyor:
Hazırlık: Yoğun çalışma, problem alanına derin dalmak. Yıllar sürebilir.
Kuluçka: Bilinçli düşünceden uzaklaşmak. Bilinçdışı işleme devreye giriyor.
Aydınlanma: «Eureka» anı. Ama bu rastlantı değil — önceki iki aşamanın meyvesi.
Doğrulama: Fikri test etmek, geliştirmek, uygulamak.##
Newton elma görmeden önce yıllarca yerçekimi üzerine çalışmıştı. Arşimet yıllarca yoğunluk problemini düşünüyordu. Kekulé benzeni anlıyordu.
Csikszentmihalyi şöyle diyor: Aydınlanmayı hızlandırmak için hazırlık ve kuluçka evrelerini kasıtlı yönetmek gerekiyor. Problemi derinlemesine öğren. Sonra bırak — yürü, uyu, farklı bir şey yap. Bilinçdışına çalışma zamanı ver.
$$Büyük fikirler anlık ilhamdan değil — derin hazırlık ve bilinçdışı kuluçkadan doğar. İlham hazırlığa verilmiş bir ödüldür.$$
&amp;&amp;Üzerinde çalıştığınız bir sorunu «bırakıp» bilinçdışına güvenmeyi denediniz mi? O aralıktan ne geldi?&amp;&amp;</x:v>
      </x:c>
      <x:c r="K598" s="37" t="str"/>
      <x:c r="L598" s="37" t="str"/>
      <x:c r="M598" s="37" t="str"/>
      <x:c r="N598" s="37" t="str"/>
      <x:c r="O598" s="37" t="str"/>
    </x:row>
    <x:row r="599" ht="20" customHeight="1">
      <x:c r="A599" s="33" t="n">
        <x:v>1656</x:v>
      </x:c>
      <x:c r="B599" s="34" t="str">
        <x:v>1</x:v>
      </x:c>
      <x:c r="C599" s="34" t="str">
        <x:v>Verimlilik</x:v>
      </x:c>
      <x:c r="D599" s="34" t="str">
        <x:v>Yaratıcılık</x:v>
      </x:c>
      <x:c r="E599" s="34" t="str">
        <x:v>Yaratıcılık ve Akış</x:v>
      </x:c>
      <x:c r="F599" s="34" t="str">
        <x:v>Mihaly Csikszentmihalyi</x:v>
      </x:c>
      <x:c r="G599" s="34" t="str">
        <x:v>1996</x:v>
      </x:c>
      <x:c r="H599" s="37" t="str">
        <x:v>Alanın kapıcıları — yaratıcılığın sosyal boyutu</x:v>
      </x:c>
      <x:c r="I599" s="37" t="str">
        <x:v>Csikszentmihalyi, bireysel yetenekten bağımsız olarak büyük yaratıcıların her zaman bir alan, bir topluluk ve o topluluğun kapıcıları tarafından tanınmayı gerektirdiğini ve bu gerçeğin 'yaratıcı deha' mitini nasıl dönüştürdüğünü anlatıyor.</x:v>
      </x:c>
      <x:c r="J599" s="37" t="str">
        <x:v>Mihaly Csikszentmihalyi provokatif bir soru soruyor.
«Ormanda dev bir ağaç devrildi ve kimse duymadı. Ses çıktı mı?"
Sonra bunu yaratıcılığa uyguluyor:
«Muhteşem bir fikir bulundu ama kimse bilmiyor. Bu yaratıcılık mı?"
##Csikszentmihalyi şunu söylüyor: Yaratıcılık bireysel değil sosyal bir fenomen. Üç bileşen gerekiyor: Birey — yeni fikri üreten. Alan — o konunun sembolik kuralları ve bilgisi. Topluluk — o alandaki uzmanlar, «kapıcılar."##
Bach müziğini besteledi. Ama döneminin müzisyenleri tarafından tanınmasaydı, eserler kaybolabilirdi. Van Gogh hayatında tanınmadı — sanat tarihine girmesi ölümünden sonra oldu.
Bu «kapıcı» kavramı kritik. Her alanda belirli kişiler ve kurumlar neyin değerli sayılacağına karar veriyor. Nobel komitesi. Yayınevleri. Galericiler. Akademik dergiler.
Csikszentmihalyi şöyle diyor: Yaratıcı olmak için hem bireysel yetenek hem alanı derinlemesine öğrenmek hem de o alana katkı yapmayı isteyen insanlara ulaşmak gerekiyor. Izolasyon yaratıcılığı öldürüyor.
$$Yaratıcılık izole dehanın değil — birey, alan ve topluluk üçgeninin ürünüdür.$$
&amp;&amp;Şu an ürettiğiniz şeyleri kiminle paylaşıyorsunuz? O alanın «kapıcılarına» ulaşıyor musunuz, yoksa izole mi çalışıyorsunuz?&amp;&amp;</x:v>
      </x:c>
      <x:c r="K599" s="37" t="str"/>
      <x:c r="L599" s="37" t="str"/>
      <x:c r="M599" s="37" t="str"/>
      <x:c r="N599" s="37" t="str"/>
      <x:c r="O599" s="37" t="str"/>
    </x:row>
    <x:row r="600" ht="20" customHeight="1">
      <x:c r="A600" s="33" t="n">
        <x:v>1657</x:v>
      </x:c>
      <x:c r="B600" s="34" t="str">
        <x:v>1</x:v>
      </x:c>
      <x:c r="C600" s="34" t="str">
        <x:v>Sağlık</x:v>
      </x:c>
      <x:c r="D600" s="34" t="str">
        <x:v>Sağlık</x:v>
      </x:c>
      <x:c r="E600" s="34" t="str">
        <x:v>İçgüdüsel Yeme</x:v>
      </x:c>
      <x:c r="F600" s="34" t="str">
        <x:v>Evelyn Tribole</x:v>
      </x:c>
      <x:c r="G600" s="34" t="str">
        <x:v>1995</x:v>
      </x:c>
      <x:c r="H600" s="37" t="str">
        <x:v>Diyet kültürünün reddi — besinleri ahlaki kategoriden çıkarmak</x:v>
      </x:c>
      <x:c r="I600" s="37" t="str">
        <x:v>Tribole ve Resch, 'iyi yemek' ve 'kötü yemek' kategorilendirmesinin nasıl utanç ve suç döngüsü yaratarak yeme davranışını bozduğunu ve bu ahlaki çerçevenin neden terk edilmesi gerektiğini anlatıyor.</x:v>
      </x:c>
      <x:c r="J600" s="37" t="str">
        <x:v>Evelyn Tribole ve Elyse Resch onlarca yıl kronik diyet yapanlarla çalıştı.
Tekrar eden bir örüntü vardı.
Birisi diyet başlatıyor. Birkaç hafta başarılı. Sonra bir «yasak» besin yiyor. «Çikolata yedim, bugünü mahvettim.» Ve kalan günü aşırı yiyerek «tamamlıyor".
##Tribole buna «ne olursa olsun» etkisi diyor. «Bugünü zaten mahvettim, ne olursa olsun» deyip devam etmek. Ve bu döngünün kökeninde bir şey var: Yiyeceklere ahlaki değer yüklemek. «İyi yemek», «kötü yemek», «günah yemek», «suç yemek."##
Tribole şunu söylüyor: Bir besin sizi ahlaki olarak «iyi» ya da «kötü» yapmıyor. Çikolata yemek suç değil. Salata yemek erdem değil.
Ama bu yargılar o kadar derin işlenmiş ki — diyet kültürü, reklam, sosyal medya — farkında olmadan her öğün bir ahlaki değerlendirmeye dönüşüyor.
Bu değerlendirme tam olarak kontrol kaybını besliyor. Çünkü «suçlu» hissi «zaten ne fark eder» düşüncesine, o da aşırı yemeye yol açıyor.
Tribole'nin ilk adımı: Besinleri ahlaki kategoriden çıkarmak. «Bu çikolata ne iyi ne kötü. Bir yiyecek."
$$Besinlere ahlaki değer yüklemek suç-özgürlük döngüsü yaratır — yiyecekleri nötralize etmek sağlıklı ilişkinin ilk adımıdır.$$
&amp;&amp;Kendinizde «bunu yesem suç işlemiş gibi hissederim» dediğiniz besinler var mı? O his nereden geliyor?&amp;&amp;</x:v>
      </x:c>
      <x:c r="K600" s="37" t="str"/>
      <x:c r="L600" s="37" t="str"/>
      <x:c r="M600" s="37" t="str"/>
      <x:c r="N600" s="37" t="str"/>
      <x:c r="O600" s="37" t="str"/>
    </x:row>
    <x:row r="601" ht="20" customHeight="1">
      <x:c r="A601" s="33" t="n">
        <x:v>1658</x:v>
      </x:c>
      <x:c r="B601" s="34" t="str">
        <x:v>1</x:v>
      </x:c>
      <x:c r="C601" s="34" t="str">
        <x:v>Sağlık</x:v>
      </x:c>
      <x:c r="D601" s="34" t="str">
        <x:v>Sağlık</x:v>
      </x:c>
      <x:c r="E601" s="34" t="str">
        <x:v>İçgüdüsel Yeme</x:v>
      </x:c>
      <x:c r="F601" s="34" t="str">
        <x:v>Evelyn Tribole</x:v>
      </x:c>
      <x:c r="G601" s="34" t="str">
        <x:v>1995</x:v>
      </x:c>
      <x:c r="H601" s="37" t="str">
        <x:v>Açlık ve tokluk — beden sinyallerine yeniden bağlanmak</x:v>
      </x:c>
      <x:c r="I601" s="37" t="str">
        <x:v>Tribole, kronik diyetin açlık ve tokluk sinyallerini nasıl bozduğunu ve içgüdüsel yemenin temel pratiği olan bu sinyallere yeniden kulak vermenin nasıl öğrenilebileceğini anlatıyor.</x:v>
      </x:c>
      <x:c r="J601" s="37" t="str">
        <x:v>Evelyn Tribole bir soruyu soruyor.
«Son ne zaman gerçekten aç olduğunuzda yediniz?"
Çoğu kronik diyet yapanın cevabı belirsizdir. Saate bakıyorlar. Porsiyon ölçüyorlar. «Öğlen oldu, yemek zamanı." Ya da tam tersi — gece 8'den sonra yemek yasak, aç olsalar da.
##Tribole şunu söylüyor: Bebeği düşünün. Acıktığında ağlıyor. Doyduğunda durduruyor. Kimse ona «hayır şimdi öğün zamanı değil» demiyor. Beyin açlık ve tokluk sinyalleri üretmek için evrimleşti. Ama kronik diyet bu sinyalleri bastırıyor.##
Diyet yapanlar yıllar içinde şunları öğreniyor: Açlığı görmezden gel. Belirlenmiş miktarda ye. Kendin değil dışarıdan belirlenen kurallar karar versin.
Sonuç: İç sinyaller zayıflıyor. İnsan kendi bedeninden kopuyor.
Tribole'nin içgüdüsel yeme pratiği bu bağlantıyı yeniden kurmak. Sormak: «Şu an gerçekten aç mıyım? Nasıl bir açlık bu? Yemeye başladığımda bedenimden ne haber geliyor? Doyduğumu nasıl hissediyorum?"
Bu bir beceri — ve atrofiye uğramış beceriler yeniden öğrenilebiliyor.
$$Beden açlık ve tokluk sinyalleri üretmek için evrimleşti — diyetler bu sinyalleri bastırır, içgüdüsel yeme ise onları yeniden dinlemeyi öğretir.$$
&amp;&amp;Yemek yerken bedeninizden gelen sinyallere dikkat ediyor musunuz — gerçek açlık, doyma hissi? Bu sinyaller size ne söylüyor?&amp;&amp;</x:v>
      </x:c>
      <x:c r="K601" s="37" t="str"/>
      <x:c r="L601" s="37" t="str"/>
      <x:c r="M601" s="37" t="str"/>
      <x:c r="N601" s="37" t="str"/>
      <x:c r="O601" s="37" t="str"/>
    </x:row>
    <x:row r="602" ht="20" customHeight="1">
      <x:c r="A602" s="33" t="n">
        <x:v>1659</x:v>
      </x:c>
      <x:c r="B602" s="34" t="str">
        <x:v>1</x:v>
      </x:c>
      <x:c r="C602" s="34" t="str">
        <x:v>Sağlık</x:v>
      </x:c>
      <x:c r="D602" s="34" t="str">
        <x:v>Sağlık</x:v>
      </x:c>
      <x:c r="E602" s="34" t="str">
        <x:v>İçgüdüsel Yeme</x:v>
      </x:c>
      <x:c r="F602" s="34" t="str">
        <x:v>Evelyn Tribole</x:v>
      </x:c>
      <x:c r="G602" s="34" t="str">
        <x:v>1995</x:v>
      </x:c>
      <x:c r="H602" s="37" t="str">
        <x:v>Duygusal yeme — besinden beklenen şey besin veremez</x:v>
      </x:c>
      <x:c r="I602" s="37" t="str">
        <x:v>Tribole, duygusal yemenin ahlaki zayıflık değil bastırılmış duyguların bir başa çıkma mekanizması olduğunu ve bu örüntüyü kırmak için yiyeceğin veremeyeceği duygusal ihtiyacı tanımanın neden tek gerçek yol olduğunu anlatıyor.</x:v>
      </x:c>
      <x:c r="J602" s="37" t="str">
        <x:v>Evelyn Tribole bir hastasıyla konuşuyordu.
Kadın şöyle dedi: «Stresli olduğumda durduramıyorum kendimi. Gece buzdolabını açıyorum."
Tribole sordu: «O an gerçekten aç mısınız?"
«Hayır."
«O an ne hissediyorsunuz?"
Kadın duraksadı. «Yalnız. Ve kontrolden çıkmış."
##Tribole şunu söylüyor: Duygusal yeme neredeyse her zaman gerçek bir duygusal ihtiyacın sesi. Yalnızlık, kaygı, sıkıntı, öfke, üzüntü. Ve bu ihtiyaç besinle karşılanamaz. Yiyecek anlık teselli verebilir — ama altta yatan duygu orada kalıyor.##
Döngü şöyle işliyor: Duygu geliyor → yemek yeniyor → geçici rahatlama → suçluluk geliyor → duygu büyüyor → daha fazla yemek yeniyor.
Tribole döngüyü kırmak için şunu öneriyor: Durup sormak — «Bu gerçekten yiyecek isteyen mi, yoksa başka bir şey mi?" Eğer başka bir şeyse: «Ne ihtiyacım var? Yalnızlık için bağlantı mı? Kaygı için güvenlik mi? Sıkıntı için uyarım mı?"
Bu soru yiyeceğe yönelimi durdurmaz hemen. Ama farkındalık açar. Ve farkındalık seçim yaratır.
$$Duygusal yeme zayıflık değil — karşılanamayan duygusal ihtiyacın sesi. İhtiyacı tanımak döngüyü kırmak için ilk adımdır.$$
&amp;&amp;Yemek yemek istediğinizde gerçekten aç mısınız, yoksa başka bir şey mi hissediyorsunuz? O 'başka şey' ne olabilir?&amp;&amp;</x:v>
      </x:c>
      <x:c r="K602" s="37" t="str"/>
      <x:c r="L602" s="37" t="str"/>
      <x:c r="M602" s="37" t="str"/>
      <x:c r="N602" s="37" t="str"/>
      <x:c r="O602" s="37" t="str"/>
    </x:row>
    <x:row r="603" ht="20" customHeight="1">
      <x:c r="A603" s="33" t="n">
        <x:v>1660</x:v>
      </x:c>
      <x:c r="B603" s="34" t="str">
        <x:v>1</x:v>
      </x:c>
      <x:c r="C603" s="34" t="str">
        <x:v>Felsefe</x:v>
      </x:c>
      <x:c r="D603" s="34" t="str">
        <x:v>Felsefe</x:v>
      </x:c>
      <x:c r="E603" s="34" t="str">
        <x:v>Yeniden Doğmak</x:v>
      </x:c>
      <x:c r="F603" s="34" t="str">
        <x:v>David Brooks</x:v>
      </x:c>
      <x:c r="G603" s="34" t="str">
        <x:v>2019</x:v>
      </x:c>
      <x:c r="H603" s="37" t="str">
        <x:v>İki dağ — birinci ve ikinci hayat</x:v>
      </x:c>
      <x:c r="I603" s="37" t="str">
        <x:v>Brooks, birinci dağın başarı, statü ve bireysel kazanım peşinde koşarken ikinci dağın taahhüt, adanma ve başkasının iyiliği için var olmayı temsil ettiğini ve pek çok insanın birinci dağın zirvesinde boşluk hissederek ikinci dağa neden yöneldiğini anlatıyor.</x:v>
      </x:c>
      <x:c r="J603" s="37" t="str">
        <x:v>David Brooks 2013'te boşandı. Kariyer yeniden yapılanmasıyla uğraşıyordu. Arkadaşlıkları incelmişti.
Zirveye ulaşmıştı — New York Times köşe yazarı, ünlü kitaplar, kamuoyu figürü. Ve zirvedeyken anladı:
Yanlış dağı tırmanmıştı.
##Brooks şöyle yazıyor: Birinci dağ başarı, kariyer, statü, bireysel kazanım dağı. Kültür bizi bu dağı tırmanmaya teşvik ediyor. Ama pek çok insan zirveye ulaştığında bir boşluk hissediyor. «Bu kadar mıydı?"##
İkinci dağ ise farklı. Taahhüt dağı. Adanma dağı. Bir evlilik, bir topluluk, bir dava, bir meslek — tamamen içinden verilen, koşullu olmayan bir adanma.
Birinci dağda «ben ne kazanacağım?» sorusu merkez. İkinci dağda «ben ne verebilirim?" merkez.
Brooks şunu söylüyor: İkinci dağa geçiş çoğunlukla bir kırılma noktasından sonra geliyor. Boşanma. Hastalık. Kayıp. Ya da birinci dağın boşluğunun fark edilmesi.
Ve ikinci dağın tırmanışı daha sessiz, daha az görünür — ama çok daha derin bir tatmin taşıyor.
$$Başarı dağı seni zirveye çıkarır ama adanma dağı seni bir şeyin parçası kılar — ikisi arasındaki fark hayatın anlamını belirler.$$
&amp;&amp;Şu an birinci dağda mısınız yoksa ikinci dağa yönelme çağrısı hissediyor musunuz? Bu çağrı nereden geliyor?&amp;&amp;</x:v>
      </x:c>
      <x:c r="K603" s="37" t="str"/>
      <x:c r="L603" s="37" t="str"/>
      <x:c r="M603" s="37" t="str"/>
      <x:c r="N603" s="37" t="str"/>
      <x:c r="O603" s="37" t="str"/>
    </x:row>
    <x:row r="604" ht="20" customHeight="1">
      <x:c r="A604" s="33" t="n">
        <x:v>1661</x:v>
      </x:c>
      <x:c r="B604" s="34" t="str">
        <x:v>1</x:v>
      </x:c>
      <x:c r="C604" s="34" t="str">
        <x:v>Felsefe</x:v>
      </x:c>
      <x:c r="D604" s="34" t="str">
        <x:v>Felsefe</x:v>
      </x:c>
      <x:c r="E604" s="34" t="str">
        <x:v>Yeniden Doğmak</x:v>
      </x:c>
      <x:c r="F604" s="34" t="str">
        <x:v>David Brooks</x:v>
      </x:c>
      <x:c r="G604" s="34" t="str">
        <x:v>2019</x:v>
      </x:c>
      <x:c r="H604" s="37" t="str">
        <x:v>Taahhüt kültürü — seçenekler çağında derinliği bulmak</x:v>
      </x:c>
      <x:c r="I604" s="37" t="str">
        <x:v>Brooks, sonsuz seçenek ve optimizasyon kültürünün taahhütten kaçmayı rasyonelleştirdiğini ve bunun hem ilişkilerde hem kariyerde hem toplumda nasıl bir sığlık ve yalnızlık ürettiğini anlatıyor.</x:v>
      </x:c>
      <x:c r="J604" s="37" t="str">
        <x:v>David Brooks modern kültürün paradoksunu anlatıyor.
Hiç bu kadar çok seçeneğimiz olmamıştı. İş, ilişki, şehir, kimlik, değerler. Her şey akışkan. Her şey değiştirilebilir.
Bu özgürlük. Ama aynı zamanda bir tuzak.
##Brooks şunu söylüyor: Sonsuz seçenek taahhütten kaçmayı kolaylaştırıyor. «Belki daha iyisi vardır» düşüncesi her bağlılığı yarım bırakıyor. Ve taahhütsüz hayat sığlaşıyor.##
İlişkide: «Bu ilişki mükemmel değil, belki daha doğru biri vardır." Kariyerde: «Bu iş idealim değil, belki başka bir şey." Toplulukta: «Bu mahalle yeterince bana göre değil."
Brooks şöyle diyor: Derinlik taahhütle gelir. Gerçek bir ilişkiyi, gerçek bir beceriyi, gerçek bir topluluğu — bunları yaşamak için içinde kalma cesareti gerekiyor. Zorluklar karşısında kaçmamak.
Taahhüt şöyle hissettiriyor başta: Özgürlük kaybı. Ama zamanla şöyle hissettiriyor: Kimlik kazanımı. «Ben bu işi yapan biriyim. Bu insanların yanında duran biriyim."
Ve bu kimlik, sonsuz seçenekler arasında kaybolan benliği geri veriyor.
$$Taahhüt özgürlüğü kısıtlamaz — kimlik inşa eder. Seçeneklerin denizinde kalan biri kimlik değil sığlık bulur.$$
&amp;&amp;Hayatınızda gerçek anlamda taahhüt ettiğiniz — içinden, koşulsuz — ne var? Bu taahhüt size ne veriyor?&amp;&amp;</x:v>
      </x:c>
      <x:c r="K604" s="37" t="str"/>
      <x:c r="L604" s="37" t="str"/>
      <x:c r="M604" s="37" t="str"/>
      <x:c r="N604" s="37" t="str"/>
      <x:c r="O604" s="37" t="str"/>
    </x:row>
    <x:row r="605" ht="20" customHeight="1">
      <x:c r="A605" s="33" t="n">
        <x:v>1662</x:v>
      </x:c>
      <x:c r="B605" s="34" t="str">
        <x:v>1</x:v>
      </x:c>
      <x:c r="C605" s="34" t="str">
        <x:v>Felsefe</x:v>
      </x:c>
      <x:c r="D605" s="34" t="str">
        <x:v>Felsefe</x:v>
      </x:c>
      <x:c r="E605" s="34" t="str">
        <x:v>Yeniden Doğmak</x:v>
      </x:c>
      <x:c r="F605" s="34" t="str">
        <x:v>David Brooks</x:v>
      </x:c>
      <x:c r="G605" s="34" t="str">
        <x:v>2019</x:v>
      </x:c>
      <x:c r="H605" s="37" t="str">
        <x:v>Karakter ahlakı — erdemi yeniden keşfetmek</x:v>
      </x:c>
      <x:c r="I605" s="37" t="str">
        <x:v>Brooks, modern kültürün «güzellik» ve «kariyer» gibi dışsal başarıları ön plana çıkarırken «dürüstlük, cesaret, adalet» gibi karakter erdemlerini nasıl geri plana ittiğini ve bu değişimin birey ve toplum için nasıl bir boşluk yarattığını anlatıyor.</x:v>
      </x:c>
      <x:c r="J605" s="37" t="str">
        <x:v>David Brooks iki mezuniyet konuşması türünü karşılaştırıyor.
1945 mezuniyet konuşması: «Dürüst olun. Cesur olun. Adil olun. Fedakar olun."
2015 mezuniyet konuşması: «Tutkunu takip et. Özgün ol. Sen özelsin. Dünyayı değiştireceksin."
##Brooks şunu söylüyor: İki konuşma birbirine zıt bir ahlak anlayışından geliyor. Birincisi karakter ahlakı — erdemi inşa etmek. İkincisi özgünlük ahlakı — içsel benliği gerçekleştirmek. Ve kültür ikincisine doğru dramatik biçimde kaydı.##
Brooks özgünlük ahlakını eleştirmiyor — ama eksik bulduğunu söylüyor.
«Sen özelsin» diyen kültür şunu sormayı unutuyor: Neyin için çalışıyorsun? Kime hizmet ediyorsun? Karakterini nasıl inşa ediyorsun?
Karakter Brooks'a göre şu anlama geliyor: «Meziyetler» — dürüstlük, cesaret, disiplin, şefkat — bunların pratik yoluyla kazanılması. Kolay olmayan şeyleri yapmak. Baskı altında doğruyu söylemek. Başkası için kendi çıkarından vazgeçmek.
Bu erdemler performans değil — alışkanlık. Ve alışkanlık tekrarla inşa ediliyor.
$$Özgünlük kendini bulmak ise karakter kendini inşa etmektir — en anlamlı hayatlar ikisini birleştirenlere ait.$$
&amp;&amp;Kendinizi en iyi haliyle tanımladığınızda hangi karakter özelliklerini öne çıkarırsınız? Bu özellikler günlük kararlarınıza yansıyor mu?&amp;&amp;</x:v>
      </x:c>
      <x:c r="K605" s="37" t="str"/>
      <x:c r="L605" s="37" t="str"/>
      <x:c r="M605" s="37" t="str"/>
      <x:c r="N605" s="37" t="str"/>
      <x:c r="O605" s="37" t="str"/>
    </x:row>
    <x:row r="606" ht="20" customHeight="1">
      <x:c r="A606" s="33" t="n">
        <x:v>1663</x:v>
      </x:c>
      <x:c r="B606" s="34" t="str">
        <x:v>1</x:v>
      </x:c>
      <x:c r="C606" s="34" t="str">
        <x:v>Psikoloji</x:v>
      </x:c>
      <x:c r="D606" s="34" t="str">
        <x:v>Farkındalık</x:v>
      </x:c>
      <x:c r="E606" s="34" t="str">
        <x:v>Yeni Toprak</x:v>
      </x:c>
      <x:c r="F606" s="34" t="str">
        <x:v>Eckhart Tolle</x:v>
      </x:c>
      <x:c r="G606" s="34" t="str">
        <x:v>2005</x:v>
      </x:c>
      <x:c r="H606" s="37" t="str">
        <x:v>Ego ve öz — kimlik yanılsamasının kökü</x:v>
      </x:c>
      <x:c r="I606" s="37" t="str">
        <x:v>Tolle, insanların büyük çoğunluğunun kendilerini düşünceler, hikayeler ve roller bütünü olarak tanımladığını ve bu ego kimliğinin nasıl sürekli acı, karşılaştırma ve tatminsizlik ürettiğini anlatıyor.</x:v>
      </x:c>
      <x:c r="J606" s="37" t="str">
        <x:v>Eckhart Tolle bir soruyu soruyor.
«Siz kimsiniz?"
Çoğu insan cevaplar: İsmim. Mesleğim. Rollerim. Geçmişim. Düşüncelerim ve inançlarım.
Tolle şöyle diyor: Bunların hepsi gerçek. Ama bunlar siz değilsiniz.
##Tolle şunu açıklıyor: Ego, düşünceler ve hikayeler aracılığıyla inşa edilen bir kimlik. «Ben başarılı biriyim.» «Ben haksızlığa uğrayan biriyim.» «Ben bu gruba ait biriyim." Bu kimlik sürekli kendini korumak, güçlendirmek ve haklı çıkarmak için enerji harcıyor.##
Ve bu ego kimliği her zaman tatminsiz. Çünkü karşılaştırmayla var oluyor. «Ben ondan daha iyiyim» ya da «ondan daha kötüyüm." Her ikisi de sürekli değerlendirme, sürekli kaygı.
Tolle şöyle soruyor: Düşüncelerinizi izleyebiliyor musunuz? Eğer izleyebiliyorsanız — «şu an şöyle düşünüyorum» diyebiliyorsanız — o zaman siz düşüncelerinizden ayrısınız. İzleyen kim?
O farkındalık — izleyen — ego değil. O farkındalık özgürdür. Düşüncelerin gelip geçtiği bir alan.
Bu ayrımı hissetmek, egonun yakaladığı anlarda kısa da olsa bir nefes alanı açıyor.
$$Sen düşüncelerinin toplamı değilsin — onları izleyen farkındalıksın. Bu farkı görmek özgürleşmenin başlangıcıdır.$$
&amp;&amp;Şu an bir düşünce ya da duygu geldiğinde, onu «ben» olarak mı yaşıyorsunuz yoksa «bu düşünce var» olarak mı? Fark ne hissettiriyor?&amp;&amp;</x:v>
      </x:c>
      <x:c r="K606" s="37" t="str"/>
      <x:c r="L606" s="37" t="str"/>
      <x:c r="M606" s="37" t="str"/>
      <x:c r="N606" s="37" t="str"/>
      <x:c r="O606" s="37" t="str"/>
    </x:row>
    <x:row r="607" ht="20" customHeight="1">
      <x:c r="A607" s="33" t="n">
        <x:v>1664</x:v>
      </x:c>
      <x:c r="B607" s="34" t="str">
        <x:v>1</x:v>
      </x:c>
      <x:c r="C607" s="34" t="str">
        <x:v>Psikoloji</x:v>
      </x:c>
      <x:c r="D607" s="34" t="str">
        <x:v>Farkındalık</x:v>
      </x:c>
      <x:c r="E607" s="34" t="str">
        <x:v>Yeni Toprak</x:v>
      </x:c>
      <x:c r="F607" s="34" t="str">
        <x:v>Eckhart Tolle</x:v>
      </x:c>
      <x:c r="G607" s="34" t="str">
        <x:v>2005</x:v>
      </x:c>
      <x:c r="H607" s="37" t="str">
        <x:v>Acı bedeni — geçmişin duygusal tortusu</x:v>
      </x:c>
      <x:c r="I607" s="37" t="str">
        <x:v>Tolle, insanların büyük çoğunluğunda birikmiş olumsuz duygusal enerjinin oluşturduğu «acı bedeni» kavramını açıklıyor ve bu birikimin nasıl tetiklendiğini, nasıl enerji beslediğini ve farkındalıkla nasıl dönüştürülebildiğini anlatıyor.</x:v>
      </x:c>
      <x:c r="J607" s="37" t="str">
        <x:v>Eckhart Tolle bir gözlemi paylaşıyor.
Bazı insanlar çok küçük bir şeye inanılmaz büyük tepkiler veriyor. Birisi hafif bir eleştiri yapıyor — karşıdaki patlıyor. Birisi geç kalıyor — diğeri saatlerce konuşamıyor.
Bu tepkiler o anla orantısız görünüyor. Çünkü o anla değil.
##Tolle şunu söylüyor: Her insan bedeninde birikmiş duygusal enerji taşıyor. Geçmişte tam yaşanmamış, tam hissedilmemiş, bastırılmış duyguların kalıntısı. Tolle buna «acı bedeni» diyor. Ve bu birikim fırsatını bulduğunda beslenmek için tetikleyici arıyor.##
Küçük bir eleştiri geliyor — acı bedeni «evet, işte bu» diyerek uyanıyor. Eski duyguları şimdi de hissettirmeye başlıyor. Tepki orantısızlaşıyor.
Tolle şöyle diyor: Acı bedeni farkındalıktan nefret ediyor. Çünkü farkındalık onu görünür kılıyor. Ve görülünce otomatik kontrol kırılıyor.
Pratik: Tepki geldiğinde durmak. «Şu an acı bedenim mi uyanıyor?» Sadece bu soruyu sormak bile bir mesafe yaratıyor. Ve mesafe seçim alanı açıyor.
$$Orantısız tepkiler geçmişin birikiminin şimdide konuşmasıdır — farkındalık bu birikimi görünür kılarak dönüşümünü başlatır.$$
&amp;&amp;Son yaşadığınız aşırı tepkide acı bedeni mi vardı? O tepkinin altında hangi eski duygu saklıydı?&amp;&amp;</x:v>
      </x:c>
      <x:c r="K607" s="37" t="str"/>
      <x:c r="L607" s="37" t="str"/>
      <x:c r="M607" s="37" t="str"/>
      <x:c r="N607" s="37" t="str"/>
      <x:c r="O607" s="37" t="str"/>
    </x:row>
    <x:row r="608" ht="20" customHeight="1">
      <x:c r="A608" s="33" t="n">
        <x:v>1665</x:v>
      </x:c>
      <x:c r="B608" s="34" t="str">
        <x:v>1</x:v>
      </x:c>
      <x:c r="C608" s="34" t="str">
        <x:v>Psikoloji</x:v>
      </x:c>
      <x:c r="D608" s="34" t="str">
        <x:v>Farkındalık</x:v>
      </x:c>
      <x:c r="E608" s="34" t="str">
        <x:v>Yeni Toprak</x:v>
      </x:c>
      <x:c r="F608" s="34" t="str">
        <x:v>Eckhart Tolle</x:v>
      </x:c>
      <x:c r="G608" s="34" t="str">
        <x:v>2005</x:v>
      </x:c>
      <x:c r="H608" s="37" t="str">
        <x:v>Şimdiki an — tek gerçek ev</x:v>
      </x:c>
      <x:c r="I608" s="37" t="str">
        <x:v>Tolle, geçmiş ve gelecek kaygısının çoğunlukla zihinsel bir illüzyon olduğunu ve gerçek hayatın yalnızca şimdiki anda yaşandığını, bu basit ama köklü farkındalığın nasıl varoluşsal bir dönüşüm kapısı olduğunu anlatıyor.</x:v>
      </x:c>
      <x:c r="J608" s="37" t="str">
        <x:v>Eckhart Tolle basit bir gözlem yapıyor.
«Şu an gün kaçı?"
Cevap: Şu an.
«Dün hangi andaydınız?"
Cevap: O günün şimdisinde.
«On yıl sonra nerede olacaksınız?"
Cevap: O günün şimdisinde.
##Tolle şunu söylüyor: Gerçek hayatın yaşandığı tek an, şimdiki an. Geçmiş bir düşünce. Gelecek bir düşünce. Ama şimdiki an — bu an — gerçek.##
Bu felsefi bir oyun değil. Pratik bir gözlem.
Insanların büyük çoğunluğu şimdide değil kafalarında yaşıyor. Geçmişin pişmanlıklarında. Geleceğin kaygılarında. Ve bu zihinsel seyahat sürekli bir arka plan gürültüsü yaratıyor — huzursuzluk, tatminsizlik, endişe.
Tolle şöyle diyor: Bu gürültüyü durdurmak için geçmişi ya da geleceği çözmek gerekmüyor. Yalnızca şu ana geri gelmek. Nefes. Dokunuş. Ses. Bu an.
Bu meditasyon performansı değil — hayatın herhangi bir anında uygulanabilecek bir geri dönüş. Ve her geri dönüş, zihni bir süreliğine dinlendiriyor.
$$Geçmiş pişmanlık, gelecek kaygı — ama hayat yalnızca şimdide yaşanıyor. Şu ana dönmek en kısa özgürlük yoludur.$$
&amp;&amp;Günün kaçta saatinde gerçekten «şu anda» oluyorsunuz? Zihin nerede takılı kalıyor — geçmişte mi, gelecekte mi?&amp;&amp;</x:v>
      </x:c>
      <x:c r="K608" s="37" t="str"/>
      <x:c r="L608" s="37" t="str"/>
      <x:c r="M608" s="37" t="str"/>
      <x:c r="N608" s="37" t="str"/>
      <x:c r="O608" s="37" t="str"/>
    </x:row>
    <x:row r="609" ht="20" customHeight="1">
      <x:c r="A609" s="33" t="n">
        <x:v>1666</x:v>
      </x:c>
      <x:c r="B609" s="34" t="str">
        <x:v>1</x:v>
      </x:c>
      <x:c r="C609" s="34" t="str">
        <x:v>Psikoloji</x:v>
      </x:c>
      <x:c r="D609" s="34" t="str">
        <x:v>Farkındalık</x:v>
      </x:c>
      <x:c r="E609" s="34" t="str">
        <x:v>İçsel Barış</x:v>
      </x:c>
      <x:c r="F609" s="34" t="str">
        <x:v>Thich Nhat Hanh</x:v>
      </x:c>
      <x:c r="G609" s="34" t="str">
        <x:v>1991</x:v>
      </x:c>
      <x:c r="H609" s="37" t="str">
        <x:v>Her adım bir dua — yürürken farkındalık</x:v>
      </x:c>
      <x:c r="I609" s="37" t="str">
        <x:v>Nhat Hanh, en sıradan aktivitenin bile — yürümek, bulaşık yıkamak, çay içmek — tam dikkatle yapıldığında nasıl derin bir meditasyon ve içsel barış kapısına dönüştüğünü anlatıyor.</x:v>
      </x:c>
      <x:c r="J609" s="37" t="str">
        <x:v>Thich Nhat Hanh şöyle bir soru soruyor.
«Neden yürüyorsunuz?"
Çoğu insan cevaplar: «Bir yerden bir yere gitmek için."
Nhat Hanh başını sallıyor. Ve farklı bir neden öneriyor:
«Yürümek için."
##Nhat Hanh şunu söylüyor: Çoğumuz her aktiviteyi başka bir aktivitenin aracı haline getiriyoruz. Yemek yiyoruz ama konuşmayı düşünüyoruz. Yürüyoruz ama toplantıyı düşünüyoruz. Uyurken yarını planlıyoruz. Ve böylece hayatın büyük bölümünü hiçbir zaman gerçekten yaşamıyoruz.##
Farkındalıklı yürüme farklı. Her adımda ayak tabana dikkat. Yere değme. Nefes. Her adım bir varış.
Nhat Hanh şöyle yazıyor: «Eğer şimdiden başka bir yere ulaşmak için acele edersek, her adımımız daha sonra gelecek olan şeyi elde etmek için bir araçtır. Ve o daha sonra hiçbir zaman gelmez."
Bu hem meditasyon pratiği hem yaşam felsefesi. Hedef değil, yol. Varış değil, yürüyüş.
Ve bu uygulamayı bir haftaya yaymanın, bir meditasyon merkezine gitmenin gereği yok. Bir sonraki adımda başlıyor.
$$Her adım bir varış — yolculuk ve hedef ayrı değil, her an yaşanırsa aynı şey.$$
&amp;&amp;Bugün bir yerden bir yere yürürken gerçekten orada mıydınız? Yoksa zihniniz başka bir yerde miydi?&amp;&amp;</x:v>
      </x:c>
      <x:c r="K609" s="37" t="str"/>
      <x:c r="L609" s="37" t="str"/>
      <x:c r="M609" s="37" t="str"/>
      <x:c r="N609" s="37" t="str"/>
      <x:c r="O609" s="37" t="str"/>
    </x:row>
    <x:row r="610" ht="20" customHeight="1">
      <x:c r="A610" s="33" t="n">
        <x:v>1667</x:v>
      </x:c>
      <x:c r="B610" s="34" t="str">
        <x:v>1</x:v>
      </x:c>
      <x:c r="C610" s="34" t="str">
        <x:v>Psikoloji</x:v>
      </x:c>
      <x:c r="D610" s="34" t="str">
        <x:v>Farkındalık</x:v>
      </x:c>
      <x:c r="E610" s="34" t="str">
        <x:v>İçsel Barış</x:v>
      </x:c>
      <x:c r="F610" s="34" t="str">
        <x:v>Thich Nhat Hanh</x:v>
      </x:c>
      <x:c r="G610" s="34" t="str">
        <x:v>1991</x:v>
      </x:c>
      <x:c r="H610" s="37" t="str">
        <x:v>Öfkeli bir mektup göndermemek — duyguya alan tanımak</x:v>
      </x:c>
      <x:c r="I610" s="37" t="str">
        <x:v>Nhat Hanh, öfke ya da güçlü duygu anlarında hemen tepki vermek yerine duyguya alan tanımanın ve 'onu beslemeden hissetmenin' nasıl hem ilişkileri koruduğunu hem de duygunun kendisini dönüştürdüğünü anlatıyor.</x:v>
      </x:c>
      <x:c r="J610" s="37" t="str">
        <x:v>Thich Nhat Hanh şöyle bir pratik öneriyor.
Birisi size kızdıracak bir şey yaptı. İçinizde öfke kaynıyor. Ona bir mektup yazmak istiyorsunuz.
Nhat Hanh: «Yazın. Ama göndermeden önce gece uyuyun."
Sabah uyandığınızda mektubu yeniden okuyun.
##Büyük ihtimalle ya göndermeyeceksiniz ya da çok farklı bir şey yazacaksınız. Çünkü gece boyunca öfke beslenmedikçe değişti.##
Nhat Hanh şunu söylüyor: Öfke bir ateştir. Ve her öfkeli düşünce o ateşe odun atıyor. «O nasıl bunu yapabildi?» — odun. «Her zaman böyle» — odun. «Bu son» — odun.
Ama öfkeyi bastırmak da çözüm değil. Bastırmak ateşi gömmek — ve gömülü ateş içten yakar.
Orta yol şu: Öfkeyi hissetmek ama onu beslememek. «Öfke var, tamam. Bu geçecek.» Derin nefes. Dikkati başka yöne vermek. Ateşe odun atmadan beklemek.
Ve bu bekleme sırasında öfkenin altındaki şeyi görmek: Kırılma. Hayal kırıklığı. Korku. Bu görüş öfkeyi çözmese bile daha doğru bir tepkiyi mümkün kılıyor.
$$Öfkeyi beslemeden hissetmek — ne bastırmak ne patlatmak — en zor ve en özgürleştirici seçimdir.$$
&amp;&amp;Son büyük öfke anında hemen mi tepki verdiniz, yoksa bekleyebildiniz mi? O bekleyişin yarattığı fark ne oldu?&amp;&amp;</x:v>
      </x:c>
      <x:c r="K610" s="37" t="str"/>
      <x:c r="L610" s="37" t="str"/>
      <x:c r="M610" s="37" t="str"/>
      <x:c r="N610" s="37" t="str"/>
      <x:c r="O610" s="37" t="str"/>
    </x:row>
    <x:row r="611" ht="20" customHeight="1">
      <x:c r="A611" s="33" t="n">
        <x:v>1668</x:v>
      </x:c>
      <x:c r="B611" s="34" t="str">
        <x:v>1</x:v>
      </x:c>
      <x:c r="C611" s="34" t="str">
        <x:v>Psikoloji</x:v>
      </x:c>
      <x:c r="D611" s="34" t="str">
        <x:v>Farkındalık</x:v>
      </x:c>
      <x:c r="E611" s="34" t="str">
        <x:v>İçsel Barış</x:v>
      </x:c>
      <x:c r="F611" s="34" t="str">
        <x:v>Thich Nhat Hanh</x:v>
      </x:c>
      <x:c r="G611" s="34" t="str">
        <x:v>1991</x:v>
      </x:c>
      <x:c r="H611" s="37" t="str">
        <x:v>İnterbeing — her şeyin birbirine bağlılığı</x:v>
      </x:c>
      <x:c r="I611" s="37" t="str">
        <x:v>Nhat Hanh, «interbeing» — her şeyin birbirine bağımlı varoluşu — kavramını bir çiçek üzerinden anlatıyor ve bu bakış açısının yalnızca felsefi değil pratik olarak nasıl öfkeyi, ayrılığı ve acıyı dönüştürdüğünü gösteriyor.</x:v>
      </x:c>
      <x:c r="J611" s="37" t="str">
        <x:v>Thich Nhat Hanh elinde bir kağıt tutuyor.
Ve şöyle soruyor: «Bu kağıtta bulut var mı?"
Gülümsüyor. «Evet. Bulut olmasa yağmur olmazdı. Yağmur olmasa ağaç olmazdı. Ağaç olmasa kağıt olmazdı. Kağıtta bulut var."
##Nhat Hanh buna «interbeing» diyor — birbirine bağımlı varoluş. Her şey her şeyin içinde. Ayrı, bağımsız varlıklar yanılsama.##
Bu felsefi oyun değil. Pratiğe yansıması derin.
Birisi size kötü davranıyor. O kişiyi «düşman» olarak gördüğünüzde öfke ve ayrılık başlıyor. Ama o kişinin geçmişini, acısını, korkularını, koşullarını görmeye başladığınızda — «bu kişi bu koşullardan bu şekilde çıktı» — anlama başlıyor.
Anlama affetmek değil. Ama öfkeyi dönüştürüyor.
Nhat Hanh şöyle diyor: Düşmanı anlamak düşmanı onaylamak değil. Ama anlamak acıyı ikiye katlamayı durduruyor. Ve bu durdurmak — hem kendiniz için hem ilişki için — dönüştürücü.
$$Her şey her şeyin içinde — ayrılık illüzyonu öfkeyi büyütür, bağlılık görüşü anlayışı doğurur.$$
&amp;&amp;Size acı veren birinin hayatına gerçekten bakabildiniz mi — nereden geldi, ne yaşadı? O bakış içinizdeki bir şeyi değiştirdi mi?&amp;&amp;</x:v>
      </x:c>
      <x:c r="K611" s="37" t="str"/>
      <x:c r="L611" s="37" t="str"/>
      <x:c r="M611" s="37" t="str"/>
      <x:c r="N611" s="37" t="str"/>
      <x:c r="O611" s="37" t="str"/>
    </x:row>
    <x:row r="612" ht="20" customHeight="1">
      <x:c r="A612" s="33" t="n">
        <x:v>1669</x:v>
      </x:c>
      <x:c r="B612" s="34" t="str">
        <x:v>1</x:v>
      </x:c>
      <x:c r="C612" s="34" t="str">
        <x:v>Psikoloji</x:v>
      </x:c>
      <x:c r="D612" s="34" t="str">
        <x:v>Psikoloji</x:v>
      </x:c>
      <x:c r="E612" s="34" t="str">
        <x:v>Öfke</x:v>
      </x:c>
      <x:c r="F612" s="34" t="str">
        <x:v>Thich Nhat Hanh</x:v>
      </x:c>
      <x:c r="G612" s="34" t="str">
        <x:v>2001</x:v>
      </x:c>
      <x:c r="H612" s="37" t="str">
        <x:v>Öfkeyi pişirmek — soğutma değil dönüştürme</x:v>
      </x:c>
      <x:c r="I612" s="37" t="str">
        <x:v>Nhat Hanh, öfkenin bastırılmayı ya da dışa vurulmayı değil farkındalıkla 'pişirilmeyi' gerektirdiğini ve bu sürecin öfkenin altındaki acıyı nasıl anlama ve şefkate dönüştürdüğünü anlatıyor.</x:v>
      </x:c>
      <x:c r="J612" s="37" t="str">
        <x:v>Thich Nhat Hanh şöyle bir metafor kullanıyor.
Çiğ patates. Yenilmez.
Patatesi pişirirsiniz. Ateşte tutarsınız. Zaman geçer. Dönüşür.
##Nhat Hanh şunu söylüyor: Öfke de böyle. Ne çiğ yutulabilir — bastırılamaz. Ne de dışarı atılabilir — patlatmak ilişkiyi yakar. Pişirilmesi gerekiyor. Farkındalık ateşinde.##
Pişirme süreci şöyle işliyor:
Önce tanıma: «Öfke var. Tamam, burada.» Ne bastırma ne savaş — sadece kabul.
Sonra kucaklama: Öfkeyi düşman olarak değil, içinde acı taşıyan bir şey olarak görmek. «Bu öfke bana bir şey söylüyor."
Son olarak bakma: Öfkenin altında ne var? Genellikle: Kırılmışlık. Duyulmamışlık. Korku. Hayal kırıklığı.
Nhat Hanh şöyle diyor: Öfkenin altındaki acıyı gördüğünüzde öfke değişiyor. Anlayışa dönüşüyor. Ve anlayış şefkate kapı açıyor — hem kendinize hem karşınızdakine.
Bu bir süreç. Anlık değil. Ama her seferinde bir miktar daha kolay.
$$Öfkeyi bastırmak ya da patlatmak çözmez — farkındalık ateşinde pişirmek dönüştürür.$$
&amp;&amp;Son öfkenizin altında ne vardı? Kırılmışlık mı, korku mu, hayal kırıklığı mı? Onu görünce öfke ne oldu?&amp;&amp;</x:v>
      </x:c>
      <x:c r="K612" s="37" t="str"/>
      <x:c r="L612" s="37" t="str"/>
      <x:c r="M612" s="37" t="str"/>
      <x:c r="N612" s="37" t="str"/>
      <x:c r="O612" s="37" t="str"/>
    </x:row>
    <x:row r="613" ht="20" customHeight="1">
      <x:c r="A613" s="33" t="n">
        <x:v>1670</x:v>
      </x:c>
      <x:c r="B613" s="34" t="str">
        <x:v>1</x:v>
      </x:c>
      <x:c r="C613" s="34" t="str">
        <x:v>Psikoloji</x:v>
      </x:c>
      <x:c r="D613" s="34" t="str">
        <x:v>Psikoloji</x:v>
      </x:c>
      <x:c r="E613" s="34" t="str">
        <x:v>Öfke</x:v>
      </x:c>
      <x:c r="F613" s="34" t="str">
        <x:v>Thich Nhat Hanh</x:v>
      </x:c>
      <x:c r="G613" s="34" t="str">
        <x:v>2001</x:v>
      </x:c>
      <x:c r="H613" s="37" t="str">
        <x:v>Öfkeli bebeği taşımak — şefkatli bakım pratiği</x:v>
      </x:c>
      <x:c r="I613" s="37" t="str">
        <x:v>Nhat Hanh, öfke anında kendine şefkatle yaklaşmanın pratik yolunu ağlayan bir bebeği taşıma metaforu üzerinden aktarıyor ve bu içsel bakımın dışa yansıyan öfkeden nasıl çok daha etkili olduğunu anlatıyor.</x:v>
      </x:c>
      <x:c r="J613" s="37" t="str">
        <x:v>Thich Nhat Hanh bir imge öneriyor.
Bir bebek ağlıyor. Annesi ne yapar?
Bebek yüzüne bağırmaz. «Neden ağlıyorsun, dur artık!» demez. Bebeği kucağına alır. Taşır. Nazikçe sallar. «Burdayım. Her şey yolunda."
##Nhat Hanh şunu söylüyor: Öfke içimizde ağlayan bebek gibi. Ve çoğumuz o bebeğe bağırıyoruz — bastırıyoruz, yargılıyoruz, «neden bu kadar öfkeleniyorum» diyerek kendimizi azarlıyoruz.##
Oysa öfkeyi kucaklamak gerekiyor. Taşımak.
«Öfkemi biliyorum. Öfkem burada. Onu bırakmıyorum."
Bu kucaklama onu onaylamak değil — ona bakım vermek. Bebeği taşıyan anne onu susturmak için değil, sakinleştirmek için taşıyor.
Farkındalıklı nefes bu taşımanın aracı. Her nefes «ben buradayım» diyor. Ve bu «burada olma» öfkeli enerjiyi yavaş yavaş dönüştürüyor.
Nhat Hanh şöyle ekliyor: Bunu bir kez yapınca mucize beklemeyin. Ama tekrarladıkça içsel bir yumuşama başlıyor. Ve o yumuşama dışarıya da yansıyor.
$$Öfke azarlanacak değil taşınacak bir şeydir — içsel şefkat dışa yansıyan sertliği dönüştürür.$$
&amp;&amp;Öfkeli hissettiğinizde kendinize nasıl davranıyorsunuz — yargılıyor musunuz yoksa kucaklıyor musunuz?&amp;&amp;</x:v>
      </x:c>
      <x:c r="K613" s="37" t="str"/>
      <x:c r="L613" s="37" t="str"/>
      <x:c r="M613" s="37" t="str"/>
      <x:c r="N613" s="37" t="str"/>
      <x:c r="O613" s="37" t="str"/>
    </x:row>
    <x:row r="614" ht="20" customHeight="1">
      <x:c r="A614" s="33" t="n">
        <x:v>1671</x:v>
      </x:c>
      <x:c r="B614" s="34" t="str">
        <x:v>1</x:v>
      </x:c>
      <x:c r="C614" s="34" t="str">
        <x:v>Psikoloji</x:v>
      </x:c>
      <x:c r="D614" s="34" t="str">
        <x:v>Psikoloji</x:v>
      </x:c>
      <x:c r="E614" s="34" t="str">
        <x:v>Öfke</x:v>
      </x:c>
      <x:c r="F614" s="34" t="str">
        <x:v>Thich Nhat Hanh</x:v>
      </x:c>
      <x:c r="G614" s="34" t="str">
        <x:v>2001</x:v>
      </x:c>
      <x:c r="H614" s="37" t="str">
        <x:v>Bağlantısı kesilen bir zihin — öfkenin gerçek kaynağı</x:v>
      </x:c>
      <x:c r="I614" s="37" t="str">
        <x:v>Nhat Hanh, öfkenin çoğunlukla gerçek kaynağının dışarıda değil içeride — yanlış anlamalar, bastırılmış acılar ve bağlantısı kopan zihin — olduğunu ve bu içsel kaynağa dönmenin ilişkileri nasıl kökten dönüştürdüğünü anlatıyor.</x:v>
      </x:c>
      <x:c r="J614" s="37" t="str">
        <x:v>Thich Nhat Hanh bir örnek veriyor.
Birisi sizi eleştiriyor. İçinizde öfke kabarıyor. «O beni kızdırdı."
Nhat Hanh şöyle soruyor: «O gerçekten öfkenizin kaynağı mı?"
Biraz daha derin bakıldığında:
##O eleştiri sizi kızdırdı çünkü zaten kendinizde o konuda bir şüphe vardı. Ya da çünkü o an zaten yorgundu, stresliydı, gergindiniz. Ya da çünkü o kişinin sizi anlayacağını ummuştunuz ve hayal kırıklığı yaşadınız.##
Nhat Hanh şunu söylüyor: Öfkenin tohumları çoğunlukla içimizde. Dışarıdaki kişi ya da olay yalnızca o tohumları suluyor.
Bu «her şey senin hatan» demek değil. Karşıdaki belki gerçekten yanlış yaptı. Ama öfkenizin büyüklüğü ve biçimi içinizdeki tohumların da işi.
Bu farkındalık iki şey değiştiriyor:
Birincisi: Öfkeyi karşıdakine tamamen yüklemek azalıyor. «Bende de bir şey var" görmek yumuşatıyor.
İkincisi: İçsel tohumlarla çalışmak mümkün oluyor. «Bu konuda içimde ne var?" sorusu açılıyor.
$$Öfkenin kaynağı çoğunlukla dışarıda değil içeridedir — dışarıdaki yalnızca içeridekini ateşler.$$
&amp;&amp;Son büyük öfkenizde dışarıdaki tetikleyiciden bağımsız olarak içinizde ne vardı — hangi yara, hangi korku, hangi beklenti?&amp;&amp;</x:v>
      </x:c>
      <x:c r="K614" s="37" t="str"/>
      <x:c r="L614" s="37" t="str"/>
      <x:c r="M614" s="37" t="str"/>
      <x:c r="N614" s="37" t="str"/>
      <x:c r="O614" s="37" t="str"/>
    </x:row>
    <x:row r="615" ht="20" customHeight="1">
      <x:c r="A615" s="33" t="n">
        <x:v>1672</x:v>
      </x:c>
      <x:c r="B615" s="34" t="str">
        <x:v>1</x:v>
      </x:c>
      <x:c r="C615" s="34" t="str">
        <x:v>Verimlilik</x:v>
      </x:c>
      <x:c r="D615" s="34" t="str">
        <x:v>Verimlilik</x:v>
      </x:c>
      <x:c r="E615" s="34" t="str">
        <x:v>Konsantrasyon Gücü</x:v>
      </x:c>
      <x:c r="F615" s="34" t="str">
        <x:v>CNewport</x:v>
      </x:c>
      <x:c r="G615" s="34" t="str">
        <x:v>2020</x:v>
      </x:c>
      <x:c r="H615" s="37" t="str">
        <x:v>Derin çalışma — yüzeysel çalışmanın antitezi</x:v>
      </x:c>
      <x:c r="I615" s="37" t="str">
        <x:v>Newport, dikkat dağıtıcılardan arınmış yoğun konsantrasyon gerektiren 'derin çalışmayı' tanımlıyor ve bilgi ekonomisinde bu kapasitenin hem giderek nadir hem de giderek daha değerli hale geldiğini anlatıyor.</x:v>
      </x:c>
      <x:c r="J615" s="37" t="str">
        <x:v>Cal Newport bir gözlemle başlıyor.
Bilgi çalışanlarının günlük hayatına bakın. E-posta. Slack. Toplantı. Bildirim. Tekrar e-posta. Hızlı toplantı. Bildirim.
Ve bu kaotik yüzeyde, gerçek düşünce nerede?
##Newport derin çalışmayı şöyle tanımlıyor: Dikkat dağıtıcı olmayan koşullarda, bilişsel sınırınızı zorlayan, yeni değer üretecek ve taklit edilmesi zor beceri gerektiren profesyonel aktiviteler.##
Bu tanımın karşısında yüzeysel çalışma var: E-postalara bakmak, toplantılara katılmak, bildirimleri yanıtlamak. Bunlar değer üretmiyor — değer koordine ediyor.
Newport şöyle soruyor: Geçen haftanın iş saatlerini gerçekten derin çalışmaya harcadığınız ve yüzeyde geçirdiğiniz saatlere göre ikiye bölün. Oran nedir?
Çoğu bilgi çalışanı şaşırtıcı bir cevapla karşılaşıyor: Derin çalışma bir ila iki saat, geri kalan her şey yüzeysel.
Newport şunu söylüyor: Bilgi ekonomisinde fark yaratan iş — kitap, yazılım, analiz, strateji — derin çalışmadan çıkıyor. Ama kurumlar ve bireyler farkında olmadan bunu imkansız hale getiriyor.
$$Derin çalışma nadir ve değerli — yüzeysel meşguliyetler onu görünmez kılıyor ama ortadan kaldırmıyor.$$
&amp;&amp;Geçen hafta gerçekten derin çalışmaya — tam konsantrasyonla, dikkat dağıtıcı olmadan — kaç saat ayırdınız?&amp;&amp;</x:v>
      </x:c>
      <x:c r="K615" s="37" t="str"/>
      <x:c r="L615" s="37" t="str"/>
      <x:c r="M615" s="37" t="str"/>
      <x:c r="N615" s="37" t="str"/>
      <x:c r="O615" s="37" t="str"/>
    </x:row>
    <x:row r="616" ht="20" customHeight="1">
      <x:c r="A616" s="33" t="n">
        <x:v>1673</x:v>
      </x:c>
      <x:c r="B616" s="34" t="str">
        <x:v>1</x:v>
      </x:c>
      <x:c r="C616" s="34" t="str">
        <x:v>Verimlilik</x:v>
      </x:c>
      <x:c r="D616" s="34" t="str">
        <x:v>Verimlilik</x:v>
      </x:c>
      <x:c r="E616" s="34" t="str">
        <x:v>Konsantrasyon Gücü</x:v>
      </x:c>
      <x:c r="F616" s="34" t="str">
        <x:v>CNewport</x:v>
      </x:c>
      <x:c r="G616" s="34" t="str">
        <x:v>2020</x:v>
      </x:c>
      <x:c r="H616" s="37" t="str">
        <x:v>Dikkat artığı — taşınan zihin maliyeti</x:v>
      </x:c>
      <x:c r="I616" s="37" t="str">
        <x:v>Newport, bir görevden diğerine geçiş yapmanın neden sanıldığından çok daha maliyetli olduğunu, «dikkat artığı» kavramını ve kesintilerin konsantrasyonu nasıl yalnızca o an değil sonraki 20-23 dakika boyunca da bozduğunu anlatıyor.</x:v>
      </x:c>
      <x:c r="J616" s="37" t="str">
        <x:v>Cal Newport bir araştırmayı aktarıyor.
Bilişsel psikolog Sophie Leroy bir çalışmada şunu buldu: Bir görevden diğerine geçtiğinizde, birinci görevin bir kısmı zihinde kalıyor. «Dikkat artığı."
##Mesela: E-posta yazıyorsunuz. Toplantıya giriyorsunuz. Toplantıdayken zihnin bir parçası hâlâ e-postada. Tam burada değilsiniz. Toplantıdan çıkıp farklı bir göreve geçiyorsunuz. O görevdeyken toplantı düşünceleri hâlâ orada.##
Ayrı bir araştırma gösterdi: Bir bilgi çalışanı kesintiye uğradığında, tam odağını geri kazanması ortalama 23 dakika alıyor.
Hesabı yapın: Günde on kesinti. 23 dakika kayıp her birinde. 230 dakika — neredeyse dört saat — yalnızca odak yeniden kazanmak için.
Newport şunu söylüyor: Açık ofis planları, sürekli bildirimler, her an erişilebilir olma beklentisi — bunlar üretkenlik araçları değil. Derin çalışmanın düşmanları.
Ve çözüm basit ama uygulamak zor: Blok zaman. Belirli saatlerde tüm bildirimleri kapat. Derin çalışma bloğu oluştur. Ve bu bloğu kutsal tut.
$$Her kesinti 23 dakika konsantrasyon maliyeti taşır — sık kesintiler gün boyunca gerçek çalışmayı imkânsız kılar.$$
&amp;&amp;Dün kaç kez kesintiye uğradınız? Bu kesintilerin toplam maliyetini 23 dakikayla çarpın. Ortaya çıkan sayı ne anlama geliyor?&amp;&amp;</x:v>
      </x:c>
      <x:c r="K616" s="37" t="str"/>
      <x:c r="L616" s="37" t="str"/>
      <x:c r="M616" s="37" t="str"/>
      <x:c r="N616" s="37" t="str"/>
      <x:c r="O616" s="37" t="str"/>
    </x:row>
    <x:row r="617" ht="20" customHeight="1">
      <x:c r="A617" s="33" t="n">
        <x:v>1674</x:v>
      </x:c>
      <x:c r="B617" s="34" t="str">
        <x:v>1</x:v>
      </x:c>
      <x:c r="C617" s="34" t="str">
        <x:v>Verimlilik</x:v>
      </x:c>
      <x:c r="D617" s="34" t="str">
        <x:v>Verimlilik</x:v>
      </x:c>
      <x:c r="E617" s="34" t="str">
        <x:v>Konsantrasyon Gücü</x:v>
      </x:c>
      <x:c r="F617" s="34" t="str">
        <x:v>CNewport</x:v>
      </x:c>
      <x:c r="G617" s="34" t="str">
        <x:v>2020</x:v>
      </x:c>
      <x:c r="H617" s="37" t="str">
        <x:v>Derin çalışma ritüelleri — kapasitenin kasıtlı inşası</x:v>
      </x:c>
      <x:c r="I617" s="37" t="str">
        <x:v>Newport, derin çalışmanın tesadüfle değil ritüel ve yapıyla mümkün olduğunu ve Darwin'den Twain'e, Woody Allen'dan Karl Marx'a büyük üreticilerin ortak sırrının günlük yapılandırılmış derin çalışma blokları olduğunu anlatıyor.</x:v>
      </x:c>
      <x:c r="J617" s="37" t="str">
        <x:v>Cal Newport büyük üreticilerin günlük rutinlerini araştırdı.
Darwin: Her gün aynı saatte kalkış, yürüyüş, çalışma, öğle yemeği, dinlenme, yürüyüş, çalışma. Değişmeyen ritüel.
Karl Marx: British Museum kütüphanesinde her gün aynı masada çalışırdı. Kimseyle konuşmadan.
Woody Allen: Onlarca yıl aynı daire, aynı masa, aynı daktilo. Her gün yazar.
##Newport şunu söylüyor: Bu isimler çalışmak için «ilham beklemiyor." Sistematik ritüellerle derin çalışmayı günlük hayatın yapısına işlemiş.##
Derin çalışma kapasitesi de bir kas gibi. Kullanılınca güçleniyor, kullanılmayınca zayıflıyor.
Ve ritüel zihinsel sürtüşmeyi kaldırıyor. «Şimdi mi çalışsam?» kararını her gün yeniden vermek enerji tüketiyor. Ritüel bu kararı önceden veriyor. «Bu saat çalışma saati."
Newport'un önerileri: Derin çalışma için düzenli bir blok seç. Her zaman aynı yer. Telefon başka odada. E-posta kapalı. Ve bu bloğa girmeden önce küçük bir başlangıç ritüeli — kahve, yürüyüş, belirli bir müzik — zihnin «şimdi derin çalışma zamanı" mesajını alıyor.
$$Derin çalışma tesadüfen değil ritüel ve yapıyla mümkün olur — büyük üreticilerin sırrı ilham değil sistemdir.$$
&amp;&amp;Hayatınızda derin çalışmaya ayrılmış düzenli bir blok var mı? Olmasa, bugün takvime yazmayı deneyin.&amp;&amp;</x:v>
      </x:c>
      <x:c r="K617" s="37" t="str"/>
      <x:c r="L617" s="37" t="str"/>
      <x:c r="M617" s="37" t="str"/>
      <x:c r="N617" s="37" t="str"/>
      <x:c r="O617" s="37" t="str"/>
    </x:row>
    <x:row r="618" ht="20" customHeight="1">
      <x:c r="A618" s="33" t="n">
        <x:v>1675</x:v>
      </x:c>
      <x:c r="B618" s="34" t="str">
        <x:v>1</x:v>
      </x:c>
      <x:c r="C618" s="34" t="str">
        <x:v>Liderlik</x:v>
      </x:c>
      <x:c r="D618" s="34" t="str">
        <x:v>Yönetim</x:v>
      </x:c>
      <x:c r="E618" s="34" t="str">
        <x:v>Başarılı Değişim</x:v>
      </x:c>
      <x:c r="F618" s="34" t="str">
        <x:v>James Clear</x:v>
      </x:c>
      <x:c r="G618" s="34" t="str">
        <x:v>2022</x:v>
      </x:c>
      <x:c r="H618" s="37" t="str">
        <x:v>Kimlik temelli alışkanlıklar — ben bu tür biriyim</x:v>
      </x:c>
      <x:c r="I618" s="37" t="str">
        <x:v>Clear, alışkanlık değişiminin sonuç odaklı değil kimlik odaklı olması gerektiğini ve «kilo vermek istiyorum» yerine «sağlıklı biri olarak yaşıyorum» demenin neden davranışı kökten farklı bir zeminden yönettiğini anlatıyor.</x:v>
      </x:c>
      <x:c r="J618" s="37" t="str">
        <x:v>James Clear iki sigara bırakan kişiyi karşılaştırıyor.
Birincisine «Sigara ister misin?» deniyor. «Hayır teşekkürler, bırakmaya çalışıyorum» diyor.
İkincisine aynı soru. «Hayır teşekkürler, sigara içmiyorum" diyor.
##Kelime farkı küçük. Anlam derin. Birincisi hâlâ sigara içen biri olarak tanımlıyor kendini — sadece bırakmaya çalışıyor. İkincisi artık sigara içmeyen biri olarak tanımlıyor. Kimlik değişti.##
Clear şunu söylüyor: Çoğu alışkanlık değişimi sonuç odaklı. «Kilo vermek istiyorum. Kitap okumak istiyorum. Egzersiz yapmak istiyorum."
Ama daha güçlü yol kimlik odaklı. «Ben sağlıklı biri olarak yaşıyorum. Ben okuyucu biriyim. Ben hareket eden biriyim."
Bu kimlik söylemi her kararı farklı filtreden geçiriyor. «Bu çikolata bar mı?" sorusu yerine «Sağlıklı biri olarak yaşayan biri şu an ne yer?" sorusu.
Ve her alışkanlık eylemi bu kimliğe oy vermek gibi. Her kitap okunduğunda, «Ben okuyucuyum" kimliği güçleniyor. Her egzersiz, «Ben hareket eden biriyim" kimliğini inşa ediyor.
$$Alışkanlık sonuçtan değil kimlikten doğar — 'olmak istediğin kişi ne yapar?' sorusu her kararı dönüştürür.$$
&amp;&amp;Değiştirmek istediğiniz bir alışkanlık için kendinizi nasıl tanımlıyorsunuz? «Yapmaya çalışıyorum" mı yoksa «Ben bu tür biriyim" mi?&amp;&amp;</x:v>
      </x:c>
      <x:c r="K618" s="37" t="str"/>
      <x:c r="L618" s="37" t="str"/>
      <x:c r="M618" s="37" t="str"/>
      <x:c r="N618" s="37" t="str"/>
      <x:c r="O618" s="37" t="str"/>
    </x:row>
    <x:row r="619" ht="20" customHeight="1">
      <x:c r="A619" s="33" t="n">
        <x:v>1676</x:v>
      </x:c>
      <x:c r="B619" s="34" t="str">
        <x:v>1</x:v>
      </x:c>
      <x:c r="C619" s="34" t="str">
        <x:v>Liderlik</x:v>
      </x:c>
      <x:c r="D619" s="34" t="str">
        <x:v>Yönetim</x:v>
      </x:c>
      <x:c r="E619" s="34" t="str">
        <x:v>Başarılı Değişim</x:v>
      </x:c>
      <x:c r="F619" s="34" t="str">
        <x:v>James Clear</x:v>
      </x:c>
      <x:c r="G619" s="34" t="str">
        <x:v>2022</x:v>
      </x:c>
      <x:c r="H619" s="37" t="str">
        <x:v>İki dakika kuralı — başlamak bitirmekten önemlidir</x:v>
      </x:c>
      <x:c r="I619" s="37" t="str">
        <x:v>Clear, her alışkanlığın iki dakikaya indirgenebileceğini ve bu küçültmenin başlamayı bu kadar kolaylaştırdığını anlatıyor; zira bir alışkanlığın sürdürülmesi ancak başlanmasıyla mümkündür.</x:v>
      </x:c>
      <x:c r="J619" s="37" t="str">
        <x:v>James Clear bir sorunu tanımlıyor.
Alışkanlık başlatmak zor. «Bugün egzersiz yapacağım» diyorsunuz. Akşam geliyor. Yorgunsunuz. Kanepe çekici. Egzersiz kıyafetlerini giymek bile ağır geliyor.
Ve başlamıyorsunuz.
##Clear şunu söylüyor: Alışkanlığı iki dakikaya indirge. Kitap okuma alışkanlığı mı? «Her gece yatmadan önce bir sayfa oku." Egzersiz mi? «Spor ayakkabılarını giy." Meditasyon mu? «Mindfulness uygulamasını aç ve otur."##
Bu küçük gibi görünüyor. Neredeyse saçma.
Ama işe yarıyor. Çünkü en büyük engel başlamak. Başlandıktan sonra devam etmek çok daha kolay.
Spor ayakkabılarını giyen kişi muhtemelen egzersiz yapıyor. Bir sayfa okuyan kişi çoğunlukla bir sayfa daha okuyor. Uygulamayı açan kişi büyük ihtimalle meditasyona devam ediyor.
Clear şöyle diyor: İki dakika kuralı sizi kandırmıyor — alışkanlığı basitleştiriyor. Gerçek hedef yirmi dakika koşmak. Ama beyin «başla» komutuna direniyor. İki dakika bu direnci kırıyor.
Ve alışkanlık zamanla büyüyebilir. Ama önce başlamak gerekiyor.
$$Başlamak bitirmekten önemlidir — iki dakikalık giriş noktası direnci kırar ve alışkanlık kendiliğinden büyür.$$
&amp;&amp;Başlamakta zorlandığınız bir alışkanlık var mı? Onu iki dakikaya indirgeyebilir misiniz? Bugün deneyin.&amp;&amp;</x:v>
      </x:c>
      <x:c r="K619" s="37" t="str"/>
      <x:c r="L619" s="37" t="str"/>
      <x:c r="M619" s="37" t="str"/>
      <x:c r="N619" s="37" t="str"/>
      <x:c r="O619" s="37" t="str"/>
    </x:row>
    <x:row r="620" ht="20" customHeight="1">
      <x:c r="A620" s="33" t="n">
        <x:v>1677</x:v>
      </x:c>
      <x:c r="B620" s="34" t="str">
        <x:v>1</x:v>
      </x:c>
      <x:c r="C620" s="34" t="str">
        <x:v>Liderlik</x:v>
      </x:c>
      <x:c r="D620" s="34" t="str">
        <x:v>Yönetim</x:v>
      </x:c>
      <x:c r="E620" s="34" t="str">
        <x:v>Başarılı Değişim</x:v>
      </x:c>
      <x:c r="F620" s="34" t="str">
        <x:v>James Clear</x:v>
      </x:c>
      <x:c r="G620" s="34" t="str">
        <x:v>2022</x:v>
      </x:c>
      <x:c r="H620" s="37" t="str">
        <x:v>Yüzde bir daha iyi — bileşik büyümenin alışkanlık versiyonu</x:v>
      </x:c>
      <x:c r="I620" s="37" t="str">
        <x:v>Clear, her gün yüzde bir gelişmenin bir yıl sonunda yüzde 37 daha iyi olmak anlamına geldiğini ve aynı mantıkla her gün yüzde bir gerilemenin bir yıl sonunda neredeyse sıfıra düşmek anlamına geldiğini göstererek küçük alışkanlıkların uzun vadedeki devrimci etkisini anlatıyor.</x:v>
      </x:c>
      <x:c r="J620" s="37" t="str">
        <x:v>James Clear basit bir matematik yapıyor.
Her gün yüzde bir daha iyi olsanız. Yılda 365 gün.
Bir yılın sonunda: 1.01 üzeri 365 = 37.78 kat daha iyi.
Her gün yüzde bir daha kötü olsanız.
Bir yılın sonunda: 0.99 üzeri 365 = 0.03. Neredeyse sıfır.
##Clear şunu söylüyor: Küçük alışkanlıklar anlık olarak önemsiz görünüyor. «Bugün egzersiz yapmadım, ne fark eder?" «Bu hafta kitap okumadım, hayatım değişmez." Doğru — anlık olarak. Ama bileşik büyüme uzun vadede devrimci.##
Bunun tersi de geçerli: Her gün biraz daha az uyumak, biraz daha fazla şeker yemek, biraz daha az hareket etmek — anlık olarak fark edilmiyor. Ama bir yıl sonra nerede olunduğu dramatik biçimde farklı.
Clear şöyle diyor: Sonuçlar alışkanlıkların gecikmeli yansıması. İyi alışkanlıkların ödülünü hemen almıyorsunuz. Kötü alışkanlıkların bedelini hemen ödemiyorsunuz. Bu gecikme insanları yanıltıyor.
Ama matematik sabır gerektiriyor. Doğru yönde küçük ilerlemeler, zamanla büyük dönüşümlere dönüşüyor.
$$Küçük alışkanlıklar anlık önemsiz görünür — ama bileşik büyüme uzun vadede onları devrimci kılar.$$
&amp;&amp;Şu an hayatınızda yüzde bir iyileşme yaptığınız bir alan var mı? Ve fark etmeden yüzde bir kötüleştiğiniz bir alan?&amp;&amp;</x:v>
      </x:c>
      <x:c r="K620" s="37" t="str"/>
      <x:c r="L620" s="37" t="str"/>
      <x:c r="M620" s="37" t="str"/>
      <x:c r="N620" s="37" t="str"/>
      <x:c r="O620" s="37" t="str"/>
    </x:row>
    <x:row r="621" ht="20" customHeight="1">
      <x:c r="A621" s="33" t="n">
        <x:v>1678</x:v>
      </x:c>
      <x:c r="B621" s="34" t="str">
        <x:v>1</x:v>
      </x:c>
      <x:c r="C621" s="34" t="str">
        <x:v>Psikoloji</x:v>
      </x:c>
      <x:c r="D621" s="34" t="str">
        <x:v>Farkındalık</x:v>
      </x:c>
      <x:c r="E621" s="34" t="str">
        <x:v>Yeni Başlayanlar İçin Meditasyon</x:v>
      </x:c>
      <x:c r="F621" s="34" t="str">
        <x:v>Andy Puddicombe</x:v>
      </x:c>
      <x:c r="G621" s="34" t="str">
        <x:v>2012</x:v>
      </x:c>
      <x:c r="H621" s="37" t="str">
        <x:v>Meditasyon yanılgısı — zihnin boşalması değil farkındalık</x:v>
      </x:c>
      <x:c r="I621" s="37" t="str">
        <x:v>Puddicombe, meditasyonun düşünceleri durdurmak olmadığını ve bu yanılgının çoğu insanın meditasyondan vazgeçmesine yol açtığını; asıl pratiğin düşüncelerden değil düşüncelerle ilişkiden dönüşümün yaşandığını anlatıyor.</x:v>
      </x:c>
      <x:c r="J621" s="37" t="str">
        <x:v>Andy Puddicombe yıllarca şunu duydu.
«Meditasyon denedim. Ama beceremiyorum. Zihin durmuyor."
Ve her seferinde aynı şeyi söyledi:
«Zihnin durması gerekmiyor."
##Puddicombe şunu açıklıyor: Meditasyonun en yaygın yanılgısı bu. İnsanlar meditasyona giriyor, düşünceler geliyor, «başarısız oldum" diye vazgeçiyor. Oysa düşüncelerin gelmesi başarısızlık değil — bu zihnin doğası.##
Metafor şu: Meditasyon sırasında zihin, arabalar geçen bir yol gibi. Arabaları durdurmak değil amaç. Yolun kenarında oturup arabaları izlemek.
Düşünce geliyor — «faturayı unuttum." Araba geçti. Tamam. Nefese dön.
Düşünce geliyor — «yarınki toplantı." Bir araba daha. Tamam. Nefese dön.
Puddicombe şöyle diyor: Meditasyonun pratiği düşünceleri durdurmak değil, düşüncelerden dikkatini geri almayı öğrenmek. Bu geri alma kasını geliştiriyorsunuz. Ve bu kas günlük hayatta — stres altında, karar verirken, duygular yoğunlaşırken — inanılmaz değer kazanıyor.
$$Meditasyon boş zihin değil — düşünceleri fark edip nefese dönmeyi tekrar tekrar pratiği. Her dönüş bir temrin.$$
&amp;&amp;Meditasyon denediniz ama «beceremiyorum" hissettiniz mi? Şimdi, meditasyonun amacının düşünceleri durdurmak değil onları izlemek olduğunu bilseydiniz farklı mı yaklaşırdınız?&amp;&amp;</x:v>
      </x:c>
      <x:c r="K621" s="37" t="str"/>
      <x:c r="L621" s="37" t="str"/>
      <x:c r="M621" s="37" t="str"/>
      <x:c r="N621" s="37" t="str"/>
      <x:c r="O621" s="37" t="str"/>
    </x:row>
    <x:row r="622" ht="20" customHeight="1">
      <x:c r="A622" s="33" t="n">
        <x:v>1679</x:v>
      </x:c>
      <x:c r="B622" s="34" t="str">
        <x:v>1</x:v>
      </x:c>
      <x:c r="C622" s="34" t="str">
        <x:v>Psikoloji</x:v>
      </x:c>
      <x:c r="D622" s="34" t="str">
        <x:v>Farkındalık</x:v>
      </x:c>
      <x:c r="E622" s="34" t="str">
        <x:v>Yeni Başlayanlar İçin Meditasyon</x:v>
      </x:c>
      <x:c r="F622" s="34" t="str">
        <x:v>Andy Puddicombe</x:v>
      </x:c>
      <x:c r="G622" s="34" t="str">
        <x:v>2012</x:v>
      </x:c>
      <x:c r="H622" s="37" t="str">
        <x:v>On dakika — küçük bir pratiğin büyük dönüşümü</x:v>
      </x:c>
      <x:c r="I622" s="37" t="str">
        <x:v>Puddicombe, kendi Headspace uygulamasını kurmadan önce on yıl Tibet'te Budist keşiş olarak geçirdiğini ve bu deneyimden çıkardığı en önemli dersin meditasyonu sıradan insanlar için erişilebilir kılmak olduğunu; günde on dakikanın nasıl yeterli olduğunu anlatıyor.</x:v>
      </x:c>
      <x:c r="J622" s="37" t="str">
        <x:v>Andy Puddicombe Tibet'teydi.
Yıllarca meditasyon pratiği. Keşiş hayatı. Saatler, günler, sessizlik.
Sonra Londra'ya döndü. Ve arkadaşları sordu: «Nasıl meditasyon yaparım?"
Puddicombe onlara saatler harcamalarını söyleyemezdi. Onların hayatları vardı. İşleri, çocukları, meşguliyetleri.
##Puddicombe şunu fark etti: Meditasyon erişilebilir olmak zorunda. Ve araştırmalar gösteriyordu: Günde on dakika bile ölçülebilir değişim yaratıyor.##
On dakika dikkat eğitimi:
— Stres tepkisini düzenliyor
— Prefrontal korteksi güçlendiriyor — karar alma ve dürtü kontrolü
— Amigdalayı sakinleştiriyor — duygusal tepkileri yumuşatıyor
— Uyku kalitesini artırıyor
Puddicombe bu anlayışla Headspace'i kurdu. On dakikalık rehberli meditasyonlar. Ücretsiz başlangıç. Herkes için.
Ve şöyle diyor: Mükemmel bir saat yerine tutarlı on dakika. Bu değişkeni hayatına sokmak, büyük bir pratiği zaman zaman yapmaktan çok daha güçlü.
Birkaç dakika egzersiz yapmamak «hiç yapmamak" gibi değil — az da olsa tutarlılık bileşik etki yaratıyor.
$$Günde on dakika tutarlı meditasyon, zaman zaman yapılan uzun seanslardan çok daha güçlüdür — az ve düzenli her zaman fazla ve seyreği geçer.$$
&amp;&amp;Hayatınızda günde on dakika nerede bulunabilir? Bu on dakikayı yarın sabah meditasyona ayırmayı deneyin.&amp;&amp;</x:v>
      </x:c>
      <x:c r="K622" s="37" t="str"/>
      <x:c r="L622" s="37" t="str"/>
      <x:c r="M622" s="37" t="str"/>
      <x:c r="N622" s="37" t="str"/>
      <x:c r="O622" s="37" t="str"/>
    </x:row>
    <x:row r="623" ht="20" customHeight="1">
      <x:c r="A623" s="33" t="n">
        <x:v>1680</x:v>
      </x:c>
      <x:c r="B623" s="34" t="str">
        <x:v>1</x:v>
      </x:c>
      <x:c r="C623" s="34" t="str">
        <x:v>Psikoloji</x:v>
      </x:c>
      <x:c r="D623" s="34" t="str">
        <x:v>Farkındalık</x:v>
      </x:c>
      <x:c r="E623" s="34" t="str">
        <x:v>Meditasyonla İyileşme</x:v>
      </x:c>
      <x:c r="F623" s="34" t="str">
        <x:v>Robert Wright</x:v>
      </x:c>
      <x:c r="G623" s="34" t="str">
        <x:v>2017</x:v>
      </x:c>
      <x:c r="H623" s="37" t="str">
        <x:v>Evrimsel beyin ve aldatmaca — neden zihin her zaman yanlış hissedebilir</x:v>
      </x:c>
      <x:c r="I623" s="37" t="str">
        <x:v>Wright, Budist psikoloji ile evrimsel biyolojiyi birleştirerek insan beyninin neden varsayılan olarak olumsuzluğa, endişeye ve tatminsizliğe yöneldiğini ve meditasyonun bu evrimsel programlamayı nasıl gözlemlemeye izin verdiğini anlatıyor.</x:v>
      </x:c>
      <x:c r="J623" s="37" t="str">
        <x:v>Robert Wright evrimsel bir soruyla başlıyor.
Neden insanlar sürekli endişeleniyor? Neden hiçbir şey hiçbir zaman yeterince iyi gelmiyor? Neden tatmin geçici?
Cevap: Evrim bizi mutlu olmak için değil, üremek için tasarladı.
##Wright şunu söylüyor: Beyin tatmini uzun süre yaşatmak için evrimleşmedi. Tatmin «yeterli — dur, dinlen" demek. Ama evrimsel başarı için sürekli hareket, sürekli istek, sürekli tetikte olma gerekiyordu.##
Bu yüzden:
— İyi şeyler geçici hissettiriyor — hızla adapte oluyoruz
— Kötü şeyler kalıcı hissettiriyor — tehditten öğrenme kritik
— Gelecek kaygısı kronik — belirsizlik tehlike sinyali
— Sosyal karşılaştırma sürekli — statü hayatta kalmayı etkiliyordu
Budizm bunu binlerce yıl önce söylüyordu: Zihin güvenilmez bir anlatıcı. İstekler acı üretir. Kendilik bir illüzyon.
Wright şunu söylüyor: Meditasyon bu evrimsel programlamayı silmiyor. Ama onu izlemeyi öğretiyor. «Bu beyin olumsuz düşünceye takıldı — bu bir programa» demek, o programa kapılmaktan farklı.
Gözlem seçim alanı açıyor. Ve seçim özgürlük.
$$Beyin mutluluk için değil hayatta kalmak için evrimleşti — bu programlamayı görmek ondan özgürleşmenin ilk adımıdır.$$
&amp;&amp;Zihninizin kronik olarak takıldığı bir konu var mı — endişe, karşılaştırma, tatminsizlik? Bu evrimsel bir program olabilir mi?&amp;&amp;</x:v>
      </x:c>
      <x:c r="K623" s="37" t="str"/>
      <x:c r="L623" s="37" t="str"/>
      <x:c r="M623" s="37" t="str"/>
      <x:c r="N623" s="37" t="str"/>
      <x:c r="O623" s="37" t="str"/>
    </x:row>
    <x:row r="624" ht="20" customHeight="1">
      <x:c r="A624" s="33" t="n">
        <x:v>1681</x:v>
      </x:c>
      <x:c r="B624" s="34" t="str">
        <x:v>1</x:v>
      </x:c>
      <x:c r="C624" s="34" t="str">
        <x:v>Bilim</x:v>
      </x:c>
      <x:c r="D624" s="34" t="str">
        <x:v>Teknoloji</x:v>
      </x:c>
      <x:c r="E624" s="34" t="str">
        <x:v>The Shallows</x:v>
      </x:c>
      <x:c r="F624" s="34" t="str">
        <x:v>Nicholas Carr</x:v>
      </x:c>
      <x:c r="G624" s="34" t="str">
        <x:v>2010</x:v>
      </x:c>
      <x:c r="H624" s="37" t="str">
        <x:v>İnternet ve derin okuma — kaybedilen bir beceri</x:v>
      </x:c>
      <x:c r="I624" s="37" t="str">
        <x:v>Carr, internet kullanımının beyin yapısını nasıl değiştirdiğini ve uzun formlu, doğrusal, derin okuma kapasitesinin yerini parçalı, hiper bağlantılı, yüzeysel taramaya bıraktığını nöroplastisite araştırmalarıyla anlatıyor.</x:v>
      </x:c>
      <x:c r="J624" s="37" t="str">
        <x:v>Nicholas Carr bir günlük tutmaya başladı.
Eski sevdiği şeyleri okumaya çalışıyordu. Tolstoy. Uzun denemeler. Derin analizler.
Olmuyordu. Sayfanın ortasında dikkat dağılıyordu. Bağlantı arayışına giriyordu. Hızla atlıyor, tarıyor, bir sonrakine geçiyordu.
##Carr şunu keşfetti: Bu yalnızca alışkanlık değil — beyin değişmişti. Ve araştırmalar bunu doğruluyordu.##
Nöroplastisite: Beyin kullandığı yolları güçlendiriyor, kullanmadıklarını zayıflatıyor.
İnternet yoğun kullanımı belirli örüntüler pekiştiriyor: Hızlı tarama. Çoklu görev. Hiperbağlantılı atlama. Anlık tatmin arayışı.
Ve bu örüntüler güçlenirken, derin okuma devresi zayıflıyor. Uzun, doğrusal, konsantrasyonlu okuma — bu kapasite kullanılmadığında köreliyor.
Carr şöyle diyor: Kitap okuma insanlığın doğal hali değildi — öğrenilen bir beceriydi. Ve internet bu beceriyi tersine çeviriyor. Tarama doğal, derinlik çaba gerektiriyor.
Ve sadece okuma değil: Derin düşünme, uzun formlu argümanlama, sabır gerektiren anlama — bunlar da etkileniyor.
$$İnternet hız ve genişlik kazandırdı ama derin dikkat kapasitesinin maliyetiyle — bu değişim fark edilmeden beyin şekilleniyor.$$
&amp;&amp;Son bir haftada 30 dakika kesintisiz, telefonsuz, bildirimsiz derin okuma yaptınız mı? Bu ne kadar zor geldi?&amp;&amp;</x:v>
      </x:c>
      <x:c r="K624" s="37" t="str"/>
      <x:c r="L624" s="37" t="str"/>
      <x:c r="M624" s="37" t="str"/>
      <x:c r="N624" s="37" t="str"/>
      <x:c r="O624" s="37" t="str"/>
    </x:row>
    <x:row r="625" ht="20" customHeight="1">
      <x:c r="A625" s="33" t="n">
        <x:v>1682</x:v>
      </x:c>
      <x:c r="B625" s="34" t="str">
        <x:v>1</x:v>
      </x:c>
      <x:c r="C625" s="34" t="str">
        <x:v>Bilim</x:v>
      </x:c>
      <x:c r="D625" s="34" t="str">
        <x:v>Teknoloji</x:v>
      </x:c>
      <x:c r="E625" s="34" t="str">
        <x:v>The Shallows</x:v>
      </x:c>
      <x:c r="F625" s="34" t="str">
        <x:v>Nicholas Carr</x:v>
      </x:c>
      <x:c r="G625" s="34" t="str">
        <x:v>2010</x:v>
      </x:c>
      <x:c r="H625" s="37" t="str">
        <x:v>Hafıza ve Google etkisi — bilgiyi saklamaktan aramaya geçiş</x:v>
      </x:c>
      <x:c r="I625" s="37" t="str">
        <x:v>Carr, araştırmacı Betsy Sparrow'ın çalışmalarına dayanarak insanların artık bilgiyi bellekte saklamak yerine nerede bulacaklarını sakladığını ve bu değişimin hem bellek kapasitesini hem de anlama derinliğini nasıl etkilediğini anlatıyor.</x:v>
      </x:c>
      <x:c r="J625" s="37" t="str">
        <x:v>Nicholas Carr bir araştırmayı aktarıyor.
Psikolog Betsy Sparrow deneyinde katılımcılara çeşitli gerçekler öğretti. Bir gruba «bu bilgiler bilgisayara kaydedildi" dedi. Diğer gruba «silinecek" dedi.
##Sonuç: «Kaydedildi" grubu bilgileri çok daha az hatırladı. Beyin «bunu saklamam gerekmiyor, Google var" kararını otomatik verdi.##
Carr bunu «bilişsel yük boşaltma" olarak tanımlıyor. Telefon bir uzantı hafıza haline geliyor. Beyin saklamak yerine nerede bulacağını saklıyor.
Bu verimsizlik değil — bir adaptasyon. Ama maliyeti var.
Bilgi bellekte saklandığında, başka bilgilerle bağlantı kuruyor. İlişkilendiriyor. Yeni fikirler doğuruyor. Yaratıcılık bu ağdan geliyor.
Bilgi yalnızca dışarıda varsa, bu ağ kurulmuyor. Hızlıca erişilebilir ama içsel olarak entegre değil.
Carr şöyle diyor: Google hafıza için muhteşem bir araç. Ama hafızanın işlevi yalnızca depolama değil — düşüncenin zemini. Ve o zemin zayıflıyorsa, düşünce de yüzeyselleşiyor.
$$Dışarıya yüklenmiş hafıza erişimi kolaylaştırır ama içsel bağlantı ağını — ve dolayısıyla derin düşünceyi — zayıflatır.$$
&amp;&amp;Önemli bulduğunuz bir bilgiyi ezberlemek yerine «telefonuma bakacağım" demek ne kadar sık oluyor? Bu alışkanlığın uzun vadeli etkisini düşündünüz mü?&amp;&amp;</x:v>
      </x:c>
      <x:c r="K625" s="37" t="str"/>
      <x:c r="L625" s="37" t="str"/>
      <x:c r="M625" s="37" t="str"/>
      <x:c r="N625" s="37" t="str"/>
      <x:c r="O625" s="37" t="str"/>
    </x:row>
    <x:row r="626" ht="20" customHeight="1">
      <x:c r="A626" s="33" t="n">
        <x:v>1683</x:v>
      </x:c>
      <x:c r="B626" s="34" t="str">
        <x:v>1</x:v>
      </x:c>
      <x:c r="C626" s="34" t="str">
        <x:v>Verimlilik</x:v>
      </x:c>
      <x:c r="D626" s="34" t="str">
        <x:v>Verimlilik</x:v>
      </x:c>
      <x:c r="E626" s="34" t="str">
        <x:v>Dikkatin Gücü</x:v>
      </x:c>
      <x:c r="F626" s="34" t="str">
        <x:v>Daniel Goleman</x:v>
      </x:c>
      <x:c r="G626" s="34" t="str">
        <x:v>2013</x:v>
      </x:c>
      <x:c r="H626" s="37" t="str">
        <x:v>Üç odak türü — iç, dış ve sistem odağı</x:v>
      </x:c>
      <x:c r="I626" s="37" t="str">
        <x:v>Goleman, liderlik ve başarı için kritik olan üç farklı odak kapasitesini tanımlıyor: İç odak — kendi duygu ve düşüncelerini anlama, dış odak — başkalarını anlama, sistem odağı — büyük resmi görme. Ve bu üçünün nasıl birbirini tamamladığını anlatıyor.</x:v>
      </x:c>
      <x:c r="J626" s="37" t="str">
        <x:v>Daniel Goleman odağı tek boyutlu bir kavram olarak değil üç farklı kapasite olarak ele alıyor.
Ve büyük liderler bu üçüne de sahip.
##Birinci kapasite: İç odak. Kendi duygularını, dürtülerini, değerlerini tanımak. Bu olmadan insanlar kör tepkiler veriyor — duygu onları yönlendiriyor, onlar duyguyu değil.
İkinci kapasite: Dış odak. Başkalarını anlamak. Empati. Sosyal radar. Bu olmadan lider odada ne döndüğünü görmüyor.
Üçüncü kapasite: Sistem odağı. Büyük resmi görme. Örüntüleri fark etme. Kararların uzun vadeli etkilerini anlama.##
Goleman şunu söylüyor: Yalnızca iç odağı olan lider kendi değerlerinde güçlü ama başkalarını anlayamıyor. Yalnızca dış odağı olan lider sosyal zeki ama kaybolmuş. Yalnızca sistem odağı olan lider stratejik ama insanlarla bağlantısı yok.
En etkili liderler bu üçünü dengeli geliştirmiş. Hem içeri hem dışarı hem büyük resme bakabiliyorlar.
Ve bu üç kapasite geliştirilebilir — doğuştan değil pratikle inşa ediliyor.
$$İç farkındalık, empati ve sistem görüşü — bu üç odak kapasitesi birlikte liderliği mümkün kılar.$$
&amp;&amp;Bu üç odak kapasitesinden hangisi sizde en güçlü, hangisi en zayıf? En zayıf olanı nasıl geliştirebilirsiniz?&amp;&amp;</x:v>
      </x:c>
      <x:c r="K626" s="37" t="str"/>
      <x:c r="L626" s="37" t="str"/>
      <x:c r="M626" s="37" t="str"/>
      <x:c r="N626" s="37" t="str"/>
      <x:c r="O626" s="37" t="str"/>
    </x:row>
    <x:row r="627" ht="20" customHeight="1">
      <x:c r="A627" s="33" t="n">
        <x:v>1684</x:v>
      </x:c>
      <x:c r="B627" s="34" t="str">
        <x:v>1</x:v>
      </x:c>
      <x:c r="C627" s="34" t="str">
        <x:v>Verimlilik</x:v>
      </x:c>
      <x:c r="D627" s="34" t="str">
        <x:v>Verimlilik</x:v>
      </x:c>
      <x:c r="E627" s="34" t="str">
        <x:v>Dikkatin Gücü</x:v>
      </x:c>
      <x:c r="F627" s="34" t="str">
        <x:v>Daniel Goleman</x:v>
      </x:c>
      <x:c r="G627" s="34" t="str">
        <x:v>2013</x:v>
      </x:c>
      <x:c r="H627" s="37" t="str">
        <x:v>Dikkat eğitimi — beyin kası olarak odak</x:v>
      </x:c>
      <x:c r="I627" s="37" t="str">
        <x:v>Goleman, odağın doğuştan sabit bir kapasite olmadığını, nöroplastisite araştırmalarının dikkat eğitiminin beyni nasıl ölçülebilir biçimde değiştirdiğini gösterdiğini ve bu eğitimin hem meditasyonla hem hedefli pratikle nasıl yapılabileceğini anlatıyor.</x:v>
      </x:c>
      <x:c r="J627" s="37" t="str">
        <x:v>Daniel Goleman bir nörobiyolog arkadaşıyla konuşuyordu.
«Dikkat eğitilebilir mi?"
Arkadaşı güldü: «Bunu on yıl önce sorsan 'hayır' derdim. Şimdi kesinlikle evet."
##Nöroplastisite araştırmaları şunu gösteriyor: Dikkat pratik yapılan şeyin beyindeki temsili güçleniyor. Tıpkı kaslar gibi.##
Goleman meditasyonu beyin antrenmanı olarak çerçeveli yor. Dikkat dağıldığında fark etmek ve geri getirmek — bu tekrar kasılma ve gevşeme gibi dikkat kasını çalıştırıyor.
Araştırmalar gösteriyor: Sekiz haftalık düzenli meditasyon prefrontal korteksin yoğunluğunu artırıyor — dikkat, karar alma ve öz düzenlemenin merkezi. Ve amigdalayı küçültüyor — stres ve kaygı tepkisinin merkezi.
Ama yalnızca meditasyon değil. Hedefli pratik de dikkat kasını güçlendiriyor. Bir konuya tamamen dalmak. Kitap okumak. Çalgı çalmak. Bir problemi derinlemesine düşünmek.
Goleman şöyle diyor: «Dikkat sorunum var" gibi bir şey söylendiğinde artık şunu soruyor: «O kası ne kadar çalıştırıyorsunuz?"
$$Dikkat sabit bir kapasite değil — pratikle büyüyen, ihmal edilince zayıflayan bir kastır.$$
&amp;&amp;Bu hafta dikkat kasınızı ne kadar çalıştırdınız? Gerçek odak gerektiren — sürekli kesintisiz dikkat isteyen — aktiviteler ne kadar yer kapladı?&amp;&amp;</x:v>
      </x:c>
      <x:c r="K627" s="37" t="str"/>
      <x:c r="L627" s="37" t="str"/>
      <x:c r="M627" s="37" t="str"/>
      <x:c r="N627" s="37" t="str"/>
      <x:c r="O627" s="37" t="str"/>
    </x:row>
    <x:row r="628" ht="20" customHeight="1">
      <x:c r="A628" s="33" t="n">
        <x:v>1685</x:v>
      </x:c>
      <x:c r="B628" s="34" t="str">
        <x:v>1</x:v>
      </x:c>
      <x:c r="C628" s="34" t="str">
        <x:v>Psikoloji</x:v>
      </x:c>
      <x:c r="D628" s="34" t="str">
        <x:v>Psikoloji</x:v>
      </x:c>
      <x:c r="E628" s="34" t="str">
        <x:v>Duygusal Çeviklik</x:v>
      </x:c>
      <x:c r="F628" s="34" t="str">
        <x:v>Susan David</x:v>
      </x:c>
      <x:c r="G628" s="34" t="str">
        <x:v>2016</x:v>
      </x:c>
      <x:c r="H628" s="37" t="str">
        <x:v>Düşünce kancaları — zihni ele geçiren hikayeler</x:v>
      </x:c>
      <x:c r="I628" s="37" t="str">
        <x:v>David, insanların düşüncelerine ve duygularına nasıl takılıp kaldığını — onlarla bütünleştiğini — ve bu «kancaya takılma» sürecinin farkında olmak ile düşünceden mesafe almanın nasıl esneklik yarattığını anlatıyor.</x:v>
      </x:c>
      <x:c r="J628" s="37" t="str">
        <x:v>Susan David bir hastasını anlatıyor.
Adam her toplantıdan önce şunu düşünüyordu: «Başarısız olacağım. Aptal görüneceğim. Herkes görecek."
Bu düşüncelerle toplantılara giriyordu. Ve toplantılarda gerçekten iyi performans gösteremiyordu.
Bir döngü.
##David buna «kancaya takılmak» diyor. Düşünce geldi — «başarısız olacağım" — ve zihin onu gerçekmiş gibi işledi. Düşünce ile gerçek arasındaki mesafe kapandı.##
Ama düşünce gerçek değil — beynin ürettiği bir çıktı. Ve bu farkı görmek her şeyi değiştiriyor.
David'in tekniği: «Defusion." Düşünceden mesafe almak.
«Başarısız olacağım" yerine «Başarısız olacağımı düşünüyorum" demek. Küçük bir kelime eklentisi. Ama zihinsel etki büyük.
Ya da daha da uzağa: «Beyin 'başarısız olacaksın' diyor." İşte şimdi düşünce bir gerçek değil — bir ses. Ve sese inanmak ya da inanmamak seçilebilir.
David şöyle diyor: Duygusal çeviklik düşünceleri yok saymak değil. Onlarla bütünleşmemek. «Bu bir düşünce, ben değilim."
$$Düşünceler gerçek değil — beynin çıktıları. Onlardan mesafe almak onların sizi yönetmesini engeller.$$
&amp;&amp;Tekrar eden zihninizi ele geçiren bir düşünce var mı? Şimdi ona «Beyin ... diyor" diye bakın. Ne fark etti?&amp;&amp;</x:v>
      </x:c>
      <x:c r="K628" s="37" t="str"/>
      <x:c r="L628" s="37" t="str"/>
      <x:c r="M628" s="37" t="str"/>
      <x:c r="N628" s="37" t="str"/>
      <x:c r="O628" s="37" t="str"/>
    </x:row>
    <x:row r="629" ht="20" customHeight="1">
      <x:c r="A629" s="33" t="n">
        <x:v>1686</x:v>
      </x:c>
      <x:c r="B629" s="34" t="str">
        <x:v>1</x:v>
      </x:c>
      <x:c r="C629" s="34" t="str">
        <x:v>Psikoloji</x:v>
      </x:c>
      <x:c r="D629" s="34" t="str">
        <x:v>Psikoloji</x:v>
      </x:c>
      <x:c r="E629" s="34" t="str">
        <x:v>Duygusal Çeviklik</x:v>
      </x:c>
      <x:c r="F629" s="34" t="str">
        <x:v>Susan David</x:v>
      </x:c>
      <x:c r="G629" s="34" t="str">
        <x:v>2016</x:v>
      </x:c>
      <x:c r="H629" s="37" t="str">
        <x:v>Değerlere dayalı eylem — duygu değil değer rehberlik eder</x:v>
      </x:c>
      <x:c r="I629" s="37" t="str">
        <x:v>David, duygusal çevikliğin nihai amacının duyguları kontrol etmek değil, duygulara rağmen değerlerle uyumlu hareket etmek olduğunu ve bu ayrımın hem psikolojik sağlıkla hem de anlamlı bir yaşamla nasıl doğrudan bağlantılı olduğunu anlatıyor.</x:v>
      </x:c>
      <x:c r="J629" s="37" t="str">
        <x:v>Susan David bir ayrımı netleştiriyor.
Duygusal çeviklik duyguları ortadan kaldırmak değil. Kaygıyı silmek değil. Üzüntüyü yok etmek değil.
O zaman ne?
##David şunu söylüyor: Duygular bilgi taşıyor. Kaygı «bu önemli" diyor. Öfke «bir sınır çiğnendi" diyor. Üzüntü «bir kayıp var" diyor. Bu bilgiyi almak ama duygular tarafından yönetilmemek — fark bu.##
Pratik örnek:
Kaygı geliyor — «sunum berbat geçecek."
Duygusal çevik tepki değil: «Kaygım geçsin, rahat hissedeyim."
Duygusal çevik tepki: «Kaygı var. Tamam. Ama değerim ne? İşimi iyi yapmak. Kaygıya rağmen en iyi sunumu yapabilir miyim?"
Kaygı devam ediyor olabilir. Ama davranış değer tarafından yönlendiriliyor — duygu tarafından değil.
David şöyle diyor: İnsanlar çoğunlukla «iyi hissedeyim" olduğunda doğru şeyleri yapacaklarını bekliyor. Ama bu sıra yanlış. Değerle uyumlu davranmak iyi hissi takip ediyor — tersi değil.
$$Duygular bilgi taşır ama rehber değil — değerler rehberdir. Fark burada.$$
&amp;&amp;Son bir haftada kaygı ya da başka bir duygu sizi değerlerinizin tam tersine yöneltti mi? O anda değer rehberliğini kullanabilseydiniz ne değişirdi?&amp;&amp;</x:v>
      </x:c>
      <x:c r="K629" s="37" t="str"/>
      <x:c r="L629" s="37" t="str"/>
      <x:c r="M629" s="37" t="str"/>
      <x:c r="N629" s="37" t="str"/>
      <x:c r="O629" s="37" t="str"/>
    </x:row>
    <x:row r="630" ht="20" customHeight="1">
      <x:c r="A630" s="33" t="n">
        <x:v>1687</x:v>
      </x:c>
      <x:c r="B630" s="34" t="str">
        <x:v>1</x:v>
      </x:c>
      <x:c r="C630" s="34" t="str">
        <x:v>Psikoloji</x:v>
      </x:c>
      <x:c r="D630" s="34" t="str">
        <x:v>Psikoloji</x:v>
      </x:c>
      <x:c r="E630" s="34" t="str">
        <x:v>Psikolojik Esneklik</x:v>
      </x:c>
      <x:c r="F630" s="34" t="str">
        <x:v>Russ Harris</x:v>
      </x:c>
      <x:c r="G630" s="34" t="str">
        <x:v>2007</x:v>
      </x:c>
      <x:c r="H630" s="37" t="str">
        <x:v>Mutluluk tuzağı — daha iyi hissetmeye çalışmak neden işe yaramıyor</x:v>
      </x:c>
      <x:c r="I630" s="37" t="str">
        <x:v>Harris, ACT'nin (Kabul ve Kararlılık Terapisi) temel paradoksunu anlatıyor: Mutluluğu doğrudan hedeflemek onu uzaklaştırır; mutluluk ise değerlere dayalı anlamlı bir hayatın yan ürünü olarak kendiliğinden gelir.</x:v>
      </x:c>
      <x:c r="J630" s="37" t="str">
        <x:v>Russ Harris provokatif bir iddia yapıyor.
«Mutluluğu hedeflemeyin."
Self-help kitapların yüzde doksanının dediğinin tam tersi.
##Harris şunu söylüyor: İyi hissetmeye çalışmak için ne kadar çok çabalarsanız, o kadar çok hayal kırıklığı yaşarsınız. Çünkü kötü hisleri ortadan kaldırmak mümkün değil — ve bu mümkünmüş gibi davranan her strateji sonunda sizi yalnızca daha takıntılı kılıyor.##
Metafor şu: Bataklığa düşüyorsunuz. İçgüdüsel tepki çırpınmak. Ama bataklıkta çırpınmak daha deriye batırır. Doğru hareket yayılmak — daha geniş bir alana yük dağıtmak.
Olumsuz duygularla da aynı: Ne kadar savaşırsanız o kadar güçlü hissettiriyor. Ne kadar kaçarsanız o kadar büyüyor.
Harris'in alternatifi kabul. Duyguya alan tanımak. Onunla savaşmamak.
Ve ardından şu soruyu sormak: «Bu duyguya rağmen değerlerimle uyumlu hareket edebilir miyim?"
Mutluluk bu soruya «evet" diyerek yaşanan hayatın yan ürünü. Hedef değil, sonuç.
$$Mutluluğu hedeflemek onu uzaklaştırır — değerlere dayalı anlamlı hayat onu yan ürün olarak getirir.$$
&amp;&amp;«İyi hissedeyim» diyerek ertelediğiniz bir şey var mı? O şeyi bugün yapmak için iyi hissetmeye gerçekten ihtiyacınız var mı?&amp;&amp;</x:v>
      </x:c>
      <x:c r="K630" s="37" t="str"/>
      <x:c r="L630" s="37" t="str"/>
      <x:c r="M630" s="37" t="str"/>
      <x:c r="N630" s="37" t="str"/>
      <x:c r="O630" s="37" t="str"/>
    </x:row>
    <x:row r="631" ht="20" customHeight="1">
      <x:c r="A631" s="33" t="n">
        <x:v>1688</x:v>
      </x:c>
      <x:c r="B631" s="34" t="str">
        <x:v>1</x:v>
      </x:c>
      <x:c r="C631" s="34" t="str">
        <x:v>Psikoloji</x:v>
      </x:c>
      <x:c r="D631" s="34" t="str">
        <x:v>Psikoloji</x:v>
      </x:c>
      <x:c r="E631" s="34" t="str">
        <x:v>Psikolojik Esneklik</x:v>
      </x:c>
      <x:c r="F631" s="34" t="str">
        <x:v>Russ Harris</x:v>
      </x:c>
      <x:c r="G631" s="34" t="str">
        <x:v>2007</x:v>
      </x:c>
      <x:c r="H631" s="37" t="str">
        <x:v>Bilişsel ayrışma — düşüncelerden mesafe almanın ACT yöntemi</x:v>
      </x:c>
      <x:c r="I631" s="37" t="str">
        <x:v>Harris, ACT'nin temel tekniklerinden olan bilişsel ayrışmayı — düşüncelerle bütünleşmek yerine onları akıp geçen olaylar olarak izlemeyi — ve bu tekniğin günlük hayatın stresli anlarında nasıl pratiğe geçirileceğini anlatıyor.</x:v>
      </x:c>
      <x:c r="J631" s="37" t="str">
        <x:v>Russ Harris basit bir egzersiz öneriyor.
Şu cümleyi tamamlayın: «Ben yetersizim."
Şimdi bu cümleyi öyle hissedinceye kadar tekrarlayın.
Sonra şu cümleyle tekrarlayın: «Ben 'yetersizim' düşüncesine sahibim."
Fark hissettiniz mi?
##Harris bunu «bilişsel ayrışma» olarak tanımlıyor. Birinci cümle sizi düşünceyle bütünleştiriyor. İkincisi mesafe koyuyor. Ve bu mesafe — küçük bir kelime farkı — düşüncenin gücünü dramatik biçimde azaltıyor.##
ACT tekniklerinden biri şu:
Zor bir düşünce geldiğinde onu şöyle yeniden çerçevele: «Zihin şu anda şunu söylüyor: ..." 
Ya da görselleştirme: Düşünceleri bir nehirde yüzen yapraklar olarak hayal edin. Her düşünce bir yaprak. Siz kıyıda oturuyorsunuz ve izliyorsunuz.
Harris şöyle diyor: Ayrışma düşünceyi yok etmiyor. Ama düşüncenin sizi kontrol etme gücünü azaltıyor. Ve bu güç azalınca değerlerinizle uyumlu seçim yapmak çok daha kolay.
$$Düşüncelerle bütünleşmek onların gücünü artırır — mesafe almak seçim özgürlüğü yaratır.$$
&amp;&amp;Zihninizde tekrar eden güçlü bir olumsuz düşünce var mı? Şimdi onu «Zihin şunu söylüyor: ..." olarak ifade edin. Ne fark etti?&amp;&amp;</x:v>
      </x:c>
      <x:c r="K631" s="37" t="str"/>
      <x:c r="L631" s="37" t="str"/>
      <x:c r="M631" s="37" t="str"/>
      <x:c r="N631" s="37" t="str"/>
      <x:c r="O631" s="37" t="str"/>
    </x:row>
    <x:row r="632" ht="20" customHeight="1">
      <x:c r="A632" s="33" t="n">
        <x:v>1689</x:v>
      </x:c>
      <x:c r="B632" s="34" t="str">
        <x:v>1</x:v>
      </x:c>
      <x:c r="C632" s="34" t="str">
        <x:v>Psikoloji</x:v>
      </x:c>
      <x:c r="D632" s="34" t="str">
        <x:v>Psikoloji</x:v>
      </x:c>
      <x:c r="E632" s="34" t="str">
        <x:v>Bütünleşik Zekanın Gücü</x:v>
      </x:c>
      <x:c r="F632" s="34" t="str">
        <x:v>Travis Bradberry</x:v>
      </x:c>
      <x:c r="G632" s="34" t="str">
        <x:v>2009</x:v>
      </x:c>
      <x:c r="H632" s="37" t="str">
        <x:v>EQ neden IQ'dan daha belirleyici — başarının gizli faktörü</x:v>
      </x:c>
      <x:c r="I632" s="37" t="str">
        <x:v>Bradberry, araştırmaların iş başarısını belirleyen faktörlerin yüzde 58'inin duygusal zeka olduğunu gösterdiğini ve yüksek IQ'nun tek başına yetersiz kaldığı pek çok durumu somut verilerle aktarıyor.</x:v>
      </x:c>
      <x:c r="J632" s="37" t="str">
        <x:v>Travis Bradberry şaşırtıcı bir veri sunuyor.
IQ ile iş başarısı arasındaki korelasyon: Yüzde yirmi ile yirmi beş.
Peki geri kalan yüzde yetmiş beş ila seksen nerede?
##Araştırmalar gösteriyor: İş performansını belirleyen faktörlerin yüzde 58'i duygusal zeka. EQ. IQ değil.##
Bradberry şunu söylüyor: IQ zirveye girmenizi sağlar. Ama zirveye girdikten sonra, neredeyse herkesin IQ'su yüksek. Fark yaratan o noktada duygusal zeka.
EQ dört bileşenden oluşuyor:
— Öz farkındalık: Kendi duygularını tanıma
— Öz yönetim: Duygulara rağmen doğru tepki verme
— Sosyal farkındalık: Başkalarının duygularını anlama
— İlişki yönetimi: Bu anlayışla ilişkileri güçlendirme
Bradberry'nin araştırması şunu da gösteriyor: Yüksek EQ'lu çalışanlar yıllık ortalama olarak düşük EQ'lu meslektaşlarından çok daha fazla kazanıyor. Ve EQ geliştirilebilir — IQ'nun aksine.
Bu iyi haber. Çünkü en güçlü fark yaratan araç, en çok geliştirmeye açık olan.
$$IQ zirveye çıkarır, EQ zirvede tutar — duygusal zeka modern iş dünyasının en değerli ve geliştirilebilir becerisidir.$$
&amp;&amp;Bu dört EQ bileşeninden hangisi sizde en güçlü, hangisi en zayıf? Zayıf olanı geliştirmek için bugün ne yapabilirsiniz?&amp;&amp;</x:v>
      </x:c>
      <x:c r="K632" s="37" t="str"/>
      <x:c r="L632" s="37" t="str"/>
      <x:c r="M632" s="37" t="str"/>
      <x:c r="N632" s="37" t="str"/>
      <x:c r="O632" s="37" t="str"/>
    </x:row>
    <x:row r="633" ht="20" customHeight="1">
      <x:c r="A633" s="33" t="n">
        <x:v>1690</x:v>
      </x:c>
      <x:c r="B633" s="34" t="str">
        <x:v>1</x:v>
      </x:c>
      <x:c r="C633" s="34" t="str">
        <x:v>Psikoloji</x:v>
      </x:c>
      <x:c r="D633" s="34" t="str">
        <x:v>Psikoloji</x:v>
      </x:c>
      <x:c r="E633" s="34" t="str">
        <x:v>Bütünleşik Zekanın Gücü</x:v>
      </x:c>
      <x:c r="F633" s="34" t="str">
        <x:v>Travis Bradberry</x:v>
      </x:c>
      <x:c r="G633" s="34" t="str">
        <x:v>2009</x:v>
      </x:c>
      <x:c r="H633" s="37" t="str">
        <x:v>Öz farkındalık — duygusal zekanın temeli</x:v>
      </x:c>
      <x:c r="I633" s="37" t="str">
        <x:v>Bradberry, araştırmasında yüksek öz farkındalığı olan kişilerin hem daha iyi kararlar hem daha güçlü ilişkiler hem de daha yüksek iş performansı sergilediğini ve öz farkındalığı geliştirmenin pratik yollarını anlatıyor.</x:v>
      </x:c>
      <x:c r="J633" s="37" t="str">
        <x:v>Travis Bradberry bir araştırma yapıyor.
Insanlara «kendinizi ne kadar iyi tanıyorsunuz?" sorusu soruluyor. Yüzde doksanı «ortalamanın üzerinde" diyor.
Aynı insanlar 360 derece değerlendirmeye alınıyor — çevrelerindeki insanlar onlar hakkında değerlendirme yapıyor.
##Çoğunlukla büyük bir uçurum ortaya çıkıyor. Öz algı ile başkalarının algısı arasında. Ve bu uçurum öz farkındalık eksikliğinin kanıtı.##
Bradberry öz farkındalığı iki boyutta tanımlıyor:
İçsel: Kendi duygularını, güçlü yönlerini, sınırlarını ve değerlerini gerçek zamanlı olarak anlama.
Dışsal: Başkalarının sizi nasıl gördüğünü anlama. Bu içsel öz farkındalıktan çok farklı — ve çoğunlukla çok daha zor.
Geliştirme yolları:
— Duygular geldiğinde dur ve adlandır — «şu an ne hissediyorum?"
— Güvendiğiniz birinden gerçekten dürüst geri bildirim isteyin
— Kararlarınızın arkasındaki gerçek motivasyonu sorgulayın
— Günlük kısa yansıma — «bugün hangi duygular kararlarımı etkiledi?"
$$Öz farkındalık duygusal zekanın temeli — kendini tanımak hem kararları hem ilişkileri hem performansı doğrudan etkiler.$$
&amp;&amp;Bugün aldığınız bir kararı etkileyen bir duyguyu fark edebildiniz mi? Fark etmek o kararı nasıl etkiledi?&amp;&amp;</x:v>
      </x:c>
      <x:c r="K633" s="37" t="str"/>
      <x:c r="L633" s="37" t="str"/>
      <x:c r="M633" s="37" t="str"/>
      <x:c r="N633" s="37" t="str"/>
      <x:c r="O633" s="37" t="str"/>
    </x:row>
    <x:row r="634" ht="20" customHeight="1">
      <x:c r="A634" s="33" t="n">
        <x:v>1691</x:v>
      </x:c>
      <x:c r="B634" s="34" t="str">
        <x:v>1</x:v>
      </x:c>
      <x:c r="C634" s="34" t="str">
        <x:v>Psikoloji</x:v>
      </x:c>
      <x:c r="D634" s="34" t="str">
        <x:v>Psikoloji</x:v>
      </x:c>
      <x:c r="E634" s="34" t="str">
        <x:v>Bütünleşik Zekanın Gücü</x:v>
      </x:c>
      <x:c r="F634" s="34" t="str">
        <x:v>Travis Bradberry</x:v>
      </x:c>
      <x:c r="G634" s="34" t="str">
        <x:v>2009</x:v>
      </x:c>
      <x:c r="H634" s="37" t="str">
        <x:v>İlişki yönetimi — bağlantı kurmak bir beceridir</x:v>
      </x:c>
      <x:c r="I634" s="37" t="str">
        <x:v>Bradberry, EQ'nun en görünür ve en çok iş ve liderlik başarısını etkileyen boyutu olan ilişki yönetiminin nasıl geliştirileceğini, özellikle zor ilişkileri ve çatışmaları yönetmenin pratik becerilerini anlatıyor.</x:v>
      </x:c>
      <x:c r="J634" s="37" t="str">
        <x:v>Travis Bradberry ilişki yönetimini EQ'nun en önemli ve en görünür boyutu olarak tanımlıyor.
Neden?
Çünkü liderliğin, ekip çalışmasının ve iş başarısının büyük bölümü başkalarıyla etkili biçimde çalışmakla ilgili.
##Bradberry şunu söylüyor: Yüksek ilişki yönetimi kapasitesi olan insanlar çatışmayı bastırmıyor — onu yönetiyor. Zor konuşmalardan kaçmıyor — doğru şekilde yapıyor. Geri bildirim verirken hem dürüst hem nazik olabiliyor.##
Pratik beceriler:
Zor konuşmayı açmak: Savunmacılığı tetiklemeyen «ben" dili. «Sen hep..." değil, «Ben şunu hissediyorum."
Çatışmada merak: «Bu konuda seni yönlendiren ne?" sorusu savunmayı kırıyor.
Geri bildirim çerçevesi: Önce gerçek bir güçlü yan. Sonra gelişim alanı. Sonra destek sözü. Bu sıra geri bildirimi savunmacı değil açık dinleme modunda almasını sağlıyor.
Bradberry şöyle diyor: İlişki yönetimi karizmayla ilgili değil. Öz farkındalık ve sosyal farkındalık kapasitesinin ilişkilere yansımasıyla ilgili. Ve bu pratikle inşa ediliyor.
$$İlişki yönetimi doğal karizmanın değil — öz ve sosyal farkındalığın ilişkilere uygulanmasının ürünüdür.$$
&amp;&amp;Hayatınızda yönetmekte zorlandığınız bir ilişki ya da tekrar eden bir çatışma var mı? Bugün öğrendiğiniz çerçeveyle farklı nasıl yaklaşırdınız?&amp;&amp;</x:v>
      </x:c>
      <x:c r="K634" s="37" t="str"/>
      <x:c r="L634" s="37" t="str"/>
      <x:c r="M634" s="37" t="str"/>
      <x:c r="N634" s="37" t="str"/>
      <x:c r="O634" s="37" t="str"/>
    </x:row>
    <x:row r="635" ht="20" customHeight="1">
      <x:c r="A635" s="33" t="n">
        <x:v>1692</x:v>
      </x:c>
      <x:c r="B635" s="34" t="str">
        <x:v>2</x:v>
      </x:c>
      <x:c r="C635" s="34" t="str">
        <x:v>Tarih</x:v>
      </x:c>
      <x:c r="D635" s="34" t="str">
        <x:v>Tarih</x:v>
      </x:c>
      <x:c r="E635" s="34" t="str">
        <x:v>Rakipler Takımı</x:v>
      </x:c>
      <x:c r="F635" s="34" t="str">
        <x:v>Doris Kearns Goodwin</x:v>
      </x:c>
      <x:c r="G635" s="34" t="str">
        <x:v>2005</x:v>
      </x:c>
      <x:c r="H635" s="37" t="str">
        <x:v>Lincoln Neden Rakiplerini Kabinesine Aldı?</x:v>
      </x:c>
      <x:c r="I635" s="37" t="str">
        <x:v>Lincoln, ülkenin en büyük krizinde kendisine sadık isimler yerine eski siyasi rakiplerini aynı masaya topladı.</x:v>
      </x:c>
      <x:c r="J635" s="37" t="str">
        <x:v>1860'ta Abraham Lincoln, Cumhuriyetçi Parti'nin başkan adaylığını kazandığında Washington'ın en tanınmış ismi değildi. Üstelik adaylık yarışında William Seward, Salmon Chase ve Edward Bates gibi çok daha deneyimli rakipleri geride bırakmıştı. Başkan seçildikten sonra çevresi ondan sadık destekçilerini ödüllendirmesini bekledi. Lincoln tersini yaptı: Üç rakibini de kabinesine çağırdı. Seward dışişleri, Chase hazine, Bates ise adalet yönetimini üstlendi. Bu adamlar yalnızca güçlü değildi; Lincoln'ün kararlarına itiraz ediyor, zaman zaman kendilerini başkanlığa daha uygun görüyorlardı. Fakat ülke parçalanmanın eşiğindeydi ve Lincoln, itaat eden insanlardan çok farklı kanatları temsil eden yeteneklere ihtiyaç duydu. Tartışmaları bastırmak yerine dinledi, son kararı ise kendisi verdi. ##Siyasi rakiplerinden oluşan bu ekip, İç Savaş boyunca ülkenin en kritik kararlarını birlikte yönetti.## Lincoln özellikle Seward'ın saygısını ve yakın dostluğunu kazandı. $$Güçlü liderlik, itirazı susturmak değil; doğru insanları ortak bir amaç etrafında çalıştırabilmektir.$$ &amp;&amp;Sen olsaydın, sana açıkça rakip olmuş birini hangi koşullarda ekibine alırdın?&amp;&amp;</x:v>
      </x:c>
      <x:c r="K635" s="37" t="str">
        <x:v>Sana rakip olmuş üç kişiyi en kritik ekibine alır mıydın?</x:v>
      </x:c>
      <x:c r="L635" s="37" t="str">
        <x:v>Lincoln, en güçlü kabinesini kendisine sadık isimlerden değil, eski rakiplerinden kurdu.</x:v>
      </x:c>
      <x:c r="M635" s="37" t="str">
        <x:v>Lincoln 1860 seçimlerini kazandığında üç büyük siyasi rakibini dışarıda bırakabilirdi. Bunun yerine Seward'ı dışişlerine, Chase'i hazineye, Bates'i adalete getirdi. Hepsi daha deneyimliydi ve ona açıkça itiraz ediyordu. Lincoln tartışmayı zayıflık değil, daha iyi karar üretmenin yolu olarak gördü. Ülke İç Savaş'a sürüklenirken bu rakipler, farklı kanatları aynı masada tutan ve birlikte karar verebilen güçlü bir kabineye dönüştü.</x:v>
      </x:c>
      <x:c r="N635" s="37" t="str">
        <x:v>Sana daha önce rakip olmuş birini hangi özelliği nedeniyle ekibine alırdın?</x:v>
      </x:c>
      <x:c r="O635" s="37" t="str">
        <x:v>Sadakat değil, yetkinlik</x:v>
      </x:c>
    </x:row>
    <x:row r="636" ht="20" customHeight="1">
      <x:c r="A636" s="33" t="n">
        <x:v>1693</x:v>
      </x:c>
      <x:c r="B636" s="34" t="str">
        <x:v>2</x:v>
      </x:c>
      <x:c r="C636" s="34" t="str">
        <x:v>Tarih</x:v>
      </x:c>
      <x:c r="D636" s="34" t="str">
        <x:v>Tarih</x:v>
      </x:c>
      <x:c r="E636" s="34" t="str">
        <x:v>Endurance</x:v>
      </x:c>
      <x:c r="F636" s="34" t="str">
        <x:v>Alfred Lansing</x:v>
      </x:c>
      <x:c r="G636" s="34" t="str">
        <x:v>1959</x:v>
      </x:c>
      <x:c r="H636" s="37" t="str">
        <x:v>Shackleton'ın 800 Millik Kurtuluş Yolculuğu</x:v>
      </x:c>
      <x:c r="I636" s="37" t="str">
        <x:v>Shackleton altı kişiyle 800 mil yol aldı ve geride kalan herkes için geri döndü.</x:v>
      </x:c>
      <x:c r="J636" s="37" t="str">
        <x:v>1916'da Shackleton ve 27 adamı, Endurance buzlar altında ezildikten sonra Fil Adası'nda mahsur kaldı. Yardım gelmeyeceğini anlayan Shackleton, beş kişiyle 6,9 metrelik James Caird filikasına binip Güney Okyanusu'nda yaklaşık 1.300 kilometrelik bir yolculuğa çıktı. Frank Worsley bulutların arasından görünen birkaç güneş anıyla rota hesapladı; ekip 17 gün sonra Güney Georgia'ya ulaştı ve ardından dağları aşarak balina istasyonuna vardı. Dışarıdan bakıldığında sonuç ani görünse de arkasında uzun hazırlık, belirsizlik ve peş peşe verilen küçük kararlar vardı. Olayın asıl gücü tek bir kahramanlık anından değil, baskı altında yöntemi değiştirebilme cesaretinden geliyordu. Bu ayrıntı, sonucu yalnızca yetenekle açıklamanın neden eksik kaldığını gösteriyordu. ##Fil Adası'nda bekleyen bütün mürettebat daha sonra sağ kurtarıldı.## $$Liderlik bazen en güvenli seçeneği değil, başkalarına geri dönüş yolu açan hesaplı riski seçmektir.$$ &amp;&amp;Sen olsaydın, hangi noktada beklemeyi bırakıp riskli bir kurtuluş planına geçerdin?&amp;&amp;</x:v>
      </x:c>
      <x:c r="K636" s="37" t="str">
        <x:v>Sen olsaydın, hangi noktada beklemeyi bırakıp riskli bir kurtuluş planına geçerdin?</x:v>
      </x:c>
      <x:c r="L636" s="37" t="str">
        <x:v>Shackleton altı kişiyle 800 mil yol aldı ve geride kalan herkes için geri döndü.</x:v>
      </x:c>
      <x:c r="M636" s="37" t="str">
        <x:v>1916'da Shackleton ve 27 adamı, Endurance buzlar altında ezildikten sonra Fil Adası'nda mahsur kaldı. Yardım gelmeyeceğini anlayan Shackleton, beş kişiyle 6,9 metrelik James Caird filikasına binip Güney Okyanusu'nda yaklaşık 1.300 kilometrelik bir yolculuğa çıktı. Dışarıdan bakıldığında sonuç ani görünse de arkasında uzun hazırlık, belirsizlik ve peş peşe verilen küçük kararlar vardı. Fil Adası'nda bekleyen bütün mürettebat daha sonra sağ kurtarıldı.</x:v>
      </x:c>
      <x:c r="N636" s="37" t="str">
        <x:v>Sen olsaydın, hangi noktada beklemeyi bırakıp riskli bir kurtuluş planına geçerdin?</x:v>
      </x:c>
      <x:c r="O636" s="37" t="str">
        <x:v>Beklemek değil, yol açmak</x:v>
      </x:c>
    </x:row>
    <x:row r="637" ht="20" customHeight="1">
      <x:c r="A637" s="33" t="n">
        <x:v>1694</x:v>
      </x:c>
      <x:c r="B637" s="34" t="str">
        <x:v>2</x:v>
      </x:c>
      <x:c r="C637" s="34" t="str">
        <x:v>Tarih</x:v>
      </x:c>
      <x:c r="D637" s="34" t="str">
        <x:v>Tarih</x:v>
      </x:c>
      <x:c r="E637" s="34" t="str">
        <x:v>Seabiscuit</x:v>
      </x:c>
      <x:c r="F637" s="34" t="str">
        <x:v>Laura Hillenbrand</x:v>
      </x:c>
      <x:c r="G637" s="34" t="str">
        <x:v>2001</x:v>
      </x:c>
      <x:c r="H637" s="37" t="str">
        <x:v>Seabiscuit Büyük Buhran'a Nasıl Umut Oldu?</x:v>
      </x:c>
      <x:c r="I637" s="37" t="str">
        <x:v>İlk 17 yarışını kaybeden Seabiscuit, bir ülkenin umut bağladığı şampiyona dönüştü.</x:v>
      </x:c>
      <x:c r="J637" s="37" t="str">
        <x:v>Seabiscuit yarış kariyerine 17 yenilgiyle başladı; küçük, huysuz ve büyük beklenti yaratmayan bir attı. Otomobil satıcılığından gelen sahibi Charles Howard, sessiz eğitmen Tom Smith ve sakatlıklarla boğuşan jokey Red Pollard onda başkalarının göremediği bir direnç gördü. At yavaş yavaş kazanmaya başladı ve 1938'de favori War Admiral ile yaptığı özel yarış ülke çapında radyodan takip edildi. Dışarıdan bakıldığında sonuç ani görünse de arkasında uzun hazırlık, belirsizlik ve peş peşe verilen küçük kararlar vardı. Olayın asıl gücü tek bir kahramanlık anından değil, baskı altında yöntemi değiştirebilme cesaretinden geliyordu. ##Seabiscuit yarışı açık farkla kazanarak Büyük Buhran yıllarında sıradan insanların bağ kurduğu bir umut simgesine dönüştü.## $$Geç başlayan bir başarı, doğru ekip yeteneği yeniden gördüğünde geçmiş yenilgilerden daha güçlü olabilir.$$ &amp;&amp;İnsanların erken vazgeçtiği hangi yeteneğin doğru ortamda yeniden parlayabileceğini düşünüyorsun?&amp;&amp;</x:v>
      </x:c>
      <x:c r="K637" s="37" t="str">
        <x:v>İnsanların erken vazgeçtiği hangi yeteneğin doğru ortamda yeniden parlayabileceğini düşünüyorsun?</x:v>
      </x:c>
      <x:c r="L637" s="37" t="str">
        <x:v>İlk 17 yarışını kaybeden Seabiscuit, bir ülkenin umut bağladığı şampiyona dönüştü.</x:v>
      </x:c>
      <x:c r="M637" s="37" t="str">
        <x:v>Seabiscuit yarış kariyerine 17 yenilgiyle başladı; küçük, huysuz ve büyük beklenti yaratmayan bir attı. Otomobil satıcılığından gelen sahibi Charles Howard, sessiz eğitmen Tom Smith ve sakatlıklarla boğuşan jokey Red Pollard onda başkalarının göremediği bir direnç gördü. Dışarıdan bakıldığında sonuç ani görünse de arkasında uzun hazırlık, belirsizlik ve peş peşe verilen küçük kararlar vardı. Seabiscuit yarışı açık farkla kazanarak Büyük Buhran yıllarında sıradan insanların bağ kurduğu bir umut simgesine dönüştü.</x:v>
      </x:c>
      <x:c r="N637" s="37" t="str">
        <x:v>İnsanların erken vazgeçtiği hangi yeteneğin doğru ortamda yeniden parlayabileceğini düşünüyorsun?</x:v>
      </x:c>
      <x:c r="O637" s="37" t="str">
        <x:v>Küçük at, büyük umut</x:v>
      </x:c>
    </x:row>
    <x:row r="638" ht="20" customHeight="1">
      <x:c r="A638" s="33" t="n">
        <x:v>1695</x:v>
      </x:c>
      <x:c r="B638" s="34" t="str">
        <x:v>2</x:v>
      </x:c>
      <x:c r="C638" s="34" t="str">
        <x:v>Tarih</x:v>
      </x:c>
      <x:c r="D638" s="34" t="str">
        <x:v>Tarih</x:v>
      </x:c>
      <x:c r="E638" s="34" t="str">
        <x:v>Midnight in Chernobyl</x:v>
      </x:c>
      <x:c r="F638" s="34" t="str">
        <x:v>Adam Higginbotham</x:v>
      </x:c>
      <x:c r="G638" s="34" t="str">
        <x:v>2019</x:v>
      </x:c>
      <x:c r="H638" s="37" t="str">
        <x:v>Çernobil Gecesi Kontrol Odasında Ne Oldu?</x:v>
      </x:c>
      <x:c r="I638" s="37" t="str">
        <x:v>Çernobil'i tek bir yanlış düğme değil, tasarım kusurlarıyla güvenlik kültürünün birleşimi hazırladı.</x:v>
      </x:c>
      <x:c r="J638" s="37" t="str">
        <x:v>26 Nisan 1986 gecesi Çernobil'in dördüncü reaktöründe, elektrik kesintisi sırasında türbinin ne kadar enerji sağlayacağını ölçmek için bir güvenlik testi yürütülüyordu. Güç beklenmedik biçimde çok düştü; operatörler testi sürdürmek için reaktörü dengesiz bir çalışma bölgesine taşıdı ve bazı koruma sistemleri devre dışı kaldı. Acil durdurma düğmesine basıldığında RBMK kontrol çubuklarının tasarımı ilk saniyelerde gücü azaltmak yerine artırdı; patlamalar reaktörü parçaladı. Dışarıdan bakıldığında sonuç ani görünse de arkasında uzun hazırlık, belirsizlik ve peş peşe verilen küçük kararlar vardı. Olayın asıl gücü tek bir kahramanlık anından değil, baskı altında yöntemi değiştirebilme cesaretinden geliyordu. ##Sonraki incelemeler kazayı yalnızca birkaç operatör hatasıyla değil, kusurlu tasarım ve zayıf güvenlik kültürüyle birlikte açıkladı.## $$Bir felaketi anlamak, son hatayı bulmaktan çok sistemi o hataya açık hâle getiren koşulları görmeyi gerektirir.$$ &amp;&amp;Bir ekipte sorun çıktığında kişiyi mi, yoksa hatayı mümkün kılan sistemi mi önce incelersin?&amp;&amp;</x:v>
      </x:c>
      <x:c r="K638" s="37" t="str">
        <x:v>Bir ekipte sorun çıktığında kişiyi mi, yoksa hatayı mümkün kılan sistemi mi önce incelersin?</x:v>
      </x:c>
      <x:c r="L638" s="37" t="str">
        <x:v>Çernobil'i tek bir yanlış düğme değil, tasarım kusurlarıyla güvenlik kültürünün birleşimi hazırladı.</x:v>
      </x:c>
      <x:c r="M638" s="37" t="str">
        <x:v>26 Nisan 1986 gecesi Çernobil'in dördüncü reaktöründe, elektrik kesintisi sırasında türbinin ne kadar enerji sağlayacağını ölçmek için bir güvenlik testi yürütülüyordu. Güç beklenmedik biçimde çok düştü; operatörler testi sürdürmek için reaktörü dengesiz bir çalışma bölgesine taşıdı ve bazı koruma sistemleri devre dışı kaldı. Sonraki incelemeler kazayı yalnızca birkaç operatör hatasıyla değil, kusurlu tasarım ve zayıf güvenlik kültürüyle birlikte açıkladı.</x:v>
      </x:c>
      <x:c r="N638" s="37" t="str">
        <x:v>Bir ekipte sorun çıktığında kişiyi mi, yoksa hatayı mümkün kılan sistemi mi önce incelersin?</x:v>
      </x:c>
      <x:c r="O638" s="37" t="str">
        <x:v>İnsan hatası, sistem hatası</x:v>
      </x:c>
    </x:row>
    <x:row r="639" ht="20" customHeight="1">
      <x:c r="A639" s="33" t="n">
        <x:v>1696</x:v>
      </x:c>
      <x:c r="B639" s="34" t="str">
        <x:v>2</x:v>
      </x:c>
      <x:c r="C639" s="34" t="str">
        <x:v>Psikoloji</x:v>
      </x:c>
      <x:c r="D639" s="34" t="str">
        <x:v>Psikoloji</x:v>
      </x:c>
      <x:c r="E639" s="34" t="str">
        <x:v>Predictably Irrational</x:v>
      </x:c>
      <x:c r="F639" s="34" t="str">
        <x:v>Dan Ariely</x:v>
      </x:c>
      <x:c r="G639" s="34" t="str">
        <x:v>2008</x:v>
      </x:c>
      <x:c r="H639" s="37" t="str">
        <x:v>Bedavanın Gizli Maliyeti</x:v>
      </x:c>
      <x:c r="I639" s="37" t="str">
        <x:v>Fiyat bir sentten sıfıra indiğinde, insanların değer hesabı da beklenmedik biçimde değişti.</x:v>
      </x:c>
      <x:c r="J639" s="37" t="str">
        <x:v>Bir deneyde insanlara kaliteli bir Lindt çikolatası ile sıradan bir Hershey's Kiss arasında seçim sunuldu. İki ürün arasındaki fiyat farkı sabit tutulduğunda çoğu kişi daha değerli çikolatayı seçiyordu; ucuz seçenek bir sentten sıfıra indirildiğinde tercih birden tersine döndü. Ekonomik fark değişmemişti, fakat 'bedava' kelimesi kaybetme ihtimalini yok etmiş gibi güçlü bir olumlu duygu yarattı. Dışarıdan bakıldığında sonuç ani görünse de arkasında uzun hazırlık, belirsizlik ve peş peşe verilen küçük kararlar vardı. Olayın asıl gücü tek bir kahramanlık anından değil, baskı altında yöntemi değiştirebilme cesaretinden geliyordu. Bu ayrıntı, sonucu yalnızca yetenekle açıklamanın neden eksik kaldığını gösteriyordu. ##Araştırmacılar sıfır fiyatın yalnızca maliyeti düşürmediğini, ürünün algılanan faydasını da büyüttüğünü gözlemledi.## $$Bedava seçeneği karar hesabımızdan riski çıkarırken, vazgeçtiğimiz daha değerli fırsatı görünmez kılabilir.$$ &amp;&amp;Sırf bedava olduğu için seçip sonradan aslında ihtiyaç duymadığını fark ettiğin ne oldu?&amp;&amp;</x:v>
      </x:c>
      <x:c r="K639" s="37" t="str">
        <x:v>Sırf bedava olduğu için seçip sonradan aslında ihtiyaç duymadığını fark ettiğin ne oldu?</x:v>
      </x:c>
      <x:c r="L639" s="37" t="str">
        <x:v>Fiyat bir sentten sıfıra indiğinde, insanların değer hesabı da beklenmedik biçimde değişti.</x:v>
      </x:c>
      <x:c r="M639" s="37" t="str">
        <x:v>Bir deneyde insanlara kaliteli bir Lindt çikolatası ile sıradan bir Hershey's Kiss arasında seçim sunuldu. İki ürün arasındaki fiyat farkı sabit tutulduğunda çoğu kişi daha değerli çikolatayı seçiyordu; ucuz seçenek bir sentten sıfıra indirildiğinde tercih birden tersine döndü. Dışarıdan bakıldığında sonuç ani görünse de arkasında uzun hazırlık, belirsizlik ve peş peşe verilen küçük kararlar vardı. Araştırmacılar sıfır fiyatın yalnızca maliyeti düşürmediğini, ürünün algılanan faydasını da büyüttüğünü gözlemledi.</x:v>
      </x:c>
      <x:c r="N639" s="37" t="str">
        <x:v>Sırf bedava olduğu için seçip sonradan aslında ihtiyaç duymadığını fark ettiğin ne oldu?</x:v>
      </x:c>
      <x:c r="O639" s="37" t="str">
        <x:v>Ücretsiz ama maliyetsiz değil</x:v>
      </x:c>
    </x:row>
    <x:row r="640" ht="20" customHeight="1">
      <x:c r="A640" s="33" t="n">
        <x:v>1697</x:v>
      </x:c>
      <x:c r="B640" s="34" t="str">
        <x:v>2</x:v>
      </x:c>
      <x:c r="C640" s="34" t="str">
        <x:v>Psikoloji</x:v>
      </x:c>
      <x:c r="D640" s="34" t="str">
        <x:v>Psikoloji</x:v>
      </x:c>
      <x:c r="E640" s="34" t="str">
        <x:v>The Power of Regret</x:v>
      </x:c>
      <x:c r="F640" s="34" t="str">
        <x:v>Daniel H. Pink</x:v>
      </x:c>
      <x:c r="G640" s="34" t="str">
        <x:v>2022</x:v>
      </x:c>
      <x:c r="H640" s="37" t="str">
        <x:v>Bronz Madalya Kazananlar Neden Daha Mutlu?</x:v>
      </x:c>
      <x:c r="I640" s="37" t="str">
        <x:v>Gümüş daha değerliydi, fakat bronz kazananlar kendilerini daha şanslı hissedebiliyordu.</x:v>
      </x:c>
      <x:c r="J640" s="37" t="str">
        <x:v>1992 Olimpiyatlarının görüntülerini inceleyen araştırmacılar, bronz madalya alan sporcuların gümüş kazananlardan daha mutlu göründüğünü fark etti. Tarafsız değerlendiriciler yarış bitimindeki ve kürsüdeki yüz ifadelerini puanladı; daha düşük dereceye rağmen bronz sporcuların memnuniyeti daha yüksekti. Açıklama karşılaştırma noktasındaydı: Gümüş kazanan altını az farkla kaçırdığını, bronz kazanan ise madalyasız kalmaktan kurtulduğunu düşünüyordu. Dışarıdan bakıldığında sonuç ani görünse de arkasında uzun hazırlık, belirsizlik ve peş peşe verilen küçük kararlar vardı. Olayın asıl gücü tek bir kahramanlık anından değil, baskı altında yöntemi değiştirebilme cesaretinden geliyordu. Bu ayrıntı, sonucu yalnızca yetenekle açıklamanın neden eksik kaldığını gösteriyordu. ##Aynı başarı, zihinde seçilen alternatif sonuca göre kayıp ya da kazanç gibi hissedebiliyordu.## $$Memnuniyet yalnızca elde ettiğimiz sonuçtan değil, onu hangi mümkün sonuçla karşılaştırdığımızdan doğar.$$ &amp;&amp;Son zamanlarda başarını yukarıdaki biriyle kıyaslayıp küçülttüğün bir an oldu mu?&amp;&amp;</x:v>
      </x:c>
      <x:c r="K640" s="37" t="str">
        <x:v>Son zamanlarda başarını yukarıdaki biriyle kıyaslayıp küçülttüğün bir an oldu mu?</x:v>
      </x:c>
      <x:c r="L640" s="37" t="str">
        <x:v>Gümüş daha değerliydi, fakat bronz kazananlar kendilerini daha şanslı hissedebiliyordu.</x:v>
      </x:c>
      <x:c r="M640" s="37" t="str">
        <x:v>1992 Olimpiyatlarının görüntülerini inceleyen araştırmacılar, bronz madalya alan sporcuların gümüş kazananlardan daha mutlu göründüğünü fark etti. Tarafsız değerlendiriciler yarış bitimindeki ve kürsüdeki yüz ifadelerini puanladı; daha düşük dereceye rağmen bronz sporcuların memnuniyeti daha yüksekti. Dışarıdan bakıldığında sonuç ani görünse de arkasında uzun hazırlık, belirsizlik ve peş peşe verilen küçük kararlar vardı. Aynı başarı, zihinde seçilen alternatif sonuca göre kayıp ya da kazanç gibi hissedebiliyordu.</x:v>
      </x:c>
      <x:c r="N640" s="37" t="str">
        <x:v>Son zamanlarda başarını yukarıdaki biriyle kıyaslayıp küçülttüğün bir an oldu mu?</x:v>
      </x:c>
      <x:c r="O640" s="37" t="str">
        <x:v>Daha iyi sonuç, daha az sevinç</x:v>
      </x:c>
    </x:row>
    <x:row r="641" ht="20" customHeight="1">
      <x:c r="A641" s="33" t="n">
        <x:v>1698</x:v>
      </x:c>
      <x:c r="B641" s="34" t="str">
        <x:v>2</x:v>
      </x:c>
      <x:c r="C641" s="34" t="str">
        <x:v>Liderlik</x:v>
      </x:c>
      <x:c r="D641" s="34" t="str">
        <x:v>Liderlik</x:v>
      </x:c>
      <x:c r="E641" s="34" t="str">
        <x:v>Steve Jobs</x:v>
      </x:c>
      <x:c r="F641" s="34" t="str">
        <x:v>Walter Isaacson</x:v>
      </x:c>
      <x:c r="G641" s="34" t="str">
        <x:v>2011</x:v>
      </x:c>
      <x:c r="H641" s="37" t="str">
        <x:v>Steve Jobs'ın Kaligrafi Dersi Mac'i Nasıl Değiştirdi?</x:v>
      </x:c>
      <x:c r="I641" s="37" t="str">
        <x:v>İşsiz görünen bir kaligrafi dersi, yıllar sonra kişisel bilgisayarlara güzel yazı tiplerini taşıdı.</x:v>
      </x:c>
      <x:c r="J641" s="37" t="str">
        <x:v>Steve Jobs Reed College'ı bıraktıktan sonra zorunlu derslere girmiyordu, fakat kampüsteki kaligrafi derslerini merakla izlemeye başladı. Serif ve sans serif yazıları, harfler arasındaki boşluğu ve iyi tipografinin neden güzel göründüğünü öğrendi; o sırada bilginin pratik bir işe yarayacağını düşünmüyordu. Yaklaşık on yıl sonra ilk Macintosh tasarlanırken bu ayrıntılar geri döndü ve bilgisayara farklı, orantılı yazı tipleri eklendi. Dışarıdan bakıldığında sonuç ani görünse de arkasında uzun hazırlık, belirsizlik ve peş peşe verilen küçük kararlar vardı. Olayın asıl gücü tek bir kahramanlık anından değil, baskı altında yöntemi değiştirebilme cesaretinden geliyordu. ##Mac'in tipografisi kişisel bilgisayar tasarımını etkiledi; Jobs daha sonra bu bağlantının ancak geriye bakınca görülebildiğini anlattı.## $$Merakla öğrenilen ve hemen işe yaramayan bir bilgi, gelecekte henüz göremediğimiz bir problemi çözebilir.$$ &amp;&amp;Bugün sonuç beklemeden öğrendiğin hangi şeyin ileride beklenmedik bir işe yarayabileceğini düşünüyorsun?&amp;&amp;</x:v>
      </x:c>
      <x:c r="K641" s="37" t="str">
        <x:v>Bugün sonuç beklemeden öğrendiğin hangi şeyin ileride beklenmedik bir işe yarayabileceğini düşünüyorsun?</x:v>
      </x:c>
      <x:c r="L641" s="37" t="str">
        <x:v>İşsiz görünen bir kaligrafi dersi, yıllar sonra kişisel bilgisayarlara güzel yazı tiplerini taşıdı.</x:v>
      </x:c>
      <x:c r="M641" s="37" t="str">
        <x:v>Steve Jobs Reed College'ı bıraktıktan sonra zorunlu derslere girmiyordu, fakat kampüsteki kaligrafi derslerini merakla izlemeye başladı. Serif ve sans serif yazıları, harfler arasındaki boşluğu ve iyi tipografinin neden güzel göründüğünü öğrendi; o sırada bilginin pratik bir işe yarayacağını düşünmüyordu. Mac'in tipografisi kişisel bilgisayar tasarımını etkiledi; Jobs daha sonra bu bağlantının ancak geriye bakınca görülebildiğini anlattı.</x:v>
      </x:c>
      <x:c r="N641" s="37" t="str">
        <x:v>Bugün sonuç beklemeden öğrendiğin hangi şeyin ileride beklenmedik bir işe yarayabileceğini düşünüyorsun?</x:v>
      </x:c>
      <x:c r="O641" s="37" t="str">
        <x:v>Yararsız merak, kalıcı tasarım</x:v>
      </x:c>
    </x:row>
    <x:row r="642" ht="20" customHeight="1">
      <x:c r="A642" s="33" t="n">
        <x:v>1699</x:v>
      </x:c>
      <x:c r="B642" s="34" t="str">
        <x:v>2</x:v>
      </x:c>
      <x:c r="C642" s="34" t="str">
        <x:v>Liderlik</x:v>
      </x:c>
      <x:c r="D642" s="34" t="str">
        <x:v>Liderlik</x:v>
      </x:c>
      <x:c r="E642" s="34" t="str">
        <x:v>The Founders</x:v>
      </x:c>
      <x:c r="F642" s="34" t="str">
        <x:v>Jimmy Soni</x:v>
      </x:c>
      <x:c r="G642" s="34" t="str">
        <x:v>2022</x:v>
      </x:c>
      <x:c r="H642" s="37" t="str">
        <x:v>PayPal'ın Rakip Kurucuları Nasıl Takım Oldu?</x:v>
      </x:c>
      <x:c r="I642" s="37" t="str">
        <x:v>PayPal, birbirini tüketen iki rakibin savaşmayı bırakıp aynı üründe birleşmesinden doğdu.</x:v>
      </x:c>
      <x:c r="J642" s="37" t="str">
        <x:v>1999'da Elon Musk'ın X.com'u ile Peter Thiel ve Max Levchin'in Confinity'si internet üzerinden para gönderme yarışında birbirine saldıran iki rakipti. İki şirket de müşteri kazanmak için para dağıtıyor, reklam harcamalarını büyütüyor ve aynı yetenekleri işe almaya çalışıyordu; rekabet ikisini de hızla tüketiyordu. 2000'de savaşmayı bırakıp birleştiler. Yönetim ve teknoloji konusunda sert çatışmalar sürdü, Musk CEO'luktan alındı ve şirket sonunda PayPal adı çevresinde toplandı. Dışarıdan bakıldığında sonuç ani görünse de arkasında uzun hazırlık, belirsizlik ve peş peşe verilen küçük kararlar vardı. ##Rakip ekiplerin ödeme ürünü, eBay tarafından milyarlarca dolara satın alınan ve çevrim içi ödemeyi dönüştüren bir şirkete dönüştü.## $$Bazen rakibi yenmekten daha güçlü hamle, iki tarafın da tükenmesine yol açan savaşı ortak bir sisteme çevirmektir.$$ &amp;&amp;Hangi durumda rakibinle birleşmek, onu yenmeye çalışmaktan daha akıllıca olurdu?&amp;&amp;</x:v>
      </x:c>
      <x:c r="K642" s="37" t="str">
        <x:v>Hangi durumda rakibinle birleşmek, onu yenmeye çalışmaktan daha akıllıca olurdu?</x:v>
      </x:c>
      <x:c r="L642" s="37" t="str">
        <x:v>PayPal, birbirini tüketen iki rakibin savaşmayı bırakıp aynı üründe birleşmesinden doğdu.</x:v>
      </x:c>
      <x:c r="M642" s="37" t="str">
        <x:v>1999'da Elon Musk'ın X.com'u ile Peter Thiel ve Max Levchin'in Confinity'si internet üzerinden para gönderme yarışında birbirine saldıran iki rakipti. İki şirket de müşteri kazanmak için para dağıtıyor, reklam harcamalarını büyütüyor ve aynı yetenekleri işe almaya çalışıyordu; rekabet ikisini de hızla tüketiyordu. Rakip ekiplerin ödeme ürünü, eBay tarafından milyarlarca dolara satın alınan ve çevrim içi ödemeyi dönüştüren bir şirkete dönüştü.</x:v>
      </x:c>
      <x:c r="N642" s="37" t="str">
        <x:v>Hangi durumda rakibinle birleşmek, onu yenmeye çalışmaktan daha akıllıca olurdu?</x:v>
      </x:c>
      <x:c r="O642" s="37" t="str">
        <x:v>Rekabetten ortaklığa</x:v>
      </x:c>
    </x:row>
    <x:row r="643" ht="20" customHeight="1">
      <x:c r="A643" s="33" t="n">
        <x:v>1700</x:v>
      </x:c>
      <x:c r="B643" s="34" t="str">
        <x:v>2</x:v>
      </x:c>
      <x:c r="C643" s="34" t="str">
        <x:v>Finans</x:v>
      </x:c>
      <x:c r="D643" s="34" t="str">
        <x:v>Finans</x:v>
      </x:c>
      <x:c r="E643" s="34" t="str">
        <x:v>A Random Walk Down Wall Street</x:v>
      </x:c>
      <x:c r="F643" s="34" t="str">
        <x:v>Burton G. Malkiel</x:v>
      </x:c>
      <x:c r="G643" s="34" t="str">
        <x:v>1973</x:v>
      </x:c>
      <x:c r="H643" s="37" t="str">
        <x:v>Rastgele Yürüyen Bir Piyasa Yenilebilir mi?</x:v>
      </x:c>
      <x:c r="I643" s="37" t="str">
        <x:v>Malkiel'in mesajı şuydu: Piyasayı sürekli yenmektense düşük maliyetle piyasanın tamamına ortak ol.</x:v>
      </x:c>
      <x:c r="J643" s="37" t="str">
        <x:v>Burton Malkiel 1973'te, hisse fiyatlarının kısa vadeli hareketlerinin geçmiş grafiklerden güvenilir biçimde tahmin edilemeyeceğini savunan A Random Walk Down Wall Street'i yayımladı. O dönemde yatırım dünyası, doğru uzman ve doğru hisse seçimiyle piyasanın düzenli olarak yenilebileceğine daha çok inanıyordu. Malkiel, bilinen bilgilerin fiyatlara hızla yansıdığını ve yüksek ücretli aktif fonların çoğunun uzun vadede ortalamayı geçemediğini gösteren araştırmaları halka anlattı. Dışarıdan bakıldığında sonuç ani görünse de arkasında uzun hazırlık, belirsizlik ve peş peşe verilen küçük kararlar vardı. Olayın asıl gücü tek bir kahramanlık anından değil, baskı altında yöntemi değiştirebilme cesaretinden geliyordu. ##Kitabın düşük maliyetli endeks fonu yaklaşımı, daha sonra milyonlarca bireysel yatırımcının kullandığı pasif yatırım devriminin temel fikirlerinden biri oldu.## $$Kontrol edemediğimiz kısa vadeli hareketleri tahmin etmeye çalışmak yerine maliyet, çeşitlendirme ve zaman gibi kontrol edilebilir unsurlara odaklanabiliriz.$$ &amp;&amp;Belirsiz bir alanda tahmin yapmak yerine hangi kontrol edilebilir değişkenlere odaklanıyorsun?&amp;&amp;</x:v>
      </x:c>
      <x:c r="K643" s="37" t="str">
        <x:v>Belirsiz bir alanda tahmin yapmak yerine hangi kontrol edilebilir değişkenlere odaklanıyorsun?</x:v>
      </x:c>
      <x:c r="L643" s="37" t="str">
        <x:v>Malkiel'in mesajı şuydu: Piyasayı sürekli yenmektense düşük maliyetle piyasanın tamamına ortak ol.</x:v>
      </x:c>
      <x:c r="M643" s="37" t="str">
        <x:v>Burton Malkiel 1973'te, hisse fiyatlarının kısa vadeli hareketlerinin geçmiş grafiklerden güvenilir biçimde tahmin edilemeyeceğini savunan A Random Walk Down Wall Street'i yayımladı. O dönemde yatırım dünyası, doğru uzman ve doğru hisse seçimiyle piyasanın düzenli olarak yenilebileceğine daha çok inanıyordu. Kitabın düşük maliyetli endeks fonu yaklaşımı, daha sonra milyonlarca bireysel yatırımcının kullandığı pasif yatırım devriminin temel fikirlerinden biri oldu.</x:v>
      </x:c>
      <x:c r="N643" s="37" t="str">
        <x:v>Belirsiz bir alanda tahmin yapmak yerine hangi kontrol edilebilir değişkenlere odaklanıyorsun?</x:v>
      </x:c>
      <x:c r="O643" s="37" t="str">
        <x:v>Tahmin değil, çeşitlendirme</x:v>
      </x:c>
    </x:row>
    <x:row r="644" ht="20" customHeight="1">
      <x:c r="A644" s="33" t="n">
        <x:v>1701</x:v>
      </x:c>
      <x:c r="B644" s="34" t="str">
        <x:v>2</x:v>
      </x:c>
      <x:c r="C644" s="34" t="str">
        <x:v>Sağlık</x:v>
      </x:c>
      <x:c r="D644" s="34" t="str">
        <x:v>Sağlık</x:v>
      </x:c>
      <x:c r="E644" s="34" t="str">
        <x:v>The Checklist Manifesto</x:v>
      </x:c>
      <x:c r="F644" s="34" t="str">
        <x:v>Atul Gawande</x:v>
      </x:c>
      <x:c r="G644" s="34" t="str">
        <x:v>2009</x:v>
      </x:c>
      <x:c r="H644" s="37" t="str">
        <x:v>Basit Bir Kontrol Listesi Kaç Hayat Kurtarabilir?</x:v>
      </x:c>
      <x:c r="I644" s="37" t="str">
        <x:v>On dokuz maddelik bir liste, sekiz hastanede daha düşük komplikasyon ve ölüm oranlarıyla ilişkilendirildi.</x:v>
      </x:c>
      <x:c r="J644" s="37" t="str">
        <x:v>Dünya Sağlık Örgütü ekibi, ameliyathanelerde unutulan küçük adımların ciddi sonuçlar doğurduğunu görünce yalnızca 19 maddelik bir kontrol listesi hazırladı. Liste; hastanın kimliğini, ameliyat bölgesini, antibiyotiği, ekip üyelerinin birbirini tanımasını ve operasyon sonunda alet sayımını yüksek sesle doğrulatıyordu. Sekiz hastanede 3.733 hasta liste öncesinde, 3.955 hasta ise uygulama başladıktan sonra izlendi. Dışarıdan bakıldığında sonuç ani görünse de arkasında uzun hazırlık, belirsizlik ve peş peşe verilen küçük kararlar vardı. Olayın asıl gücü tek bir kahramanlık anından değil, baskı altında yöntemi değiştirebilme cesaretinden geliyordu. ##Çalışmada komplikasyon oranı yüzde 11'den 7'ye, hastane içi ölüm oranı yüzde 1,5'tan 0,8'e düştü; araştırma bunun liste uygulamasıyla ilişkili olduğunu bildirdi.## $$Uzmanlık arttıkça hafızaya daha çok güvenmek değil, kritik adımları görünür ve ortak hâle getirmek gerekebilir.$$ &amp;&amp;Senin işinde kısa bir kontrol listesi hangi pahalı ya da tehlikeli hatayı önleyebilir?&amp;&amp;</x:v>
      </x:c>
      <x:c r="K644" s="37" t="str">
        <x:v>Senin işinde kısa bir kontrol listesi hangi pahalı ya da tehlikeli hatayı önleyebilir?</x:v>
      </x:c>
      <x:c r="L644" s="37" t="str">
        <x:v>On dokuz maddelik bir liste, sekiz hastanede daha düşük komplikasyon ve ölüm oranlarıyla ilişkilendirildi.</x:v>
      </x:c>
      <x:c r="M644" s="37" t="str">
        <x:v>Dünya Sağlık Örgütü ekibi, ameliyathanelerde unutulan küçük adımların ciddi sonuçlar doğurduğunu görünce yalnızca 19 maddelik bir kontrol listesi hazırladı. Liste; hastanın kimliğini, ameliyat bölgesini, antibiyotiği, ekip üyelerinin birbirini tanımasını ve operasyon sonunda alet sayımını yüksek sesle doğrulatıyordu. Çalışmada komplikasyon oranı yüzde 11'den 7'ye, hastane içi ölüm oranı yüzde 1,5'tan 0,8'e düştü; araştırma bunun liste uygulamasıyla ilişkili olduğunu bildirdi.</x:v>
      </x:c>
      <x:c r="N644" s="37" t="str">
        <x:v>Senin işinde kısa bir kontrol listesi hangi pahalı ya da tehlikeli hatayı önleyebilir?</x:v>
      </x:c>
      <x:c r="O644" s="37" t="str">
        <x:v>Karmaşık iş, basit kontrol</x:v>
      </x:c>
    </x:row>
    <x:row r="645" ht="20" customHeight="1">
      <x:c r="A645" s="33" t="n">
        <x:v>1702</x:v>
      </x:c>
      <x:c r="B645" s="34" t="str">
        <x:v>2</x:v>
      </x:c>
      <x:c r="C645" s="34" t="str">
        <x:v>Sağlık</x:v>
      </x:c>
      <x:c r="D645" s="34" t="str">
        <x:v>Sağlık</x:v>
      </x:c>
      <x:c r="E645" s="34" t="str">
        <x:v>The Comfort Crisis</x:v>
      </x:c>
      <x:c r="F645" s="34" t="str">
        <x:v>Michael Easter</x:v>
      </x:c>
      <x:c r="G645" s="34" t="str">
        <x:v>2021</x:v>
      </x:c>
      <x:c r="H645" s="37" t="str">
        <x:v>Konfor Alanı Bedenimizi Nasıl Zayıflatıyor?</x:v>
      </x:c>
      <x:c r="I645" s="37" t="str">
        <x:v>Easter'ın vardığı nokta konforu bırakmak değil, kontrollü zorluğu yeniden hayata almaktı.</x:v>
      </x:c>
      <x:c r="J645" s="37" t="str">
        <x:v>Gazeteci Michael Easter, modern hayatın sıcaklık, açlık, hareket ve belirsizlik gibi rahatsızlıkları sürekli azalttığını araştırırken Alaska'nın uzak bölgesinde bir aylık zorlu yolculuğa katıldı. Ağır yük taşıdı, soğukta yürüdü, yiyecek belirsizliği yaşadı ve günlük hayatındaki ekranlardan tamamen uzak kaldı. Deneyim onu rahatsızlığın otomatik olarak iyi olduğu sonucuna götürmedi; asıl fark, kontrollü ve anlamlı zorluğun dikkatini keskinleştirmesi ve sıradan rahatlığı yeniden fark ettirmesiydi. Dışarıdan bakıldığında sonuç ani görünse de arkasında uzun hazırlık, belirsizlik ve peş peşe verilen küçük kararlar vardı. Olayın asıl gücü tek bir kahramanlık anından değil, baskı altında yöntemi değiştirebilme cesaretinden geliyordu. ##Döndüğünde konforu reddetmek yerine, beden ve zihnin kullanmadığı kapasiteyi düzenli küçük zorluklarla hatırlatmayı savundu.## $$Gelişim için sürekli acı aramak gerekmez; güvenli ve amaçlı rahatsızlık, kaçındığımız kapasiteyi görünür kılabilir.$$ &amp;&amp;Günlük hayatına zarar vermeden ekleyebileceğin küçük ama anlamlı zorluk ne olurdu?&amp;&amp;</x:v>
      </x:c>
      <x:c r="K645" s="37" t="str">
        <x:v>Günlük hayatına zarar vermeden ekleyebileceğin küçük ama anlamlı zorluk ne olurdu?</x:v>
      </x:c>
      <x:c r="L645" s="37" t="str">
        <x:v>Easter'ın vardığı nokta konforu bırakmak değil, kontrollü zorluğu yeniden hayata almaktı.</x:v>
      </x:c>
      <x:c r="M645" s="37" t="str">
        <x:v>Gazeteci Michael Easter, modern hayatın sıcaklık, açlık, hareket ve belirsizlik gibi rahatsızlıkları sürekli azalttığını araştırırken Alaska'nın uzak bölgesinde bir aylık zorlu yolculuğa katıldı. Ağır yük taşıdı, soğukta yürüdü, yiyecek belirsizliği yaşadı ve günlük hayatındaki ekranlardan tamamen uzak kaldı. Dışarıdan bakıldığında sonuç ani görünse de arkasında uzun hazırlık, belirsizlik ve peş peşe verilen küçük kararlar vardı. Döndüğünde konforu reddetmek yerine, beden ve zihnin kullanmadığı kapasiteyi düzenli küçük zorluklarla hatırlatmayı savundu.</x:v>
      </x:c>
      <x:c r="N645" s="37" t="str">
        <x:v>Günlük hayatına zarar vermeden ekleyebileceğin küçük ama anlamlı zorluk ne olurdu?</x:v>
      </x:c>
      <x:c r="O645" s="37" t="str">
        <x:v>Acı değil, amaçlı zorluk</x:v>
      </x:c>
    </x:row>
    <x:row r="646" ht="20" customHeight="1">
      <x:c r="A646" s="33" t="n">
        <x:v>1703</x:v>
      </x:c>
      <x:c r="B646" s="34" t="str">
        <x:v>2</x:v>
      </x:c>
      <x:c r="C646" s="34" t="str">
        <x:v>Sağlık</x:v>
      </x:c>
      <x:c r="D646" s="34" t="str">
        <x:v>Alışkanlıklar</x:v>
      </x:c>
      <x:c r="E646" s="34" t="str">
        <x:v>Atomic Habits</x:v>
      </x:c>
      <x:c r="F646" s="34" t="str">
        <x:v>James Clear</x:v>
      </x:c>
      <x:c r="G646" s="34" t="str">
        <x:v>2018</x:v>
      </x:c>
      <x:c r="H646" s="37" t="str">
        <x:v>Bir Kaza James Clear’ın Alışkanlık Fikrini Nasıl Değiştirdi?</x:v>
      </x:c>
      <x:c r="I646" s="37" t="str">
        <x:v>Clear’ın büyük fikri, büyük bir geri dönüşü mümkün kılan küçük tekrarların içinden doğdu.</x:v>
      </x:c>
      <x:c r="J646" s="37" t="str">
        <x:v>Lisedeyken James Clear’ın yüzüne bir beyzbol sopası çarptı; burnu kırıldı, kafatasında çatlaklar oluştu ve uzun bir iyileşme süreci başladı.
Eski performansına tek sıçramada dönemediği için uyku, antrenman ve çalışma düzeninde çok küçük kazanımlara yöneldi.
Üniversitede bu sıradan tekrarlar birikince hem spor hayatı hem dersleri yeniden düzene girdi.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##Clear daha sonra büyük hedeflerden çok tekrarlanan sistemlere odaklanan yaklaşımını bu deneyim üzerine kurdu.##
$$İlerlemeyi başlatan şey bazen güçlü motivasyon değil, kötü bir günde bile yapılabilecek kadar küçük bir adımdır.$$
&amp;&amp;Senin hayatında küçültüldüğünde sürdürülebilir hâle gelecek davranış hangisi?&amp;&amp;</x:v>
      </x:c>
      <x:c r="K646" s="37" t="str">
        <x:v>Senin hayatında küçültüldüğünde sürdürülebilir hâle gelecek davranış hangisi?</x:v>
      </x:c>
      <x:c r="L646" s="37" t="str">
        <x:v>Clear’ın büyük fikri, büyük bir geri dönüşü mümkün kılan küçük tekrarların içinden doğdu.</x:v>
      </x:c>
      <x:c r="M646" s="37" t="str">
        <x:v>Lisedeyken James Clear’ın yüzüne bir beyzbol sopası çarptı; burnu kırıldı, kafatasında çatlaklar oluştu ve uzun bir iyileşme süreci başladı. Eski performansına tek sıçramada dönemediği için uyku, antrenman ve çalışma düzeninde çok küçük kazanımlara yöneldi. Bu ayrıntı önemlidir; çünkü sonucu tek bir karakter özelliğiyle açıklamak yerine koşulların, geri bildirimin ve zamanlamanın birlikte nasıl çalıştığını gösterir. Clear daha sonra büyük hedeflerden çok tekrarlanan sistemlere odaklanan yaklaşımını bu deneyim üzerine kurdu.</x:v>
      </x:c>
      <x:c r="N646" s="37" t="str">
        <x:v>Senin hayatında küçültüldüğünde sürdürülebilir hâle gelecek davranış hangisi?</x:v>
      </x:c>
      <x:c r="O646" s="37" t="str">
        <x:v>Hedef değil, sistem</x:v>
      </x:c>
    </x:row>
    <x:row r="647" ht="20" customHeight="1">
      <x:c r="A647" s="33" t="n">
        <x:v>1704</x:v>
      </x:c>
      <x:c r="B647" s="34" t="str">
        <x:v>2</x:v>
      </x:c>
      <x:c r="C647" s="34" t="str">
        <x:v>Psikoloji</x:v>
      </x:c>
      <x:c r="D647" s="34" t="str">
        <x:v>Psikoloji</x:v>
      </x:c>
      <x:c r="E647" s="34" t="str">
        <x:v>Influence</x:v>
      </x:c>
      <x:c r="F647" s="34" t="str">
        <x:v>Robert Cialdini</x:v>
      </x:c>
      <x:c r="G647" s="34" t="str">
        <x:v>1984</x:v>
      </x:c>
      <x:c r="H647" s="37" t="str">
        <x:v>İyi Niyetli Bir Tabela Hırsızlığı Nasıl Artırdı?</x:v>
      </x:c>
      <x:c r="I647" s="37" t="str">
        <x:v>Hırsızlığı durdurmak isteyen tabela, herkes yapıyor mesajıyla hırsızlığı yaklaşık üç kat artırdı.</x:v>
      </x:c>
      <x:c r="J647" s="37" t="str">
        <x:v>Arizona’daki Taşlaşmış Orman’da ziyaretçilere başkalarının park taşlarını çaldığını söyleyen bir uyarı levhası kullanıldı.
Amaç hırsızlığı azaltmaktı; mesaj farkında olmadan “bunu birçok kişi yapıyor” bilgisini öne çıkardı.
Cialdini’nin saha deneyinde bu sosyal kanıt, işaretsiz koşula kıyasla taş alınmasını yaklaşık üç katına çıkardı.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Buradaki fikir, herkese uyan mekanik bir reçete değildir. Aynı yöntem başka bir bağlamda farklı sonuç verebilir; bu yüzden örneği ilke ile koşulu ayırarak okumak gerekir.
##Başarısız tabela, davranışı kınarken yaygınlığını ilan etmenin ters tepebileceğini gösterdi.##
$$İnsanlara kötü davranışın ne kadar yaygın olduğunu söylemek, onu normal ve kabul edilebilir gösterebilir.$$
&amp;&amp;Bir kuralı anlatırken istemeden yanlış davranışı normalleştirdiğin oldu mu?&amp;&amp;</x:v>
      </x:c>
      <x:c r="K647" s="37" t="str">
        <x:v>Bir kuralı anlatırken istemeden yanlış davranışı normalleştirdiğin oldu mu?</x:v>
      </x:c>
      <x:c r="L647" s="37" t="str">
        <x:v>Hırsızlığı durdurmak isteyen tabela, herkes yapıyor mesajıyla hırsızlığı yaklaşık üç kat artırdı.</x:v>
      </x:c>
      <x:c r="M647" s="37" t="str">
        <x:v>Arizona’daki Taşlaşmış Orman’da ziyaretçilere başkalarının park taşlarını çaldığını söyleyen bir uyarı levhası kullanıldı. Amaç hırsızlığı azaltmaktı; mesaj farkında olmadan “bunu birçok kişi yapıyor” bilgisini öne çıkardı. Bu ayrıntı önemlidir; çünkü sonucu tek bir karakter özelliğiyle açıklamak yerine koşulların, geri bildirimin ve zamanlamanın birlikte nasıl çalıştığını gösterir. Başarısız tabela, davranışı kınarken yaygınlığını ilan etmenin ters tepebileceğini gösterdi.</x:v>
      </x:c>
      <x:c r="N647" s="37" t="str">
        <x:v>Bir kuralı anlatırken istemeden yanlış davranışı normalleştirdiğin oldu mu?</x:v>
      </x:c>
      <x:c r="O647" s="37" t="str">
        <x:v>Uyarı değil, normalleştirme</x:v>
      </x:c>
    </x:row>
    <x:row r="648" ht="20" customHeight="1">
      <x:c r="A648" s="33" t="n">
        <x:v>1705</x:v>
      </x:c>
      <x:c r="B648" s="34" t="str">
        <x:v>2</x:v>
      </x:c>
      <x:c r="C648" s="34" t="str">
        <x:v>Psikoloji</x:v>
      </x:c>
      <x:c r="D648" s="34" t="str">
        <x:v>Psikoloji</x:v>
      </x:c>
      <x:c r="E648" s="34" t="str">
        <x:v>Flow</x:v>
      </x:c>
      <x:c r="F648" s="34" t="str">
        <x:v>Mihaly Csikszentmihalyi</x:v>
      </x:c>
      <x:c r="G648" s="34" t="str">
        <x:v>1990</x:v>
      </x:c>
      <x:c r="H648" s="37" t="str">
        <x:v>Akış Rahatken Değil, Sınırdayken Neden Gelir?</x:v>
      </x:c>
      <x:c r="I648" s="37" t="str">
        <x:v>Akış rahatlıkta değil, beceriyle zorluğun birbirine değdiği sınırda ortaya çıkar.</x:v>
      </x:c>
      <x:c r="J648" s="37" t="str">
        <x:v>Mihaly Csikszentmihalyi ressamları, sporcuları ve yoğun odak gerektiren işlerdeki insanları incelerken garip bir ortaklık gördü.
En sürükleyici anlar tamamen rahat oldukları zaman değil, becerileri ile zorluk düzeyi birbirine yaklaştığında ortaya çıkıyordu.
Görev fazla kolaysa sıkılma, fazla zorsa kaygı beliriyordu; net hedef ve hızlı geri bildirim dengeyi koruyordu.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Buradaki fikir, herkese uyan mekanik bir reçete değildir. Aynı yöntem başka bir bağlamda farklı sonuç verebilir; bu yüzden örneği ilke ile koşulu ayırarak okumak gerekir.
##Bu bulgu, iyi hissetmek için işi sürekli kolaylaştırma inancını tersine çevirdi.##
$$Derin tatmin bazen yükün kalkmasından değil, kapasitemizi gerektiren yönetilebilir bir zorluktan doğar.$$
&amp;&amp;Seni sıkan işi biraz zorlaştırmak mı, bunaltan işi bölmek mi gerekir?&amp;&amp;</x:v>
      </x:c>
      <x:c r="K648" s="37" t="str">
        <x:v>Seni sıkan işi biraz zorlaştırmak mı, bunaltan işi bölmek mi gerekir?</x:v>
      </x:c>
      <x:c r="L648" s="37" t="str">
        <x:v>Akış rahatlıkta değil, beceriyle zorluğun birbirine değdiği sınırda ortaya çıkar.</x:v>
      </x:c>
      <x:c r="M648" s="37" t="str">
        <x:v>Mihaly Csikszentmihalyi ressamları, sporcuları ve yoğun odak gerektiren işlerdeki insanları incelerken garip bir ortaklık gördü. En sürükleyici anlar tamamen rahat oldukları zaman değil, becerileri ile zorluk düzeyi birbirine yaklaştığında ortaya çıkıyordu. Bu ayrıntı önemlidir; çünkü sonucu tek bir karakter özelliğiyle açıklamak yerine koşulların, geri bildirimin ve zamanlamanın birlikte nasıl çalıştığını gösterir. Bu bulgu, iyi hissetmek için işi sürekli kolaylaştırma inancını tersine çevirdi.</x:v>
      </x:c>
      <x:c r="N648" s="37" t="str">
        <x:v>Seni sıkan işi biraz zorlaştırmak mı, bunaltan işi bölmek mi gerekir?</x:v>
      </x:c>
      <x:c r="O648" s="37" t="str">
        <x:v>Rahatlık değil, denge</x:v>
      </x:c>
    </x:row>
    <x:row r="649" ht="20" customHeight="1">
      <x:c r="A649" s="33" t="n">
        <x:v>1706</x:v>
      </x:c>
      <x:c r="B649" s="34" t="str">
        <x:v>2</x:v>
      </x:c>
      <x:c r="C649" s="34" t="str">
        <x:v>Psikoloji</x:v>
      </x:c>
      <x:c r="D649" s="34" t="str">
        <x:v>Psikoloji</x:v>
      </x:c>
      <x:c r="E649" s="34" t="str">
        <x:v>Against Empathy</x:v>
      </x:c>
      <x:c r="F649" s="34" t="str">
        <x:v>Paul Bloom</x:v>
      </x:c>
      <x:c r="G649" s="34" t="str">
        <x:v>2016</x:v>
      </x:c>
      <x:c r="H649" s="37" t="str">
        <x:v>Bir Yüz Neden Binlerce İstatistikten Güçlüdür?</x:v>
      </x:c>
      <x:c r="I649" s="37" t="str">
        <x:v>Empati bir projektördür: bir yüzü parlatırken daha büyük bir kalabalığı görünmez bırakabilir.</x:v>
      </x:c>
      <x:c r="J649" s="37" t="str">
        <x:v>Paul Bloom, insanların adı ve yüzü olan tek bir kurbana, aynı tehlikedeki büyük ama isimsiz bir gruptan daha güçlü tepki verebildiğini ele aldı.
Empati bir projektör gibi yakındaki, canlı ve bize benzeyen kişiyi aydınlatırken kadraj dışındakileri karanlıkta bırakabiliyordu.
Bu seçicilik yardım isteğini artırsa da kaynakların en çok acı çekene değil, en görünür olana gitmesine yol açabiliyordu.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##Bloom’un itirazı şefkate değil, ahlaki kararın yalnızca paylaşılan duyguya bırakılmasınaydı.##
$$İyi niyet adil sonuç garanti etmez; şefkat, kanıt ve kapsam hesabıyla birlikte çalışmalıdır.$$
&amp;&amp;Bir kişiye dokunan hikâye ile daha çok kişiye yarayan karar çatışırsa hangisini seçersin?&amp;&amp;</x:v>
      </x:c>
      <x:c r="K649" s="37" t="str">
        <x:v>Bir kişiye dokunan hikâye ile daha çok kişiye yarayan karar çatışırsa hangisini seçersin?</x:v>
      </x:c>
      <x:c r="L649" s="37" t="str">
        <x:v>Empati bir projektördür: bir yüzü parlatırken daha büyük bir kalabalığı görünmez bırakabilir.</x:v>
      </x:c>
      <x:c r="M649" s="37" t="str">
        <x:v>Paul Bloom, insanların adı ve yüzü olan tek bir kurbana, aynı tehlikedeki büyük ama isimsiz bir gruptan daha güçlü tepki verebildiğini ele aldı. Empati bir projektör gibi yakındaki, canlı ve bize benzeyen kişiyi aydınlatırken kadraj dışındakileri karanlıkta bırakabiliyordu. Bu ayrıntı önemlidir; çünkü sonucu tek bir karakter özelliğiyle açıklamak yerine koşulların, geri bildirimin ve zamanlamanın birlikte nasıl çalıştığını gösterir. Bloom’un itirazı şefkate değil, ahlaki kararın yalnızca paylaşılan duyguya bırakılmasınaydı.</x:v>
      </x:c>
      <x:c r="N649" s="37" t="str">
        <x:v>Bir kişiye dokunan hikâye ile daha çok kişiye yarayan karar çatışırsa hangisini seçersin?</x:v>
      </x:c>
      <x:c r="O649" s="37" t="str">
        <x:v>Yoğun duygu, geniş etki</x:v>
      </x:c>
    </x:row>
    <x:row r="650" ht="20" customHeight="1">
      <x:c r="A650" s="33" t="n">
        <x:v>1707</x:v>
      </x:c>
      <x:c r="B650" s="34" t="str">
        <x:v>2</x:v>
      </x:c>
      <x:c r="C650" s="34" t="str">
        <x:v>Büyüme</x:v>
      </x:c>
      <x:c r="D650" s="34" t="str">
        <x:v>Kişisel Gelişim</x:v>
      </x:c>
      <x:c r="E650" s="34" t="str">
        <x:v>The 7 Habits of Highly Effective People</x:v>
      </x:c>
      <x:c r="F650" s="34" t="str">
        <x:v>Stephen Covey</x:v>
      </x:c>
      <x:c r="G650" s="34" t="str">
        <x:v>1989</x:v>
      </x:c>
      <x:c r="H650" s="37" t="str">
        <x:v>Metroda Bir Cümle Bütün Hikâyeyi Nasıl Değiştirdi?</x:v>
      </x:c>
      <x:c r="I650" s="37" t="str">
        <x:v>Metroda değişen çocuklar değildi; tek bir cümle yolcuların baktığı çerçeveyi değiştirdi.</x:v>
      </x:c>
      <x:c r="J650" s="37" t="str">
        <x:v>Stephen Covey, metroda sessizce oturan bir baba ile vagonu rahatsız eden çocuklarını anlattı. Yolcular öfkelenirken adam müdahale etmiyor görünüyordu.
Covey sonunda çocukları kontrol etmesini istedi. Baba hastaneden çıktıklarını ve çocukların annesinin bir saat önce öldüğünü söyledi.
Yeni bilgi çocukların davranışını değiştirmedi, fakat aynı sahnenin anlamını bir anda değiştirdi; öfkenin yerini yardım etme isteği aldı.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Buradaki fikir, herkese uyan mekanik bir reçete değildir. Aynı yöntem başka bir bağlamda farklı sonuç verebilir; bu yüzden örneği ilke ile koşulu ayırarak okumak gerekir.
İnsan zihni sonuca ulaştıktan sonra süreci kaçınılmazmış gibi anlatmayı sever. Oysa olayın içindeki insanlar karar verirken bugünkü bilgimize sahip değildi.
Hikâyeyi ilginç yapan da budur: büyük sonuç, çoğu zaman o anda küçük görünen bir tercih ile onu destekleyen görünmez bir sistemin birleşiminden doğar.
Bu nedenle çıkarılacak ders kahramanı taklit etmek değil, kararın hangi problemi çözdüğünü ve hangi bedeli göze aldığını anlamaktır.
Günlük hayata çevrildiğinde soru basitleşir: niyetimizi daha güçlü ilan etmek yerine, doğru davranışı biraz daha kolay ve yanlış davranışı biraz daha zor yapabilir miyiz?
Karşıt görüşü de hesaba katmak gerekir. Tek bir çarpıcı örnek bir ilkeyi görünür kılar, fakat tek başına her durumda geçerli olduğunu kanıtlamaz.
Yine de iyi bir örnek düşünme biçimimizi değiştirir. Dikkati kişiden sisteme, sonuçtan sürece ve görünen ödülden gizli maliyete taşır.
Bu bakış açısı geçmişi yargılamak için değil, bir sonraki kararda daha iyi bir soru sormak için kullanılabilir.
Olayın tarafları kusursuz değildi; belirsizlik, baskı ve sınırlı bilgi altında hareket ettiler. Sonucu öğretici yapan, tam da bu insani sınırlardır.
Bir fikir ancak sınırlarıyla birlikte anlatıldığında kullanışlı olur. Nerede işe yaradığı kadar nerede yanıltabileceğini bilmek de karar kalitesini artırır.
Sonuçta değişim çoğu zaman tek bir büyük hamleden değil, ölçülebilen küçük davranışların yeterince uzun süre aynı yönde birikmesinden gelir.
Bu hikâye sohbeti açar; çünkü herkes benzer gerilimi farklı bir alanda yaşamıştır: hız ile doğruluk, görünüş ile gerçeklik ya da rahatlık ile gelişim arasında.
Asıl soru geçmişte kimin haklı olduğu değildir. Bugün aynı işaretlerle karşılaşsak neyi daha erken fark edeceğimizdir.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##Başarısız görünen ilk yargı, Covey’in “önce anlamaya çalış” alışkanlığını somutlaştıran bir kazanca dönüştü.##
$$Davranış gördüğümüz şeydir; bağlam ise o davranış hakkında verdiğimiz hükmü bütünüyle değiştirebilir.$$
&amp;&amp;Hakkında hızlı hüküm verdiğin birinin bilmediğin hangi hikâyesi olabilir?&amp;&amp;</x:v>
      </x:c>
      <x:c r="K650" s="37" t="str">
        <x:v>Hakkında hızlı hüküm verdiğin birinin bilmediğin hangi hikâyesi olabilir?</x:v>
      </x:c>
      <x:c r="L650" s="37" t="str">
        <x:v>Metroda değişen çocuklar değildi; tek bir cümle yolcuların baktığı çerçeveyi değiştirdi.</x:v>
      </x:c>
      <x:c r="M650" s="37" t="str">
        <x:v>Stephen Covey, metroda sessizce oturan bir baba ile vagonu rahatsız eden çocuklarını anlattı. Yolcular öfkelenirken adam müdahale etmiyor görünüyordu. Covey sonunda çocukları kontrol etmesini istedi. Baba hastaneden çıktıklarını ve çocukların annesinin bir saat önce öldüğünü söyledi. Bu ayrıntı önemlidir; çünkü sonucu tek bir karakter özelliğiyle açıklamak yerine koşulların, geri bildirimin ve zamanlamanın birlikte nasıl çalıştığını gösterir. Başarısız görünen ilk yargı, Covey’in “önce anlamaya çalış” alışkanlığını somutlaştıran bir kazanca dönüştü.</x:v>
      </x:c>
      <x:c r="N650" s="37" t="str">
        <x:v>Hakkında hızlı hüküm verdiğin birinin bilmediğin hangi hikâyesi olabilir?</x:v>
      </x:c>
      <x:c r="O650" s="37" t="str">
        <x:v>Davranış ve bağlam</x:v>
      </x:c>
    </x:row>
    <x:row r="651" ht="20" customHeight="1">
      <x:c r="A651" s="33" t="n">
        <x:v>1708</x:v>
      </x:c>
      <x:c r="B651" s="34" t="str">
        <x:v>2</x:v>
      </x:c>
      <x:c r="C651" s="34" t="str">
        <x:v>Psikoloji</x:v>
      </x:c>
      <x:c r="D651" s="34" t="str">
        <x:v>Psikoloji</x:v>
      </x:c>
      <x:c r="E651" s="34" t="str">
        <x:v>Emotional Intelligence</x:v>
      </x:c>
      <x:c r="F651" s="34" t="str">
        <x:v>Daniel Goleman</x:v>
      </x:c>
      <x:c r="G651" s="34" t="str">
        <x:v>1995</x:v>
      </x:c>
      <x:c r="H651" s="37" t="str">
        <x:v>Bir Gazete Haberi Zekâ Tanımını Nasıl Değiştirdi?</x:v>
      </x:c>
      <x:c r="I651" s="37" t="str">
        <x:v>Goleman zekâyı yeniden tanımladı: mesele yalnızca bilmek değil, duygu yükseldiğinde bilgiyi kullanabilmekti.</x:v>
      </x:c>
      <x:c r="J651" s="37" t="str">
        <x:v>Daniel Goleman, şiddetli bir kriz sırasında akılcı beynin nasıl devre dışı kalabildiğini anlatan araştırmalarla karşılaştığında yalnızca IQ’ya dayanan başarı fikrini sorgulamaya başladı.
Joseph LeDoux’nun çalışmalarında duyusal sinyalin bir bölümü düşünsel değerlendirmeden önce amigdalaya ulaşabiliyordu; beden, zihin olayı tam adlandırmadan tepkiye hazırlanıyordu.
Goleman bu mekanizmayı iş, aile ve eğitimdeki özdenetim, empati ve ilişki becerileriyle birleştirdi.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Buradaki fikir, herkese uyan mekanik bir reçete değildir. Aynı yöntem başka bir bağlamda farklı sonuç verebilir; bu yüzden örneği ilke ile koşulu ayırarak okumak gerekir.
İnsan zihni sonuca ulaştıktan sonra süreci kaçınılmazmış gibi anlatmayı sever. Oysa olayın içindeki insanlar karar verirken bugünkü bilgimize sahip değildi.
Hikâyeyi ilginç yapan da budur: büyük sonuç, çoğu zaman o anda küçük görünen bir tercih ile onu destekleyen görünmez bir sistemin birleşiminden doğar.
Bu nedenle çıkarılacak ders kahramanı taklit etmek değil, kararın hangi problemi çözdüğünü ve hangi bedeli göze aldığını anlamaktır.
Günlük hayata çevrildiğinde soru basitleşir: niyetimizi daha güçlü ilan etmek yerine, doğru davranışı biraz daha kolay ve yanlış davranışı biraz daha zor yapabilir miyiz?
Karşıt görüşü de hesaba katmak gerekir. Tek bir çarpıcı örnek bir ilkeyi görünür kılar, fakat tek başına her durumda geçerli olduğunu kanıtlamaz.
Yine de iyi bir örnek düşünme biçimimizi değiştirir. Dikkati kişiden sisteme, sonuçtan sürece ve görünen ödülden gizli maliyete taşır.
Bu bakış açısı geçmişi yargılamak için değil, bir sonraki kararda daha iyi bir soru sormak için kullanılabilir.
Olayın tarafları kusursuz değildi; belirsizlik, baskı ve sınırlı bilgi altında hareket ettiler. Sonucu öğretici yapan, tam da bu insani sınırlardır.
Bir fikir ancak sınırlarıyla birlikte anlatıldığında kullanışlı olur. Nerede işe yaradığı kadar nerede yanıltabileceğini bilmek de karar kalitesini artırır.
Sonuçta değişim çoğu zaman tek bir büyük hamleden değil, ölçülebilen küçük davranışların yeterince uzun süre aynı yönde birikmesinden gelir.
Bu hikâye sohbeti açar; çünkü herkes benzer gerilimi farklı bir alanda yaşamıştır: hız ile doğruluk, görünüş ile gerçeklik ya da rahatlık ile gelişim arasında.
Asıl soru geçmişte kimin haklı olduğu değildir. Bugün aynı işaretlerle karşılaşsak neyi daha erken fark edeceğimizdir.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##Kırılma noktası, duyguyu aklın karşıtı değil, dikkati ve kararı yöneten eğitilebilir bir bilgi sistemi olarak görmesiydi.##
$$Zekâ yalnızca doğru cevabı bilmek değildir; baskı altında o cevaba erişebilecek zihinsel alanı koruyabilmektir.$$
&amp;&amp;En çok hangi duyguda bildiğin şeyi uygulamakta zorlanıyorsun?&amp;&amp;</x:v>
      </x:c>
      <x:c r="K651" s="37" t="str">
        <x:v>En çok hangi duyguda bildiğin şeyi uygulamakta zorlanıyorsun?</x:v>
      </x:c>
      <x:c r="L651" s="37" t="str">
        <x:v>Goleman zekâyı yeniden tanımladı: mesele yalnızca bilmek değil, duygu yükseldiğinde bilgiyi kullanabilmekti.</x:v>
      </x:c>
      <x:c r="M651" s="37" t="str">
        <x:v>Daniel Goleman, şiddetli bir kriz sırasında akılcı beynin nasıl devre dışı kalabildiğini anlatan araştırmalarla karşılaştığında yalnızca IQ’ya dayanan başarı fikrini sorgulamaya başladı. Joseph LeDoux’nun çalışmalarında duyusal sinyalin bir bölümü düşünsel değerlendirmeden önce amigdalaya ulaşabiliyordu; beden, zihin olayı tam adlandırmadan tepkiye hazırlanıyordu. Kırılma noktası, duyguyu aklın karşıtı değil, dikkati ve kararı yöneten eğitilebilir bir bilgi sistemi olarak görmesiydi.</x:v>
      </x:c>
      <x:c r="N651" s="37" t="str">
        <x:v>En çok hangi duyguda bildiğin şeyi uygulamakta zorlanıyorsun?</x:v>
      </x:c>
      <x:c r="O651" s="37" t="str">
        <x:v>Bilmek ve uygulamak</x:v>
      </x:c>
    </x:row>
    <x:row r="652" ht="20" customHeight="1">
      <x:c r="A652" s="33" t="n">
        <x:v>1709</x:v>
      </x:c>
      <x:c r="B652" s="34" t="str">
        <x:v>2</x:v>
      </x:c>
      <x:c r="C652" s="34" t="str">
        <x:v>Finans</x:v>
      </x:c>
      <x:c r="D652" s="34" t="str">
        <x:v>Finans</x:v>
      </x:c>
      <x:c r="E652" s="34" t="str">
        <x:v>The Psychology of Money</x:v>
      </x:c>
      <x:c r="F652" s="34" t="str">
        <x:v>Morgan Housel</x:v>
      </x:c>
      <x:c r="G652" s="34" t="str">
        <x:v>2020</x:v>
      </x:c>
      <x:c r="H652" s="37" t="str">
        <x:v>Servet Neden Genellikle Görünmezdir?</x:v>
      </x:c>
      <x:c r="I652" s="37" t="str">
        <x:v>Pahalı eşya harcanan parayı gösterir; servet ise çoğu zaman harcanmadan kalan görünmez seçenektir.</x:v>
      </x:c>
      <x:c r="J652" s="37" t="str">
        <x:v>Morgan Housel, insanların pahalı bir otomobil gördüğünde sürücüyü zengin sandığını, oysa gerçekte yalnızca otomobile harcanan parayı gördüğünü söyler.
Aracın bedeli artık sahibinin hesabında değildir. Görünür tüketim, geçmişteki gelir hakkında ipucu verebilir ama kalan serveti göstermez.
Servet çoğu zaman satın alınabilecek hâlde tutulmuş fakat harcanmamış seçeneklerdir; bu yüzden fotoğrafı çekilemez ve kolayca taklit edilemez.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Buradaki fikir, herkese uyan mekanik bir reçete değildir. Aynı yöntem başka bir bağlamda farklı sonuç verebilir; bu yüzden örneği ilke ile koşulu ayırarak okumak gerekir.
İnsan zihni sonuca ulaştıktan sonra süreci kaçınılmazmış gibi anlatmayı sever. Oysa olayın içindeki insanlar karar verirken bugünkü bilgimize sahip değildi.
Hikâyeyi ilginç yapan da budur: büyük sonuç, çoğu zaman o anda küçük görünen bir tercih ile onu destekleyen görünmez bir sistemin birleşiminden doğar.
Bu nedenle çıkarılacak ders kahramanı taklit etmek değil, kararın hangi problemi çözdüğünü ve hangi bedeli göze aldığını anlamaktır.
Günlük hayata çevrildiğinde soru basitleşir: niyetimizi daha güçlü ilan etmek yerine, doğru davranışı biraz daha kolay ve yanlış davranışı biraz daha zor yapabilir miyiz?
Karşıt görüşü de hesaba katmak gerekir. Tek bir çarpıcı örnek bir ilkeyi görünür kılar, fakat tek başına her durumda geçerli olduğunu kanıtlamaz.
Yine de iyi bir örnek düşünme biçimimizi değiştirir. Dikkati kişiden sisteme, sonuçtan sürece ve görünen ödülden gizli maliyete taşır.
Bu bakış açısı geçmişi yargılamak için değil, bir sonraki kararda daha iyi bir soru sormak için kullanılabilir.
Olayın tarafları kusursuz değildi; belirsizlik, baskı ve sınırlı bilgi altında hareket ettiler. Sonucu öğretici yapan, tam da bu insani sınırlardır.
Bir fikir ancak sınırlarıyla birlikte anlatıldığında kullanışlı olur. Nerede işe yaradığı kadar nerede yanıltabileceğini bilmek de karar kalitesini artırır.
Sonuçta değişim çoğu zaman tek bir büyük hamleden değil, ölçülebilen küçük davranışların yeterince uzun süre aynı yönde birikmesinden gelir.
Bu hikâye sohbeti açar; çünkü herkes benzer gerilimi farklı bir alanda yaşamıştır: hız ile doğruluk, görünüş ile gerçeklik ya da rahatlık ile gelişim arasında.
Asıl soru geçmişte kimin haklı olduğu değildir. Bugün aynı işaretlerle karşılaşsak neyi daha erken fark edeceğimizdir.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##Yaygın inanış zenginliğin sergilenmesi gerektiğidir; Housel’in tersine çevirdiği nokta, gerçek servetin görünmez kalabilmesidir.##
$$Finansal dayanıklılık başkalarının gördüğü şeylerden çok, henüz harcamadığımız kaynakların bize bıraktığı hareket alanıdır.$$
&amp;&amp;Zengin görünmek ile seçeneklerini korumak arasında kalsan hangisini seçersin?&amp;&amp;</x:v>
      </x:c>
      <x:c r="K652" s="37" t="str">
        <x:v>Zengin görünmek ile seçeneklerini korumak arasında kalsan hangisini seçersin?</x:v>
      </x:c>
      <x:c r="L652" s="37" t="str">
        <x:v>Pahalı eşya harcanan parayı gösterir; servet ise çoğu zaman harcanmadan kalan görünmez seçenektir.</x:v>
      </x:c>
      <x:c r="M652" s="37" t="str">
        <x:v>Morgan Housel, insanların pahalı bir otomobil gördüğünde sürücüyü zengin sandığını, oysa gerçekte yalnızca otomobile harcanan parayı gördüğünü söyler. Aracın bedeli artık sahibinin hesabında değildir. Görünür tüketim, geçmişteki gelir hakkında ipucu verebilir ama kalan serveti göstermez. Bu ayrıntı önemlidir; çünkü sonucu tek bir karakter özelliğiyle açıklamak yerine koşulların, geri bildirimin ve zamanlamanın birlikte nasıl çalıştığını gösterir. Yaygın inanış zenginliğin sergilenmesi gerektiğidir; Housel’in tersine çevirdiği nokta, gerçek servetin görünmez kalabilmesidir.</x:v>
      </x:c>
      <x:c r="N652" s="37" t="str">
        <x:v>Zengin görünmek ile seçeneklerini korumak arasında kalsan hangisini seçersin?</x:v>
      </x:c>
      <x:c r="O652" s="37" t="str">
        <x:v>Görünüş ve seçenek</x:v>
      </x:c>
    </x:row>
    <x:row r="653" ht="20" customHeight="1">
      <x:c r="A653" s="33" t="n">
        <x:v>1710</x:v>
      </x:c>
      <x:c r="B653" s="34" t="str">
        <x:v>2</x:v>
      </x:c>
      <x:c r="C653" s="34" t="str">
        <x:v>Tarih</x:v>
      </x:c>
      <x:c r="D653" s="34" t="str">
        <x:v>Tarih</x:v>
      </x:c>
      <x:c r="E653" s="34" t="str">
        <x:v>The Boys in the Boat</x:v>
      </x:c>
      <x:c r="F653" s="34" t="str">
        <x:v>Daniel James Brown</x:v>
      </x:c>
      <x:c r="G653" s="34" t="str">
        <x:v>2013</x:v>
      </x:c>
      <x:c r="H653" s="37" t="str">
        <x:v>Dokuz İşçi Sınıfı Genci Berlin’de Tarihe Nasıl Dokundu?</x:v>
      </x:c>
      <x:c r="I653" s="37" t="str">
        <x:v>Berlin’de yarışı tek bir kahraman değil, güçlerini ortak ritme dönüştüren dokuz genç kazandı.</x:v>
      </x:c>
      <x:c r="J653" s="37" t="str">
        <x:v>1930’ların ortasında Washington Üniversitesi’nin kürek takımına bakınca, ilk görünen şey parlak bir elit sporcu tablosu değildi. Çocukların çoğu işçi sınıfından geliyordu. Joe Rantz gibi bazıları okulda kalabilmek için çalışıyor, yemek ve barınma gibi çok sıradan ihtiyaçları bile hesaplayarak yaşıyordu. Büyük Buhran yıllarında spor yapmak, onların hayatında lüks bir hobi değil, çoğu zaman tutunma biçimiydi.
Kürek de dışarıdan bakınca kaba kuvvet sporu gibi görünür: daha güçlü kollar, daha büyük akciğerler, daha dayanıklı bedenler. Fakat Antrenör Al Ulbrickson’un problemi tam burada başladı. En güçlü dokuz kişiyi tekneye koymak, en hızlı tekneyi yaratmıyordu. Sekiz kürekçi ve bir dümenci aynı anda nefes almalı, aynı anda çekmeli, aynı anda kendinden vazgeçmeliydi.
Bu yüzden takımın asıl meselesi bireysel güç değil, "swing" denilen o zor yakalanan ortak akıştı. Tekne o anlarda suyun üzerinde ağır bir tahta parçası gibi değil, tek bir canlı gibi ilerliyordu. ##Bir kürek takımında hız, dokuz kişinin ayrı ayrı ne kadar güçlü olduğundan çok, dokuz kişinin aynı anda ne kadar az "ben" dediğiyle ortaya çıkar.##
Bu fikrin sert tarafı şuydu: iyi kürekçi yalnız kendini zorlayan kişi değildi. Kendi gücünü zamanında kısmayı, yanındakinin nefesine kulak vermeyi ve teknenin bütününden gelen küçük sinyalleri okumayı da bilmeliydi. Bazen daha fazla güç göstermek, ekibe yardım etmek değil, bütün düzeni bozmak anlamına geliyordu.
Joe Rantz için bu özellikle zordu. Hayatı ona erken yaşta yalnız kalmayı, kendi başının çaresine bakmayı ve kimseye fazla güvenmemeyi öğretmişti. Oysa tekne içinde hayatta kalma stratejisi değişiyordu. Orada güven, romantik bir duygu değil, fiziksel bir gereklilikti. Yanındaki insanla aynı anda çekmezsen, yalnızca ilişki değil hız da kırılıyordu.
1936 Berlin Olimpiyatları’na gittiklerinde yarış yalnız spor değildi. Tribünlerde Nazi Almanyası’nın gösteri arzusu vardı; ev sahibi ekip için sahne kusursuz görünmeliydi. Washington ekibi ise ihtişamdan çok yorgunluk, hastalık, sınırlı imkân ve sessiz bir direnç taşıyordu. Finalde zor bir kulvara düştüler. Start çağrısını duymakta zorlandılar ve yarışın başında geride kaldılar.
O an hikâyenin kolay anlatımı şudur: "Sonra çok istediler ve kazandılar." Ama bu fazla düz bir anlatı olur. Çünkü teknede kimse tek başına kahramanlık yapamaz. Bir kişinin panikle daha sert çekmesi, tekneyi hızlandırmak yerine ritmi bozabilir. Birinin kendini göstermesi, sekiz kişinin emeğini dağıtabilir. ##Kürekte ego, suya atılan görünmez bir ağırlık gibidir; herkes biraz daha kendini kanıtlamaya çalışırsa tekne yavaşlar.##
Yarışın son bölümünde dümenci Bobby Moch tempoyu yükselttiğinde mesele yalnız daha fazla güç üretmek değildi. Her beden aynı çağrıya cevap verdi. Joe Rantz’ın yıllarca taşıdığı yalnızlık, takım arkadaşlarının emeğiyle aynı ritme bağlandı. Tekne farkı kapattı, Almanya ve İtalya’nın önüne geçti, Berlin’de altın madalyaya ulaştı.
Bu zaferi etkileyici yapan şey yalnız madalya değildir. Madalya zaten sonuçtur. Asıl çarpıcı olan, o son bölümde kişisel hikâyelerin ortak tempoya dönüşmesidir. Çocukların yoksulluğu romantikleştirilecek bir şey değildi; hayatlarını zorlaştırıyordu. Ama o zorluk, birbirlerinin ritmine güvenmeyi öğrendiklerinde başka bir şeye dönüştü.
Bu yüzden hikâye yalnız spor tarihinden bir sahne gibi kalmaz. Bir toplantı odasında, bir girişimde, bir okul projesinde ya da kriz yaşayan bir ailede aynı soru belirir: herkes kendi gücünü göstermek için mi orada, yoksa ortak bir hareketi mümkün kılmak için mi? Bazen iyi niyetli ama uyumsuz çaba, kötü niyet kadar yavaşlatıcı olabilir. Tekne bunu acımasızca gösterir; su, niyeti değil ritmi ölçer.
Bu ölçümde mazeret yoktur; tekne ya birlikte akar ya da herkesin küçük farkını hemen tek tek cezalandırır.
$$Bir ekip bazen en parlak kişileri topladığı için değil, insanların kendi gücünü ortak ritme teslim edebildiği için olağanüstü olur.$$ Bu ders işte, ailede, sporda ya da arkadaşlıkta aynı anda tanıdık ve rahatsız edicidir. Çünkü çoğumuz iyi ekip istediğimizi söyleriz, ama kritik anda kendi hızımızın, kendi fikrimizin ya da kendi görünürlüğümüzün korunmasını isteriz.
The Boys in the Boat hikâyesi bu yüzden sohbet açar. "Takım çalışması önemlidir" gibi yorgun bir cümleyi canlandırır; çünkü karşımıza somut bir sahne koyar. Geride kalmış bir tekne, gürültülü bir Berlin finali, aynı anda çekilen kürekler ve tek bir kişinin değil, dokuz kişinin birbirine ayarlanması.
Bu hikâyeyi bir ortamda anlatınca konu hızla bugüne gelir. En iyi çalışan her zaman en iyi takım arkadaşı mıdır? Bir grupta parlak yetenek mi daha değerlidir, yoksa herkesin ritmini yükselten güvenilir uyum mu? Bazen bir ekibin ihtiyacı daha güçlü bir kahraman değil, aynı çağrıyı aynı anda duyabilen insanlardır.
Berlin’deki tekne bize başarıyı daha sessiz bir yerden gösterir. ##Zafer, tek bir yıldızın sahneye çıkmasıyla değil, dokuz gencin aynı anda görünmez olmayı kabul etmesiyle gelir.##
&amp;&amp;Bir ekip kurarken en yetenekli kişiyi mi seçerdin, yoksa birlikte ritim tutabilen grubu mu?&amp;&amp;</x:v>
      </x:c>
      <x:c r="K653" s="37" t="str">
        <x:v>Bir ekipte en yetenekli kişiyi mi, birlikte ritim tutabilen grubu mu seçersin?</x:v>
      </x:c>
      <x:c r="L653" s="37" t="str">
        <x:v>Berlin’de yarışı tek bir kahraman değil, güçlerini ortak ritme dönüştüren dokuz genç kazandı.</x:v>
      </x:c>
      <x:c r="M653" s="37" t="str">
        <x:v>1930’ların ortasında Washington Üniversitesi’nin kürek takımındaki gençlerin çoğu varlıklı sporcular değildi. Joe Rantz gibi bazıları Büyük Buhran sırasında çalışarak okulda kalabiliyordu. Antrenör Al Ulbrickson en güçlü dokuz kişiyi seçmenin yetmediğini gördü; sekiz kürekçi ile dümencinin aynı ritimde hareket etmesi gerekiyordu. Berlin finalinde geriye düştüler, ama son bölümde ortak ritmi bulup Almanya ve İtalya’nın önünde altın madalyaya ulaştılar.</x:v>
      </x:c>
      <x:c r="N653" s="37" t="str">
        <x:v>Bir ekipte en yetenekli kişiyi mi, birlikte ritim tutabilen grubu mu seçersin?</x:v>
      </x:c>
      <x:c r="O653" s="37" t="str">
        <x:v>Bireysel güç ve ortak ritim</x:v>
      </x:c>
    </x:row>
    <x:row r="654" ht="20" customHeight="1">
      <x:c r="A654" s="33" t="n">
        <x:v>1711</x:v>
      </x:c>
      <x:c r="B654" s="34" t="str">
        <x:v>2</x:v>
      </x:c>
      <x:c r="C654" s="34" t="str">
        <x:v>Finans</x:v>
      </x:c>
      <x:c r="D654" s="34" t="str">
        <x:v>Finans</x:v>
      </x:c>
      <x:c r="E654" s="34" t="str">
        <x:v>The Simple Path to Wealth</x:v>
      </x:c>
      <x:c r="F654" s="34" t="str">
        <x:v>J. L. Collins</x:v>
      </x:c>
      <x:c r="G654" s="34" t="str">
        <x:v>2016</x:v>
      </x:c>
      <x:c r="H654" s="37" t="str">
        <x:v>Zengin Görünmek ile Zengin Olmak Arasındaki Fark</x:v>
      </x:c>
      <x:c r="I654" s="37" t="str">
        <x:v>Zengin görünmek eşya ister; zengin olmak ise zamanını kimin yöneteceğine karar verme gücü verir.</x:v>
      </x:c>
      <x:c r="J654" s="37" t="str">
        <x:v>J. L. Collins finans yazılarına profesyonel yatırımcıları etkilemek için değil, parayla ilgilenmek istemeyen kızına açıklama yapmak için başladı.
Mesajı gösterişli değildi: yüksek tasarruf oranı, düşük borç, düşük maliyetli geniş endeks fonları ve uzun zaman.
Bu yaklaşım hızlı kazanç hikâyelerinin aksine dışarıdan sıkıcı görünüyordu; fakat amaç başkalarına zengin görünmek değil, çalışmak zorunda olmadığın seçenekleri büyütmekti.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Buradaki fikir, herkese uyan mekanik bir reçete değildir. Aynı yöntem başka bir bağlamda farklı sonuç verebilir; bu yüzden örneği ilke ile koşulu ayırarak okumak gerekir.
İnsan zihni sonuca ulaştıktan sonra süreci kaçınılmazmış gibi anlatmayı sever. Oysa olayın içindeki insanlar karar verirken bugünkü bilgimize sahip değildi.
Hikâyeyi ilginç yapan da budur: büyük sonuç, çoğu zaman o anda küçük görünen bir tercih ile onu destekleyen görünmez bir sistemin birleşiminden doğar.
Bu nedenle çıkarılacak ders kahramanı taklit etmek değil, kararın hangi problemi çözdüğünü ve hangi bedeli göze aldığını anlamaktır.
Günlük hayata çevrildiğinde soru basitleşir: niyetimizi daha güçlü ilan etmek yerine, doğru davranışı biraz daha kolay ve yanlış davranışı biraz daha zor yapabilir miyiz?
Karşıt görüşü de hesaba katmak gerekir. Tek bir çarpıcı örnek bir ilkeyi görünür kılar, fakat tek başına her durumda geçerli olduğunu kanıtlamaz.
Yine de iyi bir örnek düşünme biçimimizi değiştirir. Dikkati kişiden sisteme, sonuçtan sürece ve görünen ödülden gizli maliyete taşır.
Bu bakış açısı geçmişi yargılamak için değil, bir sonraki kararda daha iyi bir soru sormak için kullanılabilir.
Olayın tarafları kusursuz değildi; belirsizlik, baskı ve sınırlı bilgi altında hareket ettiler. Sonucu öğretici yapan, tam da bu insani sınırlardır.
Bir fikir ancak sınırlarıyla birlikte anlatıldığında kullanışlı olur. Nerede işe yaradığı kadar nerede yanıltabileceğini bilmek de karar kalitesini artırır.
Sonuçta değişim çoğu zaman tek bir büyük hamleden değil, ölçülebilen küçük davranışların yeterince uzun süre aynı yönde birikmesinden gelir.
Bu hikâye sohbeti açar; çünkü herkes benzer gerilimi farklı bir alanda yaşamıştır: hız ile doğruluk, görünüş ile gerçeklik ya da rahatlık ile gelişim arasında.
Asıl soru geçmişte kimin haklı olduğu değildir. Bugün aynı işaretlerle karşılaşsak neyi daha erken fark edeceğimizdir.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##Collins’in “özgürlük fonu” fikri, serveti eşya yığını yerine zaman ve karar hakkı olarak tanımladı.##
$$Görünen tüketim statü sağlayabilir; görünmeyen birikim ise hayır diyebilme ve yön değiştirebilme özgürlüğü verir.$$
&amp;&amp;Bugünkü harcaman ile gelecekteki seçim özgürlüğün çatıştığında hangisine öncelik veriyorsun?&amp;&amp;</x:v>
      </x:c>
      <x:c r="K654" s="37" t="str">
        <x:v>Bugünkü harcaman ile gelecekteki seçim özgürlüğün çatıştığında hangisine öncelik veriyorsun?</x:v>
      </x:c>
      <x:c r="L654" s="37" t="str">
        <x:v>Zengin görünmek eşya ister; zengin olmak ise zamanını kimin yöneteceğine karar verme gücü verir.</x:v>
      </x:c>
      <x:c r="M654" s="37" t="str">
        <x:v>J. L. Collins finans yazılarına profesyonel yatırımcıları etkilemek için değil, parayla ilgilenmek istemeyen kızına açıklama yapmak için başladı. Mesajı gösterişli değildi: yüksek tasarruf oranı, düşük borç, düşük maliyetli geniş endeks fonları ve uzun zaman. Bu ayrıntı önemlidir; çünkü sonucu tek bir karakter özelliğiyle açıklamak yerine koşulların, geri bildirimin ve zamanlamanın birlikte nasıl çalıştığını gösterir. Collins’in “özgürlük fonu” fikri, serveti eşya yığını yerine zaman ve karar hakkı olarak tanımladı.</x:v>
      </x:c>
      <x:c r="N654" s="37" t="str">
        <x:v>Bugünkü harcaman ile gelecekteki seçim özgürlüğün çatıştığında hangisine öncelik veriyorsun?</x:v>
      </x:c>
      <x:c r="O654" s="37" t="str">
        <x:v>Statü ve özgürlük</x:v>
      </x:c>
    </x:row>
    <x:row r="655" ht="20" customHeight="1">
      <x:c r="A655" s="33" t="n">
        <x:v>1712</x:v>
      </x:c>
      <x:c r="B655" s="34" t="str">
        <x:v>2</x:v>
      </x:c>
      <x:c r="C655" s="34" t="str">
        <x:v>Felsefe</x:v>
      </x:c>
      <x:c r="D655" s="34" t="str">
        <x:v>Sosyoloji</x:v>
      </x:c>
      <x:c r="E655" s="34" t="str">
        <x:v>The Republic</x:v>
      </x:c>
      <x:c r="F655" s="34" t="str">
        <x:v>Plato</x:v>
      </x:c>
      <x:c r="G655" s="34" t="str">
        <x:v>c. 375 BCE</x:v>
      </x:c>
      <x:c r="H655" s="37" t="str">
        <x:v>Platon’a Göre İktidarı En Çok Kim Hak Eder?</x:v>
      </x:c>
      <x:c r="I655" s="37" t="str">
        <x:v>Platon’un paradoksu: yönetmeye en uygun kişi, iktidara en az ihtiyaç duyandır.</x:v>
      </x:c>
      <x:c r="J655" s="37" t="str">
        <x:v>Platon’un Devlet’inde Sokrates, iyi yöneticinin iktidarı kişisel kazanç için arzulayan kişi olmadığını savunur.
Felsefi eğitim alan koruyucu, yönetimi bir ödül değil, bilgisi nedeniyle üstlenmesi gereken ağır bir görev olarak görür.
Bu yüzden ideal yönetici gücün sunduğu gösterişe koşmaz; daha sade ve düşünsel hayatından vazgeçmeye isteksizdir.
Bu ayrıntı önemlidir; çünkü sonucu tek bir karakter özelliğiyle açıklamak yerine koşulların, geri bildirimin ve zamanlamanın birlikte nasıl çalıştığını gösterir.
İlk bakışta olay kişisel bir başarı ya da başarısızlık gibi görünür. Yakından bakıldığında ise çevrenin hangi davranışı kolaylaştırdığı ve hangisini zorlaştırdığı daha belirleyicidir.
##Paradoks şudur: iktidara en uygun kişi, ona en az kişisel ihtiyaç duyan kişidir.##
$$Gücü istememek tek başına erdem değildir; fakat makamı kimlik ve servet aracı yapmamak kararları koruyabilir.$$
&amp;&amp;Sence liderlik için güçlü istek bir avantaj mı, yoksa uyarı işareti mi?&amp;&amp;</x:v>
      </x:c>
      <x:c r="K655" s="37" t="str">
        <x:v>Sence liderlik için güçlü istek bir avantaj mı, yoksa uyarı işareti mi?</x:v>
      </x:c>
      <x:c r="L655" s="37" t="str">
        <x:v>Platon’un paradoksu: yönetmeye en uygun kişi, iktidara en az ihtiyaç duyandır.</x:v>
      </x:c>
      <x:c r="M655" s="37" t="str">
        <x:v>Platon’un Devlet’inde Sokrates, iyi yöneticinin iktidarı kişisel kazanç için arzulayan kişi olmadığını savunur. Felsefi eğitim alan koruyucu, yönetimi bir ödül değil, bilgisi nedeniyle üstlenmesi gereken ağır bir görev olarak görür. Bu ayrıntı önemlidir; çünkü sonucu tek bir karakter özelliğiyle açıklamak yerine koşulların, geri bildirimin ve zamanlamanın birlikte nasıl çalıştığını gösterir. Paradoks şudur: iktidara en uygun kişi, ona en az kişisel ihtiyaç duyan kişidir.</x:v>
      </x:c>
      <x:c r="N655" s="37" t="str">
        <x:v>Sence liderlik için güçlü istek bir avantaj mı, yoksa uyarı işareti mi?</x:v>
      </x:c>
      <x:c r="O655" s="37" t="str">
        <x:v>Hırs değil, görev</x:v>
      </x:c>
    </x:row>
    <x:row r="656" ht="20" customHeight="1">
      <x:c r="A656" s="33" t="n">
        <x:v>1713</x:v>
      </x:c>
      <x:c r="B656" s="34" t="str">
        <x:v>2</x:v>
      </x:c>
      <x:c r="C656" s="34" t="str">
        <x:v>Felsefe</x:v>
      </x:c>
      <x:c r="D656" s="34" t="str">
        <x:v>Felsefe</x:v>
      </x:c>
      <x:c r="E656" s="34" t="str">
        <x:v>Ego Is the Enemy</x:v>
      </x:c>
      <x:c r="F656" s="34" t="str">
        <x:v>Ryan Holiday</x:v>
      </x:c>
      <x:c r="G656" s="34" t="str">
        <x:v>2016</x:v>
      </x:c>
      <x:c r="H656" s="37" t="str">
        <x:v>Ryan Holiday’nin Başarısı Neden Bir Uyarıya Dönüştü?</x:v>
      </x:c>
      <x:c r="I656" s="37" t="str">
        <x:v>Holiday için kırılma başarısızlık değil, genç yaşta gelen başarının görüşünü daralttığını fark etmekti.</x:v>
      </x:c>
      <x:c r="J656" s="37" t="str">
        <x:v>Ryan Holiday genç yaşta hızla yükselip American Apparel’da yöneticilik yaptı. Şirketin çevresindeki krizleri ve kendi hırsını yakından görmek, başarının insanı otomatik olarak bilgeleştirmediğini gösterdi. Dış onay büyüdükçe hatayı kabul etmek ve yeniden öğrenci olmak zorlaşabiliyordu. Holiday, kariyerindeki bu kırılmayı egoyu düşman ilan eden kitabının başlangıç sorusuna çevirdi.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##Holiday için kırılma başarısızlık değil, genç yaşta gelen başarının görüşünü daralttığını fark etmekti.##
$$Başarı egoyu susturmaz; geri bildirimi duyabilmek için bilinçli olarak öğrenci kalmak gerekir.$$
&amp;&amp;Başarıdan sonra seni yeniden öğrenci konumuna getiren alışkanlık hangisi?&amp;&amp;</x:v>
      </x:c>
      <x:c r="K656" s="37" t="str">
        <x:v>Başarıdan sonra seni yeniden öğrenci konumuna getiren alışkanlık hangisi?</x:v>
      </x:c>
      <x:c r="L656" s="37" t="str">
        <x:v>Holiday için kırılma başarısızlık değil, genç yaşta gelen başarının görüşünü daralttığını fark etmekti.</x:v>
      </x:c>
      <x:c r="M656" s="37" t="str">
        <x:v>Ryan Holiday genç yaşta hızla yükselip American Apparel’da yöneticilik yaptı. Şirketin çevresindeki krizleri ve kendi hırsını yakından görmek, başarının insanı otomatik olarak bilgeleştirmediğini gösterdi. Dış onay büyüdükçe hatayı kabul etmek ve yeniden öğrenci olmak zorlaşabiliyordu. Holiday, kariyerindeki bu kırılmayı egoyu düşman ilan eden kitabının başlangıç sorusuna çevirdi. Bu ayrıntı sonucu tek bir kişilik özelliğiyle açıklamanın neden yetersiz kaldığını gösterir.</x:v>
      </x:c>
      <x:c r="N656" s="37" t="str">
        <x:v>Başarıdan sonra seni yeniden öğrenci konumuna getiren alışkanlık hangisi?</x:v>
      </x:c>
      <x:c r="O656" s="37" t="str">
        <x:v>Başarı ve öğrenme</x:v>
      </x:c>
    </x:row>
    <x:row r="657" ht="20" customHeight="1">
      <x:c r="A657" s="33" t="n">
        <x:v>1714</x:v>
      </x:c>
      <x:c r="B657" s="34" t="str">
        <x:v>2</x:v>
      </x:c>
      <x:c r="C657" s="34" t="str">
        <x:v>Psikoloji</x:v>
      </x:c>
      <x:c r="D657" s="34" t="str">
        <x:v>Farkındalık</x:v>
      </x:c>
      <x:c r="E657" s="34" t="str">
        <x:v>You're Not Listening</x:v>
      </x:c>
      <x:c r="F657" s="34" t="str">
        <x:v>Kate Murphy</x:v>
      </x:c>
      <x:c r="G657" s="34" t="str">
        <x:v>2020</x:v>
      </x:c>
      <x:c r="H657" s="37" t="str">
        <x:v>Dinlemek Neden Konuşmaktan Daha Zordur?</x:v>
      </x:c>
      <x:c r="I657" s="37" t="str">
        <x:v>Dinlemek zor çünkü sessizlikten çok, konuşmanın kontrolünü bırakmayı gerektiriyor.</x:v>
      </x:c>
      <x:c r="J657" s="37" t="str">
        <x:v>Gazeteci Kate Murphy röportajlarında insanların çoğu zaman karşısındakini anlamak için değil, kendi cevabını hazırlamak için sustuğunu fark etti. Dinlemek belirsizliğe katlanmayı, soruyu kontrol etmemeyi ve duyacağımız şeyin fikrimizi değiştirmesine izin vermeyi gerektiriyordu. Telefonlar dikkat dağıtsa da asıl engel teknolojiden önce gelen bu kontrol arzusuydu.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##Dinlemek zor çünkü sessizlikten çok, konuşmanın kontrolünü bırakmayı gerektiriyor.##
$$Gerçek dinleme sessiz kalmak değil, konuşmanın nereye gideceğini önceden belirleme hakkından vazgeçmektir.$$
&amp;&amp;Birini dinlerken cevabını mı hazırlıyorsun, yoksa fikrinin değişmesine izin mi veriyorsun?&amp;&amp;</x:v>
      </x:c>
      <x:c r="K657" s="37" t="str">
        <x:v>Birini dinlerken cevabını mı hazırlıyorsun, yoksa fikrinin değişmesine izin mi veriyorsun?</x:v>
      </x:c>
      <x:c r="L657" s="37" t="str">
        <x:v>Dinlemek zor çünkü sessizlikten çok, konuşmanın kontrolünü bırakmayı gerektiriyor.</x:v>
      </x:c>
      <x:c r="M657" s="37" t="str">
        <x:v>Gazeteci Kate Murphy röportajlarında insanların çoğu zaman karşısındakini anlamak için değil, kendi cevabını hazırlamak için sustuğunu fark etti. Dinlemek belirsizliğe katlanmayı, soruyu kontrol etmemeyi ve duyacağımız şeyin fikrimizi değiştirmesine izin vermeyi gerektiriyordu. Telefonlar dikkat dağıtsa da asıl engel teknolojiden önce gelen bu kontrol arzusuydu. Bu ayrıntı sonucu tek bir kişilik özelliğiyle açıklamanın neden yetersiz kaldığını gösterir.</x:v>
      </x:c>
      <x:c r="N657" s="37" t="str">
        <x:v>Birini dinlerken cevabını mı hazırlıyorsun, yoksa fikrinin değişmesine izin mi veriyorsun?</x:v>
      </x:c>
      <x:c r="O657" s="37" t="str">
        <x:v>Cevap vermek ve anlamak</x:v>
      </x:c>
    </x:row>
    <x:row r="658" ht="20" customHeight="1">
      <x:c r="A658" s="33" t="n">
        <x:v>1715</x:v>
      </x:c>
      <x:c r="B658" s="34" t="str">
        <x:v>2</x:v>
      </x:c>
      <x:c r="C658" s="34" t="str">
        <x:v>Verimlilik</x:v>
      </x:c>
      <x:c r="D658" s="34" t="str">
        <x:v>Verimlilik</x:v>
      </x:c>
      <x:c r="E658" s="34" t="str">
        <x:v>Indistractable</x:v>
      </x:c>
      <x:c r="F658" s="34" t="str">
        <x:v>Nir Eyal</x:v>
      </x:c>
      <x:c r="G658" s="34" t="str">
        <x:v>2019</x:v>
      </x:c>
      <x:c r="H658" s="37" t="str">
        <x:v>Nir Eyal’i Kendi Kızıyla Kaçırdığı An Durdurdu</x:v>
      </x:c>
      <x:c r="I658" s="37" t="str">
        <x:v>Eyal’in kitabı, kızının cevabını kaçırdığı anda telefon sorunundan iç tetikleyici sorununa dönüştü.</x:v>
      </x:c>
      <x:c r="J658" s="37" t="str">
        <x:v>Nir Eyal, kızıyla birlikte “bir süper gücün olsa ne olurdu” sorusunu konuşurken telefonuna baktı. Başını kaldırdığında kızı odadan çıkmıştı. Dikkat teknolojileri üzerine çalışan birinin en önemli anını yine teknolojiye kaptırması rahatsız ediciydi. Eyal böylece soruyu telefondan iradeye değil, bizi rahatsızlıktan kaçmaya iten iç tetikleyicilere çevirdi.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##Eyal’in kitabı, kızının cevabını kaçırdığı anda telefon sorunundan iç tetikleyici sorununa dönüştü.##
$$Dikkat dağınıklığını yalnızca cihazlara yüklemek, bizi onlara yönelten sıkıntı ve huzursuzluğu görünmez bırakır.$$
&amp;&amp;Telefon ortadan kalksa dikkatini dağıtmak için yerine ne koyardın?&amp;&amp;</x:v>
      </x:c>
      <x:c r="K658" s="37" t="str">
        <x:v>Telefon ortadan kalksa dikkatini dağıtmak için yerine ne koyardın?</x:v>
      </x:c>
      <x:c r="L658" s="37" t="str">
        <x:v>Eyal’in kitabı, kızının cevabını kaçırdığı anda telefon sorunundan iç tetikleyici sorununa dönüştü.</x:v>
      </x:c>
      <x:c r="M658" s="37" t="str">
        <x:v>Nir Eyal, kızıyla birlikte “bir süper gücün olsa ne olurdu” sorusunu konuşurken telefonuna baktı. Başını kaldırdığında kızı odadan çıkmıştı. Dikkat teknolojileri üzerine çalışan birinin en önemli anını yine teknolojiye kaptırması rahatsız ediciydi. Eyal böylece soruyu telefondan iradeye değil, bizi rahatsızlıktan kaçmaya iten iç tetikleyicilere çevirdi. Bu ayrıntı sonucu tek bir kişilik özelliğiyle açıklamanın neden yetersiz kaldığını gösterir.</x:v>
      </x:c>
      <x:c r="N658" s="37" t="str">
        <x:v>Telefon ortadan kalksa dikkatini dağıtmak için yerine ne koyardın?</x:v>
      </x:c>
      <x:c r="O658" s="37" t="str">
        <x:v>Cihaz ve iç tetikleyici</x:v>
      </x:c>
    </x:row>
    <x:row r="659" ht="20" customHeight="1">
      <x:c r="A659" s="33" t="n">
        <x:v>1716</x:v>
      </x:c>
      <x:c r="B659" s="34" t="str">
        <x:v>2</x:v>
      </x:c>
      <x:c r="C659" s="34" t="str">
        <x:v>Finans</x:v>
      </x:c>
      <x:c r="D659" s="34" t="str">
        <x:v>İş &amp; Girişim</x:v>
      </x:c>
      <x:c r="E659" s="34" t="str">
        <x:v>Chatter</x:v>
      </x:c>
      <x:c r="F659" s="34" t="str">
        <x:v>Ethan Kross</x:v>
      </x:c>
      <x:c r="G659" s="34" t="str">
        <x:v>2021</x:v>
      </x:c>
      <x:c r="H659" s="37" t="str">
        <x:v>Kendi Adını Söylemek Stresi Nasıl Azaltabilir?</x:v>
      </x:c>
      <x:c r="I659" s="37" t="str">
        <x:v>“Ben” yerine kendi adını kullanmak, zihnin içindeki konuşmaya dışarıdan bakılan bir mesafe ekleyebilir.</x:v>
      </x:c>
      <x:c r="J659" s="37" t="str">
        <x:v>Ethan Kross ve çalışma arkadaşları, stresli bir konuşma öncesinde insanların içlerinden “Ben ne yapacağım?” yerine kendi adlarıyla konuşmasını inceledi. “Ethan ne yapmalı?” gibi küçük bir dil değişikliği, soruna dışarıdan bakılan psikolojik mesafe yaratıyordu. Katılımcılar daha az bunaltıcı düşünce bildiriyor ve performanslarını daha dengeli değerlendiriyordu.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##“Ben” yerine kendi adını kullanmak, zihnin içindeki konuşmaya dışarıdan bakılan bir mesafe ekleyebilir.##
$$Tek kelime sorunu çözmez; fakat ben yerine adımızı kullanmak, düşünceyle aramıza karar verecek kadar mesafe koyabilir.$$
&amp;&amp;Zor bir anda kendine yakın arkadaşınmış gibi hangi cümleyi söylerdin?&amp;&amp;</x:v>
      </x:c>
      <x:c r="K659" s="37" t="str">
        <x:v>Zor bir anda kendine yakın arkadaşınmış gibi hangi cümleyi söylerdin?</x:v>
      </x:c>
      <x:c r="L659" s="37" t="str">
        <x:v>“Ben” yerine kendi adını kullanmak, zihnin içindeki konuşmaya dışarıdan bakılan bir mesafe ekleyebilir.</x:v>
      </x:c>
      <x:c r="M659" s="37" t="str">
        <x:v>Ethan Kross ve çalışma arkadaşları, stresli bir konuşma öncesinde insanların içlerinden “Ben ne yapacağım?” yerine kendi adlarıyla konuşmasını inceledi. “Ethan ne yapmalı?” gibi küçük bir dil değişikliği, soruna dışarıdan bakılan psikolojik mesafe yaratıyordu. Katılımcılar daha az bunaltıcı düşünce bildiriyor ve performanslarını daha dengeli değerlendiriyordu. Bu ayrıntı sonucu tek bir kişilik özelliğiyle açıklamanın neden yetersiz kaldığını gösterir.</x:v>
      </x:c>
      <x:c r="N659" s="37" t="str">
        <x:v>Zor bir anda kendine yakın arkadaşınmış gibi hangi cümleyi söylerdin?</x:v>
      </x:c>
      <x:c r="O659" s="37" t="str">
        <x:v>İçeriden ve dışarıdan</x:v>
      </x:c>
    </x:row>
    <x:row r="660" ht="20" customHeight="1">
      <x:c r="A660" s="33" t="n">
        <x:v>1717</x:v>
      </x:c>
      <x:c r="B660" s="34" t="str">
        <x:v>2</x:v>
      </x:c>
      <x:c r="C660" s="34" t="str">
        <x:v>Bilim</x:v>
      </x:c>
      <x:c r="D660" s="34" t="str">
        <x:v>Teknoloji</x:v>
      </x:c>
      <x:c r="E660" s="34" t="str">
        <x:v>The Shallows</x:v>
      </x:c>
      <x:c r="F660" s="34" t="str">
        <x:v>Nicholas Carr</x:v>
      </x:c>
      <x:c r="G660" s="34" t="str">
        <x:v>2010</x:v>
      </x:c>
      <x:c r="H660" s="37" t="str">
        <x:v>Nicholas Carr Neden Bir Kitabı Bitiremez Oldu?</x:v>
      </x:c>
      <x:c r="I660" s="37" t="str">
        <x:v>Carr kitabına interneti suçlayarak değil, kendi derin okuma yetisinin neden değiştiğini sorarak başladı.</x:v>
      </x:c>
      <x:c r="J660" s="37" t="str">
        <x:v>Nicholas Carr yıllarca yoğun okuyan bir yazardı; sonra birkaç sayfadan sonra zihninin kaçtığını fark etti. İnternet ona hızla tarama, bağlantı seçme ve yeni uyarana geçme becerisi kazandırmıştı. Aynı alışkanlık uzun bir metnin içinde kalmayı zorlaştırıyordu. Carr soruyu “İnternet bize ne veriyor?”dan “Kullandığımız araç dikkat biçimimizi nasıl yeniden kuruyor?”a çevirdi.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##Carr kitabına interneti suçlayarak değil, kendi derin okuma yetisinin neden değiştiğini sorarak başladı.##
$$Bir aracın sağladığı hız yalnızca zamandan kazandırmaz; zihnin ne kadar süre ve hangi biçimde dikkat edeceğini de eğitebilir.$$
&amp;&amp;Son yıllarda hangi zihinsel becerin güçlenirken hangisi zayıfladı?&amp;&amp;</x:v>
      </x:c>
      <x:c r="K660" s="37" t="str">
        <x:v>Son yıllarda hangi zihinsel becerin güçlenirken hangisi zayıfladı?</x:v>
      </x:c>
      <x:c r="L660" s="37" t="str">
        <x:v>Carr kitabına interneti suçlayarak değil, kendi derin okuma yetisinin neden değiştiğini sorarak başladı.</x:v>
      </x:c>
      <x:c r="M660" s="37" t="str">
        <x:v>Nicholas Carr yıllarca yoğun okuyan bir yazardı; sonra birkaç sayfadan sonra zihninin kaçtığını fark etti. İnternet ona hızla tarama, bağlantı seçme ve yeni uyarana geçme becerisi kazandırmıştı. Aynı alışkanlık uzun bir metnin içinde kalmayı zorlaştırıyordu. Carr soruyu “İnternet bize ne veriyor?”dan “Kullandığımız araç dikkat biçimimizi nasıl yeniden kuruyor?”a çevirdi. Bu ayrıntı sonucu tek bir kişilik özelliğiyle açıklamanın neden yetersiz kaldığını gösterir.</x:v>
      </x:c>
      <x:c r="N660" s="37" t="str">
        <x:v>Son yıllarda hangi zihinsel becerin güçlenirken hangisi zayıfladı?</x:v>
      </x:c>
      <x:c r="O660" s="37" t="str">
        <x:v>Tarama ve derinlik</x:v>
      </x:c>
    </x:row>
    <x:row r="661" ht="20" customHeight="1">
      <x:c r="A661" s="33" t="n">
        <x:v>1718</x:v>
      </x:c>
      <x:c r="B661" s="34" t="str">
        <x:v>2</x:v>
      </x:c>
      <x:c r="C661" s="34" t="str">
        <x:v>Psikoloji</x:v>
      </x:c>
      <x:c r="D661" s="34" t="str">
        <x:v>Mutluluk</x:v>
      </x:c>
      <x:c r="E661" s="34" t="str">
        <x:v>Rubicon</x:v>
      </x:c>
      <x:c r="F661" s="34" t="str">
        <x:v>Tom Holland</x:v>
      </x:c>
      <x:c r="G661" s="34" t="str">
        <x:v>2003</x:v>
      </x:c>
      <x:c r="H661" s="37" t="str">
        <x:v>Sezar Rubicon’u Geçtiğinde Neden Geri Dönüş Yoktu?</x:v>
      </x:c>
      <x:c r="I661" s="37" t="str">
        <x:v>Rubicon küçük bir nehirdi; Sezar’ın ordusuyla geçmesi Roma’nın eski siyasi seçeneklerini kapattı.</x:v>
      </x:c>
      <x:c r="J661" s="37" t="str">
        <x:v>MÖ 49’da Roma yasası bir komutanın ordusuyla İtalya’ya girmesini yasaklıyordu. Senato Sezar’dan ordusunu dağıtmasını istedi; o ise 13. Lejyon’la Rubicon sınırına geldi. Nehri geçmek sıradan bir yürüyüş değil, açık isyandı. Sezar ilerledi, iç savaş başladı ve Cumhuriyet’in siyasi dengesi geri döndürülemez biçimde değişti.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##Rubicon küçük bir nehirdi; Sezar’ın ordusuyla geçmesi Roma’nın eski siyasi seçeneklerini kapattı.##
$$Bazı eşikler kararı yalnızca uygulamaz; eski seçenekleri ortadan kaldırarak sonraki bütün oyuncuların alanını değiştirir.$$
&amp;&amp;Hayatında hangi karar verildikten sonra önceki düzene dönmek imkânsız olurdu?&amp;&amp;</x:v>
      </x:c>
      <x:c r="K661" s="37" t="str">
        <x:v>Hayatında hangi karar verildikten sonra önceki düzene dönmek imkânsız olurdu?</x:v>
      </x:c>
      <x:c r="L661" s="37" t="str">
        <x:v>Rubicon küçük bir nehirdi; Sezar’ın ordusuyla geçmesi Roma’nın eski siyasi seçeneklerini kapattı.</x:v>
      </x:c>
      <x:c r="M661" s="37" t="str">
        <x:v>MÖ 49’da Roma yasası bir komutanın ordusuyla İtalya’ya girmesini yasaklıyordu. Senato Sezar’dan ordusunu dağıtmasını istedi; o ise 13. Lejyon’la Rubicon sınırına geldi. Nehri geçmek sıradan bir yürüyüş değil, açık isyandı. Sezar ilerledi, iç savaş başladı ve Cumhuriyet’in siyasi dengesi geri döndürülemez biçimde değişti. Bu ayrıntı sonucu tek bir kişilik özelliğiyle açıklamanın neden yetersiz kaldığını gösterir.</x:v>
      </x:c>
      <x:c r="N661" s="37" t="str">
        <x:v>Hayatında hangi karar verildikten sonra önceki düzene dönmek imkânsız olurdu?</x:v>
      </x:c>
      <x:c r="O661" s="37" t="str">
        <x:v>Sınır ve geri dönüş</x:v>
      </x:c>
    </x:row>
    <x:row r="662" ht="20" customHeight="1">
      <x:c r="A662" s="33" t="n">
        <x:v>1719</x:v>
      </x:c>
      <x:c r="B662" s="34" t="str">
        <x:v>2</x:v>
      </x:c>
      <x:c r="C662" s="34" t="str">
        <x:v>Finans</x:v>
      </x:c>
      <x:c r="D662" s="34" t="str">
        <x:v>Satış</x:v>
      </x:c>
      <x:c r="E662" s="34" t="str">
        <x:v>Complications</x:v>
      </x:c>
      <x:c r="F662" s="34" t="str">
        <x:v>Atul Gawande</x:v>
      </x:c>
      <x:c r="G662" s="34" t="str">
        <x:v>2002</x:v>
      </x:c>
      <x:c r="H662" s="37" t="str">
        <x:v>Uykusuz Bir Cerrah Ne Zaman Yardım İstemeli?</x:v>
      </x:c>
      <x:c r="I662" s="37" t="str">
        <x:v>Uykusuzluğun en tehlikeli yanı yalnızca performansı değil, performansı ölçme yetisini de düşürmesidir.</x:v>
      </x:c>
      <x:c r="J662" s="37" t="str">
        <x:v>Atul Gawande cerrahlık eğitiminde uzun nöbetlerin olağan sayıldığı bir sistemde yetişti. Uykusuzluk yalnızca eli yavaşlatmıyor; kişinin ne kadar bozulduğunu değerlendirme yetisini de zayıflatıyordu. Zor bir vakada deneyim kazanma isteği ile hastayı daha dinç bir cerraha devretme sorumluluğu çatışıyordu. Gawande bu gerilimi tıbbın kusursuzluk görüntüsünün arkasındaki belirsizlik olarak anlattı.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##Uykusuzluğun en tehlikeli yanı yalnızca performansı değil, performansı ölçme yetisini de düşürmesidir.##
$$Uzmanlık sınırı ortadan kaldırmaz; kritik beceri, performans düştüğünde bunu fark edip zamanında yardım istemektir.$$
&amp;&amp;Yorgun olduğunda kararını kendin mi ölçmelisin, yoksa dışarıdan bir sınır mı gerekir?&amp;&amp;</x:v>
      </x:c>
      <x:c r="K662" s="37" t="str">
        <x:v>Yorgun olduğunda kararını kendin mi ölçmelisin, yoksa dışarıdan bir sınır mı gerekir?</x:v>
      </x:c>
      <x:c r="L662" s="37" t="str">
        <x:v>Uykusuzluğun en tehlikeli yanı yalnızca performansı değil, performansı ölçme yetisini de düşürmesidir.</x:v>
      </x:c>
      <x:c r="M662" s="37" t="str">
        <x:v>Atul Gawande cerrahlık eğitiminde uzun nöbetlerin olağan sayıldığı bir sistemde yetişti. Uykusuzluk yalnızca eli yavaşlatmıyor; kişinin ne kadar bozulduğunu değerlendirme yetisini de zayıflatıyordu. Zor bir vakada deneyim kazanma isteği ile hastayı daha dinç bir cerraha devretme sorumluluğu çatışıyordu. Gawande bu gerilimi tıbbın kusursuzluk görüntüsünün arkasındaki belirsizlik olarak anlattı. Bu ayrıntı sonucu tek bir kişilik özelliğiyle açıklamanın neden yetersiz kaldığını gösterir.</x:v>
      </x:c>
      <x:c r="N662" s="37" t="str">
        <x:v>Yorgun olduğunda kararını kendin mi ölçmelisin, yoksa dışarıdan bir sınır mı gerekir?</x:v>
      </x:c>
      <x:c r="O662" s="37" t="str">
        <x:v>Dayanmak ve devretmek</x:v>
      </x:c>
    </x:row>
    <x:row r="663" ht="20" customHeight="1">
      <x:c r="A663" s="33" t="n">
        <x:v>1720</x:v>
      </x:c>
      <x:c r="B663" s="34" t="str">
        <x:v>2</x:v>
      </x:c>
      <x:c r="C663" s="34" t="str">
        <x:v>Psikoloji</x:v>
      </x:c>
      <x:c r="D663" s="34" t="str">
        <x:v>Psikoloji</x:v>
      </x:c>
      <x:c r="E663" s="34" t="str">
        <x:v>The Paradox of Choice</x:v>
      </x:c>
      <x:c r="F663" s="34" t="str">
        <x:v>Barry Schwartz</x:v>
      </x:c>
      <x:c r="G663" s="34" t="str">
        <x:v>2004</x:v>
      </x:c>
      <x:c r="H663" s="37" t="str">
        <x:v>24 Reçel Neden 6 Reçelden Daha Az Sattı?</x:v>
      </x:c>
      <x:c r="I663" s="37" t="str">
        <x:v>24 reçel kalabalığı çekti, ama altı reçellik masa çok daha yüksek satın alma oranı üretti.</x:v>
      </x:c>
      <x:c r="J663" s="37" t="str">
        <x:v>Bir market deneyinde müşteriler bazen 24, bazen 6 reçellik tadım masası gördü. Büyük masa daha çok kişiyi durdurdu; fakat satın alma oranı küçük seçkiyi görenlerde çok daha yüksekti. Bolluk dikkat çekmiş, karar verme yükünü de büyütmüştü. Barry Schwartz bu tür bulgularla daha fazla seçeneğin her zaman daha fazla özgürlük getirmediğini anlattı.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##24 reçel kalabalığı çekti, ama altı reçellik masa çok daha yüksek satın alma oranı üretti.##
$$Seçenek sayısı arttıkça fırsat büyürken karşılaştırma maliyeti, pişmanlık ve karar erteleme de büyüyebilir.$$
&amp;&amp;Hangi konuda daha az seçenek seni daha özgür hissettirirdi?&amp;&amp;</x:v>
      </x:c>
      <x:c r="K663" s="37" t="str">
        <x:v>Hangi konuda daha az seçenek seni daha özgür hissettirirdi?</x:v>
      </x:c>
      <x:c r="L663" s="37" t="str">
        <x:v>24 reçel kalabalığı çekti, ama altı reçellik masa çok daha yüksek satın alma oranı üretti.</x:v>
      </x:c>
      <x:c r="M663" s="37" t="str">
        <x:v>Bir market deneyinde müşteriler bazen 24, bazen 6 reçellik tadım masası gördü. Büyük masa daha çok kişiyi durdurdu; fakat satın alma oranı küçük seçkiyi görenlerde çok daha yüksekti. Bolluk dikkat çekmiş, karar verme yükünü de büyütmüştü. Barry Schwartz bu tür bulgularla daha fazla seçeneğin her zaman daha fazla özgürlük getirmediğini anlattı. Bu ayrıntı sonucu tek bir kişilik özelliğiyle açıklamanın neden yetersiz kaldığını gösterir.</x:v>
      </x:c>
      <x:c r="N663" s="37" t="str">
        <x:v>Hangi konuda daha az seçenek seni daha özgür hissettirirdi?</x:v>
      </x:c>
      <x:c r="O663" s="37" t="str">
        <x:v>Bolluk ve karar</x:v>
      </x:c>
    </x:row>
    <x:row r="664" ht="20" customHeight="1">
      <x:c r="A664" s="33" t="n">
        <x:v>1721</x:v>
      </x:c>
      <x:c r="B664" s="34" t="str">
        <x:v>2</x:v>
      </x:c>
      <x:c r="C664" s="34" t="str">
        <x:v>Psikoloji</x:v>
      </x:c>
      <x:c r="D664" s="34" t="str">
        <x:v>Psikoloji</x:v>
      </x:c>
      <x:c r="E664" s="34" t="str">
        <x:v>A Short History of Nearly Everything</x:v>
      </x:c>
      <x:c r="F664" s="34" t="str">
        <x:v>Bill Bryson</x:v>
      </x:c>
      <x:c r="G664" s="34" t="str">
        <x:v>2003</x:v>
      </x:c>
      <x:c r="H664" s="37" t="str">
        <x:v>Kıtalar Bir Yapboz Gibi Uyuşuyorsa Tesadüf müydü?</x:v>
      </x:c>
      <x:c r="I664" s="37" t="str">
        <x:v>Wegener kıtaların uyumunu gördü; mekanizmayı açıklayamadığı için haklı gözlemi onlarca yıl kenarda kaldı.</x:v>
      </x:c>
      <x:c r="J664" s="37" t="str">
        <x:v>Alfred Wegener, Afrika ile Güney Amerika kıyılarının uyumunu, iki yakadaki benzer fosilleri ve kaya kuşaklarını tek bir fikirde topladı: kıtalar eskiden birleşikti ve hareket etmişti. Dönemin jeologları, onları itecek ikna edici mekanizmayı gösteremediği için teoriyi reddetti. Okyanus tabanı ölçümleri ve levha tektoniği daha sonra gözlemin temel yönünü doğruladı.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##Wegener kıtaların uyumunu gördü; mekanizmayı açıklayamadığı için haklı gözlemi onlarca yıl kenarda kaldı.##
$$Doğru bir gözlem eksik mekanizma yüzünden erken reddedilebilir; fakat iddia yine de yeni kanıtların sınayabileceği kadar açık olmalıdır.$$
&amp;&amp;Bir fikrin açıklaması eksikse gözlemi de reddetmek doğru mudur?&amp;&amp;</x:v>
      </x:c>
      <x:c r="K664" s="37" t="str">
        <x:v>Bir fikrin açıklaması eksikse gözlemi de reddetmek doğru mudur?</x:v>
      </x:c>
      <x:c r="L664" s="37" t="str">
        <x:v>Wegener kıtaların uyumunu gördü; mekanizmayı açıklayamadığı için haklı gözlemi onlarca yıl kenarda kaldı.</x:v>
      </x:c>
      <x:c r="M664" s="37" t="str">
        <x:v>Alfred Wegener, Afrika ile Güney Amerika kıyılarının uyumunu, iki yakadaki benzer fosilleri ve kaya kuşaklarını tek bir fikirde topladı: kıtalar eskiden birleşikti ve hareket etmişti. Dönemin jeologları, onları itecek ikna edici mekanizmayı gösteremediği için teoriyi reddetti. Okyanus tabanı ölçümleri ve levha tektoniği daha sonra gözlemin temel yönünü doğruladı. Bu ayrıntı sonucu tek bir kişilik özelliğiyle açıklamanın neden yetersiz kaldığını gösterir.</x:v>
      </x:c>
      <x:c r="N664" s="37" t="str">
        <x:v>Bir fikrin açıklaması eksikse gözlemi de reddetmek doğru mudur?</x:v>
      </x:c>
      <x:c r="O664" s="37" t="str">
        <x:v>Gözlem ve mekanizma</x:v>
      </x:c>
    </x:row>
    <x:row r="665" ht="20" customHeight="1">
      <x:c r="A665" s="33" t="n">
        <x:v>1722</x:v>
      </x:c>
      <x:c r="B665" s="34" t="str">
        <x:v>2</x:v>
      </x:c>
      <x:c r="C665" s="34" t="str">
        <x:v>Finans</x:v>
      </x:c>
      <x:c r="D665" s="34" t="str">
        <x:v>Pazarlama</x:v>
      </x:c>
      <x:c r="E665" s="34" t="str">
        <x:v>Creativity, Inc.</x:v>
      </x:c>
      <x:c r="F665" s="34" t="str">
        <x:v>Ed Catmull ve Amy Wallace</x:v>
      </x:c>
      <x:c r="G665" s="34" t="str">
        <x:v>2014</x:v>
      </x:c>
      <x:c r="H665" s="37" t="str">
        <x:v>Pixar’da Bir Filmi Kurtaran Toplantının Patronu Yoktu</x:v>
      </x:c>
      <x:c r="I665" s="37" t="str">
        <x:v>Pixar Braintrust çözümü emretmedi; gerçeği açıkça söyleyerek yönetmenin daha iyi karar vermesini sağladı.</x:v>
      </x:c>
      <x:c r="J665" s="37" t="str">
        <x:v>Pixar’ın Braintrust toplantılarında yönetmen, filmin tamamlanmamış hâlini deneyimli meslektaşlarına gösteriyordu. Grup sorunları açıkça söylüyor fakat çözümü emretmiyordu; notların uygulanması zorunlu değildi. Bu düzen, otorite korkusunu azaltırken sorumluluğu yönetmende tutuyordu. Toy Story 2 gibi sorunlu projeler tekrar tekrar bu masada parçalanıp yeniden kuruldu ve eleştiri bir onay kapısı değil, ortak görme aracı oldu.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Yine de hikâye dikkati sonuçtan sürece, kişiden sisteme ve niyetten ölçülebilir davranışa taşır.
Günlük hayatta aynı fikir, doğru davranışı kolaylaştırıp yanlış davranışın sürtünmesini artırmak anlamına gelebilir.
Asıl ders kahramanı taklit etmek değil, kararın çözdüğü problemi ve kabul ettiği bedeli anlamaktır.
Sonradan bakınca kaçınılmaz görünen sonuç, o anda birbiriyle yarışan birçok olasılıktan yalnızca biriydi.
Bu yüzden hikâye geçmişi yargılamaktan çok, bir sonraki karardan önce daha iyi bir soru sormaya yarar.
Büyük değişimler çoğu zaman tek bir dramatik hareketten değil, aynı yönde biriken görünmez küçük düzeltmelerden doğar.
Hikâyenin sohbet gücü, hepimizin görünüş ile gerçeklik, hız ile doğruluk ya da kontrol ile güven arasında benzer gerilimler yaşamasından gelir.
Bir fikrin nerede işe yaramadığını bilmek, nerede işe yaradığını bilmek kadar önemlidir.
Sonuçtan bağımsız olarak süreçte kullanılan geri bildirim, sonraki denemenin kalitesini belirleyen asıl kaynaktır.
İyi karar kesinlik gerektirmez; belirsizliği görünür kılıp geri dönüşü mümkün tutmayı gerektirir.
Bu ayrıntı sonucu tek bir kişilik özelliğiyle açıklamanın neden yetersiz kaldığını gösterir.
Olayın içindeki insanlar bugünkü sonucu bilmiyor, sınırlı bilgi ve baskı altında karar veriyordu.
İlk bakışta küçük görünen tercih, çevresindeki sistem tarafından büyütülerek kalıcı bir sonuca dönüştü.
Buradan mekanik bir reçete değil, koşullarıyla birlikte sınanması gereken bir düşünme aracı çıkar.
Karşı örnekler mümkündür; tek bir vaka ilkeyi görünür kılar ama her yerde aynı sonucu garanti etmez.
##Pixar Braintrust çözümü emretmedi; gerçeği açıkça söyleyerek yönetmenin daha iyi karar vermesini sağladı.##
$$Kontrolü paylaşmak kararı dağıtmak değildir; doğru insanlara gerçeği söyleme güveni verip son sorumluluğu açık tutmaktır.$$
&amp;&amp;Ekibinde fikir söyleme hakkı ile son karar sorumluluğu net biçimde ayrılmış mı?&amp;&amp;</x:v>
      </x:c>
      <x:c r="K665" s="37" t="str">
        <x:v>Ekibinde fikir söyleme hakkı ile son karar sorumluluğu net biçimde ayrılmış mı?</x:v>
      </x:c>
      <x:c r="L665" s="37" t="str">
        <x:v>Pixar Braintrust çözümü emretmedi; gerçeği açıkça söyleyerek yönetmenin daha iyi karar vermesini sağladı.</x:v>
      </x:c>
      <x:c r="M665" s="37" t="str">
        <x:v>Pixar’ın Braintrust toplantılarında yönetmen, filmin tamamlanmamış hâlini deneyimli meslektaşlarına gösteriyordu. Grup sorunları açıkça söylüyor fakat çözümü emretmiyordu; notların uygulanması zorunlu değildi. Bu düzen, otorite korkusunu azaltırken sorumluluğu yönetmende tutuyordu. Toy Story 2 gibi sorunlu projeler tekrar tekrar bu masada parçalanıp yeniden kuruldu ve eleştiri bir onay kapısı değil, ortak görme aracı oldu. Bu ayrıntı sonucu tek bir kişilik özelliğiyle açıklamanın neden yetersiz kaldığını gösterir.</x:v>
      </x:c>
      <x:c r="N665" s="37" t="str">
        <x:v>Ekibinde fikir söyleme hakkı ile son karar sorumluluğu net biçimde ayrılmış mı?</x:v>
      </x:c>
      <x:c r="O665" s="37" t="str">
        <x:v>Otorite ve dürüstlük</x:v>
      </x:c>
    </x:row>
    <x:row r="666" ht="20" customHeight="1">
      <x:c r="A666" s="33" t="n">
        <x:v>1723</x:v>
      </x:c>
      <x:c r="B666" s="34" t="str">
        <x:v>2</x:v>
      </x:c>
      <x:c r="C666" s="34" t="str">
        <x:v>Felsefe</x:v>
      </x:c>
      <x:c r="D666" s="34" t="str">
        <x:v>Düşünme</x:v>
      </x:c>
      <x:c r="E666" s="34" t="str">
        <x:v>Thinking in Systems</x:v>
      </x:c>
      <x:c r="F666" s="34" t="str">
        <x:v>Donella Meadows</x:v>
      </x:c>
      <x:c r="G666" s="34" t="str">
        <x:v>2008</x:v>
      </x:c>
      <x:c r="H666" s="37" t="str">
        <x:v>Bir Gölü Kurtarmak Neden Musluğu Kapatmak Kadar Hızlı Değildir?</x:v>
      </x:c>
      <x:c r="I666" s="37" t="str">
        <x:v>Akışı bugün azaltmak, yıllarca birikmiş stoku yarın yok etmez; gecikme kararımızı yanıltabilir.</x:v>
      </x:c>
      <x:c r="J666" s="37" t="str">
        <x:v>Donella Meadows sistemlerde stok ile akışın aynı şey olmadığını bir küvet benzetmesiyle anlatır. Kirlilik girişi azaltılsa bile gölde yıllarca birikmiş madde hemen kaybolmaz. Sonuç gecikince yöneticiler önlemin çalışmadığını düşünüp geri adım atabilir; oysa küçük kararın etkisi sistemde dolaşmaya devam eder. Gecikmeyi hesaba katmayan ikinci karar ilk iyileşmeyi bozabilir.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##Akışı bugün azaltmak, yıllarca birikmiş stoku yarın yok etmez; gecikme kararımızı yanıltabilir.##
$$Bir sistem yavaş cevap veriyorsa etkisiz olduğu değil, stokların değişmesinin zaman aldığı anlamına gelebilir.$$
&amp;&amp;Sonucu geç gelen hangi kararından gereğinden erken vazgeçtin?&amp;&amp;</x:v>
      </x:c>
      <x:c r="K666" s="37" t="str">
        <x:v>Sonucu geç gelen hangi kararından gereğinden erken vazgeçtin?</x:v>
      </x:c>
      <x:c r="L666" s="37" t="str">
        <x:v>Akışı bugün azaltmak, yıllarca birikmiş stoku yarın yok etmez; gecikme kararımızı yanıltabilir.</x:v>
      </x:c>
      <x:c r="M666" s="37" t="str">
        <x:v>Donella Meadows sistemlerde stok ile akışın aynı şey olmadığını bir küvet benzetmesiyle anlatır. Kirlilik girişi azaltılsa bile gölde yıllarca birikmiş madde hemen kaybolmaz. Sonuç gecikince yöneticiler önlemin çalışmadığını düşünüp geri adım atabilir; oysa küçük kararın etkisi sistemde dolaşmaya devam eder. Gecikmeyi hesaba katmayan ikinci karar ilk iyileşmeyi bozabilir. Bu olay sonucu tek bir kişilik özelliğiyle açıklamanın neden yetersiz kaldığını gösterir.</x:v>
      </x:c>
      <x:c r="N666" s="37" t="str">
        <x:v>Sonucu geç gelen hangi kararından gereğinden erken vazgeçtin?</x:v>
      </x:c>
      <x:c r="O666" s="37" t="str">
        <x:v>Akış ve stok</x:v>
      </x:c>
    </x:row>
    <x:row r="667" ht="20" customHeight="1">
      <x:c r="A667" s="33" t="n">
        <x:v>1724</x:v>
      </x:c>
      <x:c r="B667" s="34" t="str">
        <x:v>2</x:v>
      </x:c>
      <x:c r="C667" s="34" t="str">
        <x:v>Verimlilik</x:v>
      </x:c>
      <x:c r="D667" s="34" t="str">
        <x:v>İş Dünyası</x:v>
      </x:c>
      <x:c r="E667" s="34" t="str">
        <x:v>Good to Great</x:v>
      </x:c>
      <x:c r="F667" s="34" t="str">
        <x:v>Jim Collins</x:v>
      </x:c>
      <x:c r="G667" s="34" t="str">
        <x:v>2001</x:v>
      </x:c>
      <x:c r="H667" s="37" t="str">
        <x:v>Darwin Smith Neden Şirketinin Fabrikalarını Sattı?</x:v>
      </x:c>
      <x:c r="I667" s="37" t="str">
        <x:v>Smith şirketin geçmişini temsil eden fabrikaları sattı; vazgeçiş yeni odağı finanse etti.</x:v>
      </x:c>
      <x:c r="J667" s="37" t="str">
        <x:v>Kimberly-Clark’ın yöneticisi Darwin Smith, kâğıt fabrikalarının şirketi sıradanlığa kilitlediğine karar verdi. Geleneksel varlıkları satıp parayı tüketici markalarına yatırmak başlangıçta kimliğin inkârı ve büyük bir kumar gibi göründü. Satış baskısı ekibi Huggies ve Kleenex gibi alanlarda gerçek bir üstünlük kurmaya zorladı. Başarısızlık gibi görünen vazgeçiş, kaynakları daha güçlü bir odakta topladı.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##Smith şirketin geçmişini temsil eden fabrikaları sattı; vazgeçiş yeni odağı finanse etti.##
$$Bir alana yıllarca yatırım yapmak, gelecekte de en iyi yerin orası olduğunu kanıtlamaz.$$
&amp;&amp;Hangi eski yatırımın seni daha güçlü bir seçeneğe geçmekten alıkoyuyor?&amp;&amp;</x:v>
      </x:c>
      <x:c r="K667" s="37" t="str">
        <x:v>Hangi eski yatırımın seni daha güçlü bir seçeneğe geçmekten alıkoyuyor?</x:v>
      </x:c>
      <x:c r="L667" s="37" t="str">
        <x:v>Smith şirketin geçmişini temsil eden fabrikaları sattı; vazgeçiş yeni odağı finanse etti.</x:v>
      </x:c>
      <x:c r="M667" s="37" t="str">
        <x:v>Kimberly-Clark’ın yöneticisi Darwin Smith, kâğıt fabrikalarının şirketi sıradanlığa kilitlediğine karar verdi. Geleneksel varlıkları satıp parayı tüketici markalarına yatırmak başlangıçta kimliğin inkârı ve büyük bir kumar gibi göründü. Satış baskısı ekibi Huggies ve Kleenex gibi alanlarda gerçek bir üstünlük kurmaya zorladı. Başarısızlık gibi görünen vazgeçiş, kaynakları daha güçlü bir odakta topladı. Bu olay sonucu tek bir kişilik özelliğiyle açıklamanın neden yetersiz kaldığını gösterir.</x:v>
      </x:c>
      <x:c r="N667" s="37" t="str">
        <x:v>Hangi eski yatırımın seni daha güçlü bir seçeneğe geçmekten alıkoyuyor?</x:v>
      </x:c>
      <x:c r="O667" s="37" t="str">
        <x:v>Miras ve odak</x:v>
      </x:c>
    </x:row>
    <x:row r="668" ht="20" customHeight="1">
      <x:c r="A668" s="33" t="n">
        <x:v>1725</x:v>
      </x:c>
      <x:c r="B668" s="34" t="str">
        <x:v>2</x:v>
      </x:c>
      <x:c r="C668" s="34" t="str">
        <x:v>Finans</x:v>
      </x:c>
      <x:c r="D668" s="34" t="str">
        <x:v>Finans</x:v>
      </x:c>
      <x:c r="E668" s="34" t="str">
        <x:v>Money: Master the Game</x:v>
      </x:c>
      <x:c r="F668" s="34" t="str">
        <x:v>Tony Robbins</x:v>
      </x:c>
      <x:c r="G668" s="34" t="str">
        <x:v>2014</x:v>
      </x:c>
      <x:c r="H668" s="37" t="str">
        <x:v>2008 Krizi Tony Robbins’in Sorusunu Nasıl Değiştirdi?</x:v>
      </x:c>
      <x:c r="I668" s="37" t="str">
        <x:v>Kriz Robbins’in sorusunu kazançtan kurallara çevirdi: sıradan yatırımcı hangi riskleri göremiyordu?</x:v>
      </x:c>
      <x:c r="J668" s="37" t="str">
        <x:v>2008 finans krizinde milyonlarca insan birikimini ve güvenini kaybederken karmaşık ürünleri satan kurumlar desteklendi. Tony Robbins soruyu daha çok para kazanmaktan, sıradan yatırımcının bilmediği kuralları görünür kılmaya çevirdi. Paul Tudor Jones, Ray Dalio ve John Bogle gibi isimlerle görüşerek farklı stratejilerin ortak ilkelerini aradı: maliyet, çeşitlendirme, risk sınırı ve uzun vade.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##Kriz Robbins’in sorusunu kazançtan kurallara çevirdi: sıradan yatırımcı hangi riskleri göremiyordu?##
$$Uzmanların ürünlerini kopyalamaktan çok, farklı koşullarda tekrar eden risk ilkelerini anlamak gerekir.$$
&amp;&amp;Finansal kararlarında getiriyi mi, önce kaybın sınırını mı soruyorsun?&amp;&amp;</x:v>
      </x:c>
      <x:c r="K668" s="37" t="str">
        <x:v>Finansal kararlarında getiriyi mi, önce kaybın sınırını mı soruyorsun?</x:v>
      </x:c>
      <x:c r="L668" s="37" t="str">
        <x:v>Kriz Robbins’in sorusunu kazançtan kurallara çevirdi: sıradan yatırımcı hangi riskleri göremiyordu?</x:v>
      </x:c>
      <x:c r="M668" s="37" t="str">
        <x:v>2008 finans krizinde milyonlarca insan birikimini ve güvenini kaybederken karmaşık ürünleri satan kurumlar desteklendi. Tony Robbins soruyu daha çok para kazanmaktan, sıradan yatırımcının bilmediği kuralları görünür kılmaya çevirdi. Paul Tudor Jones, Ray Dalio ve John Bogle gibi isimlerle görüşerek farklı stratejilerin ortak ilkelerini aradı: maliyet, çeşitlendirme, risk sınırı ve uzun vade. Bu olay sonucu tek bir kişilik özelliğiyle açıklamanın neden yetersiz kaldığını gösterir.</x:v>
      </x:c>
      <x:c r="N668" s="37" t="str">
        <x:v>Finansal kararlarında getiriyi mi, önce kaybın sınırını mı soruyorsun?</x:v>
      </x:c>
      <x:c r="O668" s="37" t="str">
        <x:v>Getiri ve risk</x:v>
      </x:c>
    </x:row>
    <x:row r="669" ht="20" customHeight="1">
      <x:c r="A669" s="33" t="n">
        <x:v>1726</x:v>
      </x:c>
      <x:c r="B669" s="34" t="str">
        <x:v>2</x:v>
      </x:c>
      <x:c r="C669" s="34" t="str">
        <x:v>Psikoloji</x:v>
      </x:c>
      <x:c r="D669" s="34" t="str">
        <x:v>Psikoloji</x:v>
      </x:c>
      <x:c r="E669" s="34" t="str">
        <x:v>The Gene</x:v>
      </x:c>
      <x:c r="F669" s="34" t="str">
        <x:v>Siddhartha Mukherjee</x:v>
      </x:c>
      <x:c r="G669" s="34" t="str">
        <x:v>2016</x:v>
      </x:c>
      <x:c r="H669" s="37" t="str">
        <x:v>Mendel’in Bezelyeleri Neden Otuz Yıl Sessiz Kaldı?</x:v>
      </x:c>
      <x:c r="I669" s="37" t="str">
        <x:v>Mendel doğru oranları gördü; bilim dünyasının onları okuyacak dili oluşana kadar fikir otuz yıl bekledi.</x:v>
      </x:c>
      <x:c r="J669" s="37" t="str">
        <x:v>Gregor Mendel manastır bahçesinde bezelyelerin renk ve biçim özelliklerini kuşaklar boyunca saydı. Kalıtımın özellikleri karışan bir sıvı gibi değil, ayrık birimler halinde aktardığını gösteren oranlar buldu. 1866’da yayımladığı çalışma geniş ilgi görmedi; biyoloji henüz kromozom ve gen için ortak bir dil kurmamıştı. 1900 dolaylarında başka araştırmacılar benzer örüntülere ulaşınca çalışması yeniden keşfedildi.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##Mendel doğru oranları gördü; bilim dünyasının onları okuyacak dili oluşana kadar fikir otuz yıl bekledi.##
$$Bir bulgunun doğru olması hemen anlaşılmasını garanti etmez; zamanlama, ortak dil ve yeniden üretilebilir yöntem de gerekir.$$
&amp;&amp;Bugün önemsiz görünen hangi düzenli veri, gelecekte yeni bir teoriye dönüşebilir?&amp;&amp;</x:v>
      </x:c>
      <x:c r="K669" s="37" t="str">
        <x:v>Bugün önemsiz görünen hangi düzenli veri, gelecekte yeni bir teoriye dönüşebilir?</x:v>
      </x:c>
      <x:c r="L669" s="37" t="str">
        <x:v>Mendel doğru oranları gördü; bilim dünyasının onları okuyacak dili oluşana kadar fikir otuz yıl bekledi.</x:v>
      </x:c>
      <x:c r="M669" s="37" t="str">
        <x:v>Gregor Mendel manastır bahçesinde bezelyelerin renk ve biçim özelliklerini kuşaklar boyunca saydı. Kalıtımın özellikleri karışan bir sıvı gibi değil, ayrık birimler halinde aktardığını gösteren oranlar buldu. 1866’da yayımladığı çalışma geniş ilgi görmedi; biyoloji henüz kromozom ve gen için ortak bir dil kurmamıştı. 1900 dolaylarında başka araştırmacılar benzer örüntülere ulaşınca çalışması yeniden keşfedildi. Bu olay sonucu tek bir kişilik özelliğiyle açıklamanın neden yetersiz kaldığını gösterir.</x:v>
      </x:c>
      <x:c r="N669" s="37" t="str">
        <x:v>Bugün önemsiz görünen hangi düzenli veri, gelecekte yeni bir teoriye dönüşebilir?</x:v>
      </x:c>
      <x:c r="O669" s="37" t="str">
        <x:v>Doğru bulgu ve doğru zaman</x:v>
      </x:c>
    </x:row>
    <x:row r="670" ht="20" customHeight="1">
      <x:c r="A670" s="33" t="n">
        <x:v>1727</x:v>
      </x:c>
      <x:c r="B670" s="34" t="str">
        <x:v>2</x:v>
      </x:c>
      <x:c r="C670" s="34" t="str">
        <x:v>Finans</x:v>
      </x:c>
      <x:c r="D670" s="34" t="str">
        <x:v>İş &amp; Girişim</x:v>
      </x:c>
      <x:c r="E670" s="34" t="str">
        <x:v>Noise</x:v>
      </x:c>
      <x:c r="F670" s="34" t="str">
        <x:v>Daniel Kahneman, Olivier Sibony ve Cass R. Sunstein</x:v>
      </x:c>
      <x:c r="G670" s="34" t="str">
        <x:v>2021</x:v>
      </x:c>
      <x:c r="H670" s="37" t="str">
        <x:v>Aynı Dosyaya Bakan Uzmanlar Neden Farklı Fiyat Söyledi?</x:v>
      </x:c>
      <x:c r="I670" s="37" t="str">
        <x:v>Aynı dosya, aynı kurum ve farklı uzmanlar: görünmez gürültü kararları beklenenden çok daha fazla değiştirdi.</x:v>
      </x:c>
      <x:c r="J670" s="37" t="str">
        <x:v>Bir sigorta şirketinde deneyimli eksperlere aynı örnek dosyalar verildiğinde prim tahminleri beklenenden çok daha geniş aralığa dağıldı. Her uzman kendi kararını makul buluyor, fakat kurum aynı müşteriye kimin baktığına göre farklı sonuç üretiyordu. Kahneman ve arkadaşları bu görünmez değişkenliği yanlılıktan ayırarak “gürültü” diye adlandırdı.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##Aynı dosya, aynı kurum ve farklı uzmanlar: görünmez gürültü kararları beklenenden çok daha fazla değiştirdi.##
$$Adil karar yalnızca ortalama olarak doğru olmak değil, ilgisiz koşullar değiştiğinde benzer sonuca ulaşmaktır.$$
&amp;&amp;İşinde aynı vakaya iki kişinin vereceği karar ne kadar farklı olurdu?&amp;&amp;</x:v>
      </x:c>
      <x:c r="K670" s="37" t="str">
        <x:v>İşinde aynı vakaya iki kişinin vereceği karar ne kadar farklı olurdu?</x:v>
      </x:c>
      <x:c r="L670" s="37" t="str">
        <x:v>Aynı dosya, aynı kurum ve farklı uzmanlar: görünmez gürültü kararları beklenenden çok daha fazla değiştirdi.</x:v>
      </x:c>
      <x:c r="M670" s="37" t="str">
        <x:v>Bir sigorta şirketinde deneyimli eksperlere aynı örnek dosyalar verildiğinde prim tahminleri beklenenden çok daha geniş aralığa dağıldı. Her uzman kendi kararını makul buluyor, fakat kurum aynı müşteriye kimin baktığına göre farklı sonuç üretiyordu. Kahneman ve arkadaşları bu görünmez değişkenliği yanlılıktan ayırarak “gürültü” diye adlandırdı. Bu olay sonucu tek bir kişilik özelliğiyle açıklamanın neden yetersiz kaldığını gösterir.</x:v>
      </x:c>
      <x:c r="N670" s="37" t="str">
        <x:v>İşinde aynı vakaya iki kişinin vereceği karar ne kadar farklı olurdu?</x:v>
      </x:c>
      <x:c r="O670" s="37" t="str">
        <x:v>Yanlılık ve gürültü</x:v>
      </x:c>
    </x:row>
    <x:row r="671" ht="20" customHeight="1">
      <x:c r="A671" s="33" t="n">
        <x:v>1728</x:v>
      </x:c>
      <x:c r="B671" s="34" t="str">
        <x:v>2</x:v>
      </x:c>
      <x:c r="C671" s="34" t="str">
        <x:v>Büyüme</x:v>
      </x:c>
      <x:c r="D671" s="34" t="str">
        <x:v>Motivasyon</x:v>
      </x:c>
      <x:c r="E671" s="34" t="str">
        <x:v>Can't Hurt Me</x:v>
      </x:c>
      <x:c r="F671" s="34" t="str">
        <x:v>David Goggins</x:v>
      </x:c>
      <x:c r="G671" s="34" t="str">
        <x:v>2018</x:v>
      </x:c>
      <x:c r="H671" s="37" t="str">
        <x:v>David Goggins Aynadaki Adamla Neden Konuştu?</x:v>
      </x:c>
      <x:c r="I671" s="37" t="str">
        <x:v>Goggins aynada kim olmak istediğini değil, ertesi gün hangi işi yapacağını yazmaya başladı.</x:v>
      </x:c>
      <x:c r="J671" s="37" t="str">
        <x:v>David Goggins haşere ilaçlama işinde çalışıyor, yaklaşık 135 kilo ağırlığında ve askerlik hayalinden uzakta yaşıyordu. Bir gece aynaya bakıp mazeretlerini yüksek sesle saydı; ertesi gün sonucu değil, yapacağı somut işi aynaya yazdı. “Hesap verebilirlik aynası” kusursuz motivasyon üretmedi, fakat kaçışı görünür bir günlük sözleşmeye çevirdi.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##Goggins aynada kim olmak istediğini değil, ertesi gün hangi işi yapacağını yazmaya başladı.##
$$Sert öz eleştiri tek başına değişim değildir; ancak ölçülebilir bir sonraki davranışla birleştiğinde işe yarar.$$
&amp;&amp;Aynana bugün yalnızca tek bir uygulanabilir söz yazsan ne olurdu?&amp;&amp;</x:v>
      </x:c>
      <x:c r="K671" s="37" t="str">
        <x:v>Aynana bugün yalnızca tek bir uygulanabilir söz yazsan ne olurdu?</x:v>
      </x:c>
      <x:c r="L671" s="37" t="str">
        <x:v>Goggins aynada kim olmak istediğini değil, ertesi gün hangi işi yapacağını yazmaya başladı.</x:v>
      </x:c>
      <x:c r="M671" s="37" t="str">
        <x:v>David Goggins haşere ilaçlama işinde çalışıyor, yaklaşık 135 kilo ağırlığında ve askerlik hayalinden uzakta yaşıyordu. Bir gece aynaya bakıp mazeretlerini yüksek sesle saydı; ertesi gün sonucu değil, yapacağı somut işi aynaya yazdı. “Hesap verebilirlik aynası” kusursuz motivasyon üretmedi, fakat kaçışı görünür bir günlük sözleşmeye çevirdi. Bu olay sonucu tek bir kişilik özelliğiyle açıklamanın neden yetersiz kaldığını gösterir.</x:v>
      </x:c>
      <x:c r="N671" s="37" t="str">
        <x:v>Aynana bugün yalnızca tek bir uygulanabilir söz yazsan ne olurdu?</x:v>
      </x:c>
      <x:c r="O671" s="37" t="str">
        <x:v>Mazeret ve eylem</x:v>
      </x:c>
    </x:row>
    <x:row r="672" ht="20" customHeight="1">
      <x:c r="A672" s="33" t="n">
        <x:v>1729</x:v>
      </x:c>
      <x:c r="B672" s="34" t="str">
        <x:v>2</x:v>
      </x:c>
      <x:c r="C672" s="34" t="str">
        <x:v>Psikoloji</x:v>
      </x:c>
      <x:c r="D672" s="34" t="str">
        <x:v>Psikoloji</x:v>
      </x:c>
      <x:c r="E672" s="34" t="str">
        <x:v>An Immense World</x:v>
      </x:c>
      <x:c r="F672" s="34" t="str">
        <x:v>Ed Yong</x:v>
      </x:c>
      <x:c r="G672" s="34" t="str">
        <x:v>2022</x:v>
      </x:c>
      <x:c r="H672" s="37" t="str">
        <x:v>Filler Ayaklarıyla Kilometrelerce Öteyi Nasıl Dinliyor?</x:v>
      </x:c>
      <x:c r="I672" s="37" t="str">
        <x:v>Biz sessizlik duyarken fil ayaklarıyla uzaktaki sürünün zeminde taşıdığı mesajı dinliyor olabilir.</x:v>
      </x:c>
      <x:c r="J672" s="37" t="str">
        <x:v>Filler yalnızca kulaklarıyla duymaz; ayaklarındaki ve hortumlarındaki hassas yapılar zeminden geçen düşük frekanslı titreşimleri algılayabilir. Bir sürünün çağrısı havadan duyulamayacak kadar uzakta olsa bile toprak üzerinden başka fillere ulaşabilir. Hayvan durup ağırlığını öne verdiğinde bizim sessizlik sandığımız ortam onun için sosyal bilgiyle doludur. Ed Yong bu farklı algı balonuna Umwelt adını verir.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##Biz sessizlik duyarken fil ayaklarıyla uzaktaki sürünün zeminde taşıdığı mesajı dinliyor olabilir.##
$$Bir canlının algılamadığı şey onun için yok gibi görünür; fakat gerçeklik tek bir türün duyularından çok daha geniştir.$$
&amp;&amp;İnsanların algılayamadığı hangi sinyal günlük dünyamızın anlamını bütünüyle değiştirebilir?&amp;&amp;</x:v>
      </x:c>
      <x:c r="K672" s="37" t="str">
        <x:v>İnsanların algılayamadığı hangi sinyal günlük dünyamızın anlamını bütünüyle değiştirebilir?</x:v>
      </x:c>
      <x:c r="L672" s="37" t="str">
        <x:v>Biz sessizlik duyarken fil ayaklarıyla uzaktaki sürünün zeminde taşıdığı mesajı dinliyor olabilir.</x:v>
      </x:c>
      <x:c r="M672" s="37" t="str">
        <x:v>Filler yalnızca kulaklarıyla duymaz; ayaklarındaki ve hortumlarındaki hassas yapılar zeminden geçen düşük frekanslı titreşimleri algılayabilir. Bir sürünün çağrısı havadan duyulamayacak kadar uzakta olsa bile toprak üzerinden başka fillere ulaşabilir. Hayvan durup ağırlığını öne verdiğinde bizim sessizlik sandığımız ortam onun için sosyal bilgiyle doludur. Ed Yong bu farklı algı balonuna Umwelt adını verir. Bu olay sonucu tek bir kişilik özelliğiyle açıklamanın neden yetersiz kaldığını gösterir.</x:v>
      </x:c>
      <x:c r="N672" s="37" t="str">
        <x:v>İnsanların algılayamadığı hangi sinyal günlük dünyamızın anlamını bütünüyle değiştirebilir?</x:v>
      </x:c>
      <x:c r="O672" s="37" t="str">
        <x:v>Sessizlik ve sinyal</x:v>
      </x:c>
    </x:row>
    <x:row r="673" ht="20" customHeight="1">
      <x:c r="A673" s="33" t="n">
        <x:v>1730</x:v>
      </x:c>
      <x:c r="B673" s="34" t="str">
        <x:v>2</x:v>
      </x:c>
      <x:c r="C673" s="34" t="str">
        <x:v>Verimlilik</x:v>
      </x:c>
      <x:c r="D673" s="34" t="str">
        <x:v>Verimlilik</x:v>
      </x:c>
      <x:c r="E673" s="34" t="str">
        <x:v>The 4-Hour Workweek</x:v>
      </x:c>
      <x:c r="F673" s="34" t="str">
        <x:v>Tim Ferriss</x:v>
      </x:c>
      <x:c r="G673" s="34" t="str">
        <x:v>2007</x:v>
      </x:c>
      <x:c r="H673" s="37" t="str">
        <x:v>Tim Ferriss Şirketinden Uzaklaşınca Neden İşler Düzelmeye Başladı?</x:v>
      </x:c>
      <x:c r="I673" s="37" t="str">
        <x:v>Ferriss şirketten uzaklaşınca kontrol kaybetmedi; hangi işlerin henüz sistem olmadığını gördü.</x:v>
      </x:c>
      <x:c r="J673" s="37" t="str">
        <x:v>Tim Ferriss kendi kurduğu takviye şirketinde her karara yetişmeye çalışıyor ve uzun saatleri verimlilik sanıyordu. Uzak bir seyahate çıkmayı deneyerek e-postayı sınırladı, rutin kararlar için kurallar yazdı ve bazı yetkileri devretti. Başlangıçta kontrol kaybı gibi görünen küçük uzaklaşma, tekrarlanan işleri görünür kıldı; şirketin sahibine bağımlılığı azaldı ve Ferriss zaman tasarımı fikrini geliştirdi.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##Ferriss şirketten uzaklaşınca kontrol kaybetmedi; hangi işlerin henüz sistem olmadığını gördü.##
$$Bir sistem yalnızca kurucusu sürekli müdahale ettiğinde çalışıyorsa iş değil, kırılgan bir bağımlılık üretiyor olabilir.$$
&amp;&amp;Bir hafta ortadan kaybolsan işinde ilk hangi süreç dururdu?&amp;&amp;</x:v>
      </x:c>
      <x:c r="K673" s="37" t="str">
        <x:v>Bir hafta ortadan kaybolsan işinde ilk hangi süreç dururdu?</x:v>
      </x:c>
      <x:c r="L673" s="37" t="str">
        <x:v>Ferriss şirketten uzaklaşınca kontrol kaybetmedi; hangi işlerin henüz sistem olmadığını gördü.</x:v>
      </x:c>
      <x:c r="M673" s="37" t="str">
        <x:v>Tim Ferriss kendi kurduğu takviye şirketinde her karara yetişmeye çalışıyor ve uzun saatleri verimlilik sanıyordu. Uzak bir seyahate çıkmayı deneyerek e-postayı sınırladı, rutin kararlar için kurallar yazdı ve bazı yetkileri devretti. Başlangıçta kontrol kaybı gibi görünen küçük uzaklaşma, tekrarlanan işleri görünür kıldı; şirketin sahibine bağımlılığı azaldı ve Ferriss zaman tasarımı fikrini geliştirdi. Bu olay sonucu tek bir kişilik özelliğiyle açıklamanın neden yetersiz kaldığını gösterir.</x:v>
      </x:c>
      <x:c r="N673" s="37" t="str">
        <x:v>Bir hafta ortadan kaybolsan işinde ilk hangi süreç dururdu?</x:v>
      </x:c>
      <x:c r="O673" s="37" t="str">
        <x:v>Meşguliyet ve sistem</x:v>
      </x:c>
    </x:row>
    <x:row r="674" ht="20" customHeight="1">
      <x:c r="A674" s="33" t="n">
        <x:v>1731</x:v>
      </x:c>
      <x:c r="B674" s="34" t="str">
        <x:v>2</x:v>
      </x:c>
      <x:c r="C674" s="34" t="str">
        <x:v>Psikoloji</x:v>
      </x:c>
      <x:c r="D674" s="34" t="str">
        <x:v>Mutluluk</x:v>
      </x:c>
      <x:c r="E674" s="34" t="str">
        <x:v>The Devil in the White City</x:v>
      </x:c>
      <x:c r="F674" s="34" t="str">
        <x:v>Erik Larson</x:v>
      </x:c>
      <x:c r="G674" s="34" t="str">
        <x:v>2003</x:v>
      </x:c>
      <x:c r="H674" s="37" t="str">
        <x:v>George Ferris Paris’in Kulesine Nasıl Cevap Verdi?</x:v>
      </x:c>
      <x:c r="I674" s="37" t="str">
        <x:v>Ferris’in tekerleği önce mühendislik çılgınlığı sayıldı, sonra Chicago Fuarı’nın Eiffel’e verdiği cevap oldu.</x:v>
      </x:c>
      <x:c r="J674" s="37" t="str">
        <x:v>1893 Chicago Dünya Fuarı’nın yöneticileri, Paris’teki Eiffel Kulesi kadar çarpıcı ama kopya olmayan bir yapı arıyordu. Genç mühendis George Ferris, dev bir çelik tekerlek içinde yolcu kabinleri döndürmeyi önerdi. İnşaatçılar zeminin ve aksın yükü taşıyamayacağını düşündü; finansman reddedildi. Ferris kendi yatırımcılarını buldu, donmuş zeminde temel kurdu ve yapı fuarın simgesine dönüştü.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##Ferris’in tekerleği önce mühendislik çılgınlığı sayıldı, sonra Chicago Fuarı’nın Eiffel’e verdiği cevap oldu.##
$$Tarihe müdahale bazen güçlü bir makamdan değil, kimsenin güvenmediği hesabı tekrar tekrar kanıtlayan sıradan bir uzmandan gelir.$$
&amp;&amp;Uzmanların imkânsız dediği bir fikri sürdürmek için hangi kanıtı göstermen gerekirdi?&amp;&amp;</x:v>
      </x:c>
      <x:c r="K674" s="37" t="str">
        <x:v>Uzmanların imkânsız dediği bir fikri sürdürmek için hangi kanıtı göstermen gerekirdi?</x:v>
      </x:c>
      <x:c r="L674" s="37" t="str">
        <x:v>Ferris’in tekerleği önce mühendislik çılgınlığı sayıldı, sonra Chicago Fuarı’nın Eiffel’e verdiği cevap oldu.</x:v>
      </x:c>
      <x:c r="M674" s="37" t="str">
        <x:v>1893 Chicago Dünya Fuarı’nın yöneticileri, Paris’teki Eiffel Kulesi kadar çarpıcı ama kopya olmayan bir yapı arıyordu. Genç mühendis George Ferris, dev bir çelik tekerlek içinde yolcu kabinleri döndürmeyi önerdi. İnşaatçılar zeminin ve aksın yükü taşıyamayacağını düşündü; finansman reddedildi. Ferris kendi yatırımcılarını buldu, donmuş zeminde temel kurdu ve yapı fuarın simgesine dönüştü. Bu olay sonucu tek bir kişilik özelliğiyle açıklamanın neden yetersiz kaldığını gösterir.</x:v>
      </x:c>
      <x:c r="N674" s="37" t="str">
        <x:v>Uzmanların imkânsız dediği bir fikri sürdürmek için hangi kanıtı göstermen gerekirdi?</x:v>
      </x:c>
      <x:c r="O674" s="37" t="str">
        <x:v>Şüphe ve kanıt</x:v>
      </x:c>
    </x:row>
    <x:row r="675" ht="20" customHeight="1">
      <x:c r="A675" s="33" t="n">
        <x:v>1732</x:v>
      </x:c>
      <x:c r="B675" s="34" t="str">
        <x:v>2</x:v>
      </x:c>
      <x:c r="C675" s="34" t="str">
        <x:v>Felsefe</x:v>
      </x:c>
      <x:c r="D675" s="34" t="str">
        <x:v>Öğrenme</x:v>
      </x:c>
      <x:c r="E675" s="34" t="str">
        <x:v>Black Box Thinking</x:v>
      </x:c>
      <x:c r="F675" s="34" t="str">
        <x:v>Matthew Syed</x:v>
      </x:c>
      <x:c r="G675" s="34" t="str">
        <x:v>2015</x:v>
      </x:c>
      <x:c r="H675" s="37" t="str">
        <x:v>Kokpitte Kaptana İtiraz Etmek Neden Bir Güvenlik Kuralına Dönüştü?</x:v>
      </x:c>
      <x:c r="I675" s="37" t="str">
        <x:v>Kokpitte küçük dil değişikliği büyük sonuç yarattı: itiraz etmek saygısızlık değil güvenlik görevi oldu.</x:v>
      </x:c>
      <x:c r="J675" s="37" t="str">
        <x:v>United Airlines 173 seferinde ekip iniş takımı sorununa odaklanırken yakıt azalıyordu. Astlar kaygılarını dolaylı ifadelerle söyledi; kaptanın dikkatini yeterince güçlü biçimde değiştiremediler ve uçak yakıtsız kaldı. Havacılık bu tür kazalardan sonra kokpit kaynak yönetimini geliştirdi: rütbesi düşük ekip üyesinin açıkça itiraz etmesi bir saygısızlık değil, görev olarak öğretildi.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Bu olay sonucu tek bir kişilik özelliğiyle açıklamanın neden yetersiz kaldığını gösterir.
O sırada karar verenler bugünkü sonucu bilmiyor ve sınırlı bilgiyle hareket ediyordu.
Küçük görünen tercih, çevresindeki sistem tarafından büyütülerek kalıcı sonuçlar doğurdu.
Bu örnek mekanik bir reçete değil, kendi koşulları içinde sınanması gereken bir düşünme aracıdır.
Tek bir vaka her yerde aynı sonucu kanıtlamaz; karşı örnekler ve bağlam farkları önemlidir.
Yine de dikkat sonuçtan sürece, kişiden sisteme ve niyetten gözlenebilir davranışa kayar.
Günlük hayatta doğru davranışı kolaylaştırmak ve zararlı olanın sürtünmesini artırmak benzer bir etki yaratabilir.
Asıl ders kahramanı taklit etmek değil, kararın çözdüğü problemi ve göze aldığı bedeli anlamaktır.
Sonradan kaçınılmaz görünen sonuç, o anda yarışan birçok ihtimalden yalnızca biriydi.
Hikâye geçmişi yargılamaktan çok bir sonraki karar öncesinde daha iyi soru sormaya yarar.
Büyük değişim çoğu zaman tek dramatik hamleden değil, aynı yönde biriken küçük düzeltmelerden doğar.
Görünüş ile gerçeklik, hız ile doğruluk ve kontrol ile güven arasındaki gerilim hikâyeyi sohbete taşır.
Bir fikrin nerede işlemediğini bilmek, nerede çalıştığını bilmek kadar önemlidir.
Sonuçtan bağımsız olarak süreçten gelen geri bildirim bir sonraki denemeyi iyileştirir.
İyi karar kesinlik gerektirmez; belirsizliği görünür kılar ve geri dönüş yolunu mümkün olduğunca açık tutar.
##Kokpitte küçük dil değişikliği büyük sonuç yarattı: itiraz etmek saygısızlık değil güvenlik görevi oldu.##
$$Güvenli ekip yalnızca hata yapmayan değil, zayıf sinyali hiyerarşiyi aşacak kadar açık iletebilen ekiptir.$$
&amp;&amp;Ekibinde daha kıdemli birine tehlikeyi hangi cümleyle doğrudan söylersin?&amp;&amp;</x:v>
      </x:c>
      <x:c r="K675" s="37" t="str">
        <x:v>Ekibinde daha kıdemli birine tehlikeyi hangi cümleyle doğrudan söylersin?</x:v>
      </x:c>
      <x:c r="L675" s="37" t="str">
        <x:v>Kokpitte küçük dil değişikliği büyük sonuç yarattı: itiraz etmek saygısızlık değil güvenlik görevi oldu.</x:v>
      </x:c>
      <x:c r="M675" s="37" t="str">
        <x:v>United Airlines 173 seferinde ekip iniş takımı sorununa odaklanırken yakıt azalıyordu. Astlar kaygılarını dolaylı ifadelerle söyledi; kaptanın dikkatini yeterince güçlü biçimde değiştiremediler ve uçak yakıtsız kaldı. Havacılık bu tür kazalardan sonra kokpit kaynak yönetimini geliştirdi: rütbesi düşük ekip üyesinin açıkça itiraz etmesi bir saygısızlık değil, görev olarak öğretildi. Bu olay sonucu tek bir kişilik özelliğiyle açıklamanın neden yetersiz kaldığını gösterir.</x:v>
      </x:c>
      <x:c r="N675" s="37" t="str">
        <x:v>Ekibinde daha kıdemli birine tehlikeyi hangi cümleyle doğrudan söylersin?</x:v>
      </x:c>
      <x:c r="O675" s="37" t="str">
        <x:v>Hiyerarşi ve güvenlik</x:v>
      </x:c>
    </x:row>
    <x:row r="676" ht="20" customHeight="1">
      <x:c r="A676" s="33" t="n">
        <x:v>1733</x:v>
      </x:c>
      <x:c r="B676" s="34" t="str">
        <x:v>2</x:v>
      </x:c>
      <x:c r="C676" s="34" t="str">
        <x:v>Büyüme</x:v>
      </x:c>
      <x:c r="D676" s="34" t="str">
        <x:v>Motivasyon</x:v>
      </x:c>
      <x:c r="E676" s="34" t="str">
        <x:v>The Success Principles</x:v>
      </x:c>
      <x:c r="F676" s="34" t="str">
        <x:v>Jack Canfield</x:v>
      </x:c>
      <x:c r="G676" s="34" t="str">
        <x:v>2004</x:v>
      </x:c>
      <x:c r="H676" s="37" t="str">
        <x:v>Beş Küçük Rica Chicken Soup’u Nasıl Fenomene Dönüştürdü?</x:v>
      </x:c>
      <x:c r="I676" s="37" t="str">
        <x:v>Büyük fırsat bazen tek kapıdan değil, her gün çalınan küçük kapıların toplamından gelir.</x:v>
      </x:c>
      <x:c r="J676" s="37" t="str">
        <x:v>Jack Canfield ve Mark Victor Hansen, Chicken Soup for the Soul için yayınevi ararken art arda reddedildi. Büyük bir kapı açılmayınca her gün beş küçük tanıtım adımı atma kuralına sarıldılar: bir editöre yazmak, bir konuşmada kitaptan söz etmek, bir gazeteciye ulaşmak, bir okura örnek göndermek. Tek başına önemsiz görünen bu ritim zamanla görünürlük, güven ve talep biriktirdi.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##Büyük fırsat bazen tek kapıdan değil, her gün çalınan küçük kapıların toplamından gelir.##
$$Başarıyı beklemek yerine her gün ölçülebilir küçük temaslar üretmek zincirleme etki yaratabilir.$$
&amp;&amp;Bugün büyük hedefin için atabileceğin beş küçük rica ne olurdu?&amp;&amp;</x:v>
      </x:c>
      <x:c r="K676" s="37" t="str">
        <x:v>Bugün büyük hedefin için atabileceğin beş küçük rica ne olurdu?</x:v>
      </x:c>
      <x:c r="L676" s="37" t="str">
        <x:v>Büyük fırsat bazen tek kapıdan değil, her gün çalınan küçük kapıların toplamından gelir.</x:v>
      </x:c>
      <x:c r="M676" s="37" t="str">
        <x:v>Jack Canfield ve Mark Victor Hansen, Chicken Soup for the Soul için yayınevi ararken art arda reddedildi. Büyük bir kapı açılmayınca her gün beş küçük tanıtım adımı atma kuralına sarıldılar: bir editöre yazmak, bir konuşmada kitaptan söz etmek, bir gazeteciye ulaşmak, bir okura örnek göndermek. Tek başına önemsiz görünen bu ritim zamanla görünürlük, güven ve talep biriktirdi.</x:v>
      </x:c>
      <x:c r="N676" s="37" t="str">
        <x:v>Bugün büyük hedefin için atabileceğin beş küçük rica ne olurdu?</x:v>
      </x:c>
      <x:c r="O676" s="37" t="str">
        <x:v>Beklemek ve temas kurmak</x:v>
      </x:c>
    </x:row>
    <x:row r="677" ht="20" customHeight="1">
      <x:c r="A677" s="33" t="n">
        <x:v>1734</x:v>
      </x:c>
      <x:c r="B677" s="34" t="str">
        <x:v>2</x:v>
      </x:c>
      <x:c r="C677" s="34" t="str">
        <x:v>Finans</x:v>
      </x:c>
      <x:c r="D677" s="34" t="str">
        <x:v>İş &amp; Girişim</x:v>
      </x:c>
      <x:c r="E677" s="34" t="str">
        <x:v>The Undoing Project</x:v>
      </x:c>
      <x:c r="F677" s="34" t="str">
        <x:v>Michael Lewis</x:v>
      </x:c>
      <x:c r="G677" s="34" t="str">
        <x:v>2016</x:v>
      </x:c>
      <x:c r="H677" s="37" t="str">
        <x:v>Uçağı Beş Dakika Kaçırmak Neden Otuz Dakikadan Daha Çok Acıtır?</x:v>
      </x:c>
      <x:c r="I677" s="37" t="str">
        <x:v>Acıyı büyüten bazen gerçek kayıp değil, zihnin kolayca kurduğu yakın alternatif dünyadır.</x:v>
      </x:c>
      <x:c r="J677" s="37" t="str">
        <x:v>Daniel Kahneman ve Amos Tversky, insanların yalnızca olanı değil, olabilecek olanı da zihninde canlandırdığını gösterdi. Uçağı otuz dakika kaçıran kişi üzülür; beş dakika kaçıran kişi ise neredeyse yetişmiş bir alternatif hikâyeyi tekrar tekrar yaşar. Michael Lewis bu ortaklığın, kararlarımızı sadece veriyle değil, zihnin kurduğu karşı-gerçek hikâyelerle de şekillendirdiğini anlatır.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##Acıyı büyüten bazen gerçek kayıp değil, zihnin kolayca kurduğu yakın alternatif dünyadır.##
$$Zihin geçmişi fotoğraf gibi saklamaz; ona “az kalsın” diye başlayan yeni sahneler ekler.$$
&amp;&amp;En son hangi olayda gerçeğe değil de “ya şöyle olsaydı” hikâyesine takıldın?&amp;&amp;</x:v>
      </x:c>
      <x:c r="K677" s="37" t="str">
        <x:v>En son hangi olayda gerçeğe değil de “ya şöyle olsaydı” hikâyesine takıldın?</x:v>
      </x:c>
      <x:c r="L677" s="37" t="str">
        <x:v>Acıyı büyüten bazen gerçek kayıp değil, zihnin kolayca kurduğu yakın alternatif dünyadır.</x:v>
      </x:c>
      <x:c r="M677" s="37" t="str">
        <x:v>Daniel Kahneman ve Amos Tversky, insanların yalnızca olanı değil, olabilecek olanı da zihninde canlandırdığını gösterdi. Uçağı otuz dakika kaçıran kişi üzülür; beş dakika kaçıran kişi ise neredeyse yetişmiş bir alternatif hikâyeyi tekrar tekrar yaşar. Michael Lewis bu ortaklığın, kararlarımızı sadece veriyle değil, zihnin kurduğu karşı-gerçek hikâyelerle de şekillendirdiğini anlatır. Bu ayrıntı hikâyeyi yalnızca ilginç bir anekdot olmaktan çıkarır; kararın arkasındaki sistemi, baskıyı ve görünmeyen maliyeti de gösterir.</x:v>
      </x:c>
      <x:c r="N677" s="37" t="str">
        <x:v>En son hangi olayda gerçeğe değil de “ya şöyle olsaydı” hikâyesine takıldın?</x:v>
      </x:c>
      <x:c r="O677" s="37" t="str">
        <x:v>Olan ve olabilecek olan</x:v>
      </x:c>
    </x:row>
    <x:row r="678" ht="20" customHeight="1">
      <x:c r="A678" s="33" t="n">
        <x:v>1735</x:v>
      </x:c>
      <x:c r="B678" s="34" t="str">
        <x:v>2</x:v>
      </x:c>
      <x:c r="C678" s="34" t="str">
        <x:v>Liderlik</x:v>
      </x:c>
      <x:c r="D678" s="34" t="str">
        <x:v>Liderlik</x:v>
      </x:c>
      <x:c r="E678" s="34" t="str">
        <x:v>The Five Dysfunctions of a Team</x:v>
      </x:c>
      <x:c r="F678" s="34" t="str">
        <x:v>Patrick Lencioni</x:v>
      </x:c>
      <x:c r="G678" s="34" t="str">
        <x:v>2002</x:v>
      </x:c>
      <x:c r="H678" s="37" t="str">
        <x:v>Lencioni Neden Takım Sorununu Strateji Değil Güven Diye Okudu?</x:v>
      </x:c>
      <x:c r="I678" s="37" t="str">
        <x:v>Takımı kilitleyen şey bazen yanlış plan değil, doğru gerilimi konuşamayan güven eksikliğidir.</x:v>
      </x:c>
      <x:c r="J678" s="37" t="str">
        <x:v>Patrick Lencioni yöneticilerle çalışırken benzer bir tabloyla karşılaştı: zeki insanlar aynı odadaydı, planlar mantıklıydı, fakat ekip ilerlemiyordu. Sorun çoğu zaman strateji eksikliği değil, insanların hata, zayıflık ve itirazlarını saklamasıydı. Bu gözlem onu bir iş kitabını roman gibi yazmaya götürdü; çünkü ekip sorunları tabloda değil, toplantıdaki suskunlukta görünüyordu.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##Takımı kilitleyen şey bazen yanlış plan değil, doğru gerilimi konuşamayan güven eksikliğidir.##
$$Ekip performansı yalnızca yetenek toplamı değildir; insanların risk alarak konuşabildiği zemine bağlıdır.$$
&amp;&amp;Senin ekibinde herkesin bildiği ama kimsenin masaya koymadığı konu ne?&amp;&amp;</x:v>
      </x:c>
      <x:c r="K678" s="37" t="str">
        <x:v>Senin ekibinde herkesin bildiği ama kimsenin masaya koymadığı konu ne?</x:v>
      </x:c>
      <x:c r="L678" s="37" t="str">
        <x:v>Takımı kilitleyen şey bazen yanlış plan değil, doğru gerilimi konuşamayan güven eksikliğidir.</x:v>
      </x:c>
      <x:c r="M678" s="37" t="str">
        <x:v>Patrick Lencioni yöneticilerle çalışırken benzer bir tabloyla karşılaştı: zeki insanlar aynı odadaydı, planlar mantıklıydı, fakat ekip ilerlemiyordu. Sorun çoğu zaman strateji eksikliği değil, insanların hata, zayıflık ve itirazlarını saklamasıydı. Bu gözlem onu bir iş kitabını roman gibi yazmaya götürdü; çünkü ekip sorunları tabloda değil, toplantıdaki suskunlukta görünüyordu. Bu ayrıntı hikâyeyi yalnızca ilginç bir anekdot olmaktan çıkarır; kararın arkasındaki sistemi, baskıyı ve görünmeyen maliyeti de gösterir.</x:v>
      </x:c>
      <x:c r="N678" s="37" t="str">
        <x:v>Senin ekibinde herkesin bildiği ama kimsenin masaya koymadığı konu ne?</x:v>
      </x:c>
      <x:c r="O678" s="37" t="str">
        <x:v>Strateji ve güven</x:v>
      </x:c>
    </x:row>
    <x:row r="679" ht="20" customHeight="1">
      <x:c r="A679" s="33" t="n">
        <x:v>1736</x:v>
      </x:c>
      <x:c r="B679" s="34" t="str">
        <x:v>2</x:v>
      </x:c>
      <x:c r="C679" s="34" t="str">
        <x:v>Liderlik</x:v>
      </x:c>
      <x:c r="D679" s="34" t="str">
        <x:v>Yönetim</x:v>
      </x:c>
      <x:c r="E679" s="34" t="str">
        <x:v>The Fearless Organization</x:v>
      </x:c>
      <x:c r="F679" s="34" t="str">
        <x:v>Amy Edmondson</x:v>
      </x:c>
      <x:c r="G679" s="34" t="str">
        <x:v>2018</x:v>
      </x:c>
      <x:c r="H679" s="37" t="str">
        <x:v>En İyi Ekipler Neden Daha Çok Hata Bildiriyordu?</x:v>
      </x:c>
      <x:c r="I679" s="37" t="str">
        <x:v>Bazen iyi ekip daha az hata yapan değil, hatayı saklamadan erken görünür kılan ekiptir.</x:v>
      </x:c>
      <x:c r="J679" s="37" t="str">
        <x:v>Amy Edmondson hastane ekiplerini incelerken ilk bakışta tuhaf bir sonuç gördü: daha iyi görünen ekipler daha çok hata bildiriyordu. Bu, onların daha kötü çalıştığı anlamına gelmiyordu; insanlar küçük hataları saklamadan söyleyebildiği için kayıtlar artıyordu. Başarısızlık gibi görünen veri, aslında öğrenme kapasitesinin işaretiydi. Psikolojik güvenlik fikri bu kırılmadan güç aldı.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##Bazen iyi ekip daha az hata yapan değil, hatayı saklamadan erken görünür kılan ekiptir.##
$$Hata sayısına bakmadan önce insanların hatayı söylemeye ne kadar güvendiğini sormak gerekir.$$
&amp;&amp;Çalıştığın yerde hata bildirmek cesaret mi, normal bir iş davranışı mı sayılıyor?&amp;&amp;</x:v>
      </x:c>
      <x:c r="K679" s="37" t="str">
        <x:v>Çalıştığın yerde hata bildirmek cesaret mi, normal bir iş davranışı mı sayılıyor?</x:v>
      </x:c>
      <x:c r="L679" s="37" t="str">
        <x:v>Bazen iyi ekip daha az hata yapan değil, hatayı saklamadan erken görünür kılan ekiptir.</x:v>
      </x:c>
      <x:c r="M679" s="37" t="str">
        <x:v>Amy Edmondson hastane ekiplerini incelerken ilk bakışta tuhaf bir sonuç gördü: daha iyi görünen ekipler daha çok hata bildiriyordu. Bu, onların daha kötü çalıştığı anlamına gelmiyordu; insanlar küçük hataları saklamadan söyleyebildiği için kayıtlar artıyordu. Başarısızlık gibi görünen veri, aslında öğrenme kapasitesinin işaretiydi. Psikolojik güvenlik fikri bu kırılmadan güç aldı. Bu ayrıntı hikâyeyi yalnızca ilginç bir anekdot olmaktan çıkarır; kararın arkasındaki sistemi, baskıyı ve görünmeyen maliyeti de gösterir.</x:v>
      </x:c>
      <x:c r="N679" s="37" t="str">
        <x:v>Çalıştığın yerde hata bildirmek cesaret mi, normal bir iş davranışı mı sayılıyor?</x:v>
      </x:c>
      <x:c r="O679" s="37" t="str">
        <x:v>Hata ve öğrenme</x:v>
      </x:c>
    </x:row>
    <x:row r="680" ht="20" customHeight="1">
      <x:c r="A680" s="33" t="n">
        <x:v>1737</x:v>
      </x:c>
      <x:c r="B680" s="34" t="str">
        <x:v>2</x:v>
      </x:c>
      <x:c r="C680" s="34" t="str">
        <x:v>Felsefe</x:v>
      </x:c>
      <x:c r="D680" s="34" t="str">
        <x:v>Yaşam</x:v>
      </x:c>
      <x:c r="E680" s="34" t="str">
        <x:v>The Life-Changing Magic of Tidying Up</x:v>
      </x:c>
      <x:c r="F680" s="34" t="str">
        <x:v>Marie Kondo</x:v>
      </x:c>
      <x:c r="G680" s="34" t="str">
        <x:v>2011</x:v>
      </x:c>
      <x:c r="H680" s="37" t="str">
        <x:v>Marie Kondo Neden “Bu Bana Neşe Veriyor mu?” Diye Sordu?</x:v>
      </x:c>
      <x:c r="I680" s="37" t="str">
        <x:v>Bazen iyi soru, sorunu çözmekten önce sorunla kurduğun ilişkiyi değiştirir.</x:v>
      </x:c>
      <x:c r="J680" s="37" t="str">
        <x:v>Marie Kondo çocukluğundan beri düzenleme yöntemlerini denediğini, fakat uzun süre soruyu yanlış yerden sorduğunu anlatır. “Neyi atmalıyım?” sorusu eşyayla bir savaş başlatıyordu. “Bu bana neşe veriyor mu?” sorusu ise dikkatini eksiklikten ilişkiye çevirdi. Böylece düzenlemek, daha az şeye sahip olma yarışından, neyi yanında taşımak istediğini seçme pratiğine dönüştü.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##Bazen iyi soru, sorunu çözmekten önce sorunla kurduğun ilişkiyi değiştirir.##
$$Atılacak şeyi aramak yerine kalacak şeyi bilinçli seçmek davranışın duygusunu değiştirir.$$
&amp;&amp;Hayatındaki hangi yükü “neden tutuyorum?” diye değil, “yanımda kalmalı mı?” diye sorarak ele alabilirsin?&amp;&amp;</x:v>
      </x:c>
      <x:c r="K680" s="37" t="str">
        <x:v>Hayatındaki hangi yükü “neden tutuyorum?” diye değil, “yanımda kalmalı mı?” diye sorarak ele alabilirsin?</x:v>
      </x:c>
      <x:c r="L680" s="37" t="str">
        <x:v>Bazen iyi soru, sorunu çözmekten önce sorunla kurduğun ilişkiyi değiştirir.</x:v>
      </x:c>
      <x:c r="M680" s="37" t="str">
        <x:v>Marie Kondo çocukluğundan beri düzenleme yöntemlerini denediğini, fakat uzun süre soruyu yanlış yerden sorduğunu anlatır. “Neyi atmalıyım?” sorusu eşyayla bir savaş başlatıyordu. “Bu bana neşe veriyor mu?” sorusu ise dikkatini eksiklikten ilişkiye çevirdi. Böylece düzenlemek, daha az şeye sahip olma yarışından, neyi yanında taşımak istediğini seçme pratiğine dönüştü. Bu ayrıntı hikâyeyi yalnızca ilginç bir anekdot olmaktan çıkarır; kararın arkasındaki sistemi, baskıyı ve görünmeyen maliyeti de gösterir.</x:v>
      </x:c>
      <x:c r="N680" s="37" t="str">
        <x:v>Hayatındaki hangi yükü “neden tutuyorum?” diye değil, “yanımda kalmalı mı?” diye sorarak ele alabilirsin?</x:v>
      </x:c>
      <x:c r="O680" s="37" t="str">
        <x:v>Atmak ve seçmek</x:v>
      </x:c>
    </x:row>
    <x:row r="681" ht="20" customHeight="1">
      <x:c r="A681" s="33" t="n">
        <x:v>1738</x:v>
      </x:c>
      <x:c r="B681" s="34" t="str">
        <x:v>2</x:v>
      </x:c>
      <x:c r="C681" s="34" t="str">
        <x:v>Finans</x:v>
      </x:c>
      <x:c r="D681" s="34" t="str">
        <x:v>İş &amp; Girişim</x:v>
      </x:c>
      <x:c r="E681" s="34" t="str">
        <x:v>The Righteous Mind</x:v>
      </x:c>
      <x:c r="F681" s="34" t="str">
        <x:v>Jonathan Haidt</x:v>
      </x:c>
      <x:c r="G681" s="34" t="str">
        <x:v>2012</x:v>
      </x:c>
      <x:c r="H681" s="37" t="str">
        <x:v>Kirli Bir Masa Ahlaki Yargıyı Neden Sertleştirdi?</x:v>
      </x:c>
      <x:c r="I681" s="37" t="str">
        <x:v>Ahlaki kesinlik bazen temiz bir akıl yürütmeden değil, bedenden yükselen sezgiden beslenir.</x:v>
      </x:c>
      <x:c r="J681" s="37" t="str">
        <x:v>Jonathan Haidt ahlaki sezgilerin çoğu zaman akıl yürütmeden önce geldiğini savunur. Tiksintiyle ilgili deneyler bunu görünür kılar: kötü koku, yapışkan masa ya da bedensel rahatsızlık hissi insanların bazı davranışları daha sert yargılamasına yol açabilir. Kişi kararını mantıkla açıkladığını sanır; oysa beden çoktan oy kullanmıştır.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##Ahlaki kesinlik bazen temiz bir akıl yürütmeden değil, bedenden yükselen sezgiden beslenir.##
$$Aklımız kararın sözcüsü olabilir; ama ilk itişi bazen beden verir.$$
&amp;&amp;Sert bir yargının arkasında gerçekten ilke mi vardı, yoksa o anki ruh halin mi?&amp;&amp;</x:v>
      </x:c>
      <x:c r="K681" s="37" t="str">
        <x:v>Sert bir yargının arkasında gerçekten ilke mi vardı, yoksa o anki ruh halin mi?</x:v>
      </x:c>
      <x:c r="L681" s="37" t="str">
        <x:v>Ahlaki kesinlik bazen temiz bir akıl yürütmeden değil, bedenden yükselen sezgiden beslenir.</x:v>
      </x:c>
      <x:c r="M681" s="37" t="str">
        <x:v>Jonathan Haidt ahlaki sezgilerin çoğu zaman akıl yürütmeden önce geldiğini savunur. Tiksintiyle ilgili deneyler bunu görünür kılar: kötü koku, yapışkan masa ya da bedensel rahatsızlık hissi insanların bazı davranışları daha sert yargılamasına yol açabilir. Kişi kararını mantıkla açıkladığını sanır; oysa beden çoktan oy kullanmıştır. Bu ayrıntı hikâyeyi yalnızca ilginç bir anekdot olmaktan çıkarır; kararın arkasındaki sistemi, baskıyı ve görünmeyen maliyeti de gösterir.</x:v>
      </x:c>
      <x:c r="N681" s="37" t="str">
        <x:v>Sert bir yargının arkasında gerçekten ilke mi vardı, yoksa o anki ruh halin mi?</x:v>
      </x:c>
      <x:c r="O681" s="37" t="str">
        <x:v>Akıl ve sezgi</x:v>
      </x:c>
    </x:row>
    <x:row r="682" ht="20" customHeight="1">
      <x:c r="A682" s="33" t="n">
        <x:v>1739</x:v>
      </x:c>
      <x:c r="B682" s="34" t="str">
        <x:v>2</x:v>
      </x:c>
      <x:c r="C682" s="34" t="str">
        <x:v>Finans</x:v>
      </x:c>
      <x:c r="D682" s="34" t="str">
        <x:v>Pazarlama</x:v>
      </x:c>
      <x:c r="E682" s="34" t="str">
        <x:v>Purple Cow</x:v>
      </x:c>
      <x:c r="F682" s="34" t="str">
        <x:v>Seth Godin</x:v>
      </x:c>
      <x:c r="G682" s="34" t="str">
        <x:v>2003</x:v>
      </x:c>
      <x:c r="H682" s="37" t="str">
        <x:v>Seth Godin Neden Mor Bir İnek Aradı?</x:v>
      </x:c>
      <x:c r="I682" s="37" t="str">
        <x:v>Sıradan olanı daha yüksek sesle duyurmak, onu dikkat çekici yapmaz.</x:v>
      </x:c>
      <x:c r="J682" s="37" t="str">
        <x:v>Seth Godin Fransa kırsalında ineklere bakarken ilk birkaçının ilginç, sonrakilerin ise görünmez olduğunu anlatır. Pazarlama için de aynı şey geçerliydi: insanlar artık daha fazla reklama değil, fark etmeye değer bir şeye tepki veriyordu. Sorusu basitti ama rahatsız ediciydi: Ürün kendi başına anlatılmaya değmiyorsa, onu parlatmak için harcanan bütçe neyi çözer?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##Sıradan olanı daha yüksek sesle duyurmak, onu dikkat çekici yapmaz.##
$$Gerçek pazarlama çoğu zaman mesajdan önce ürünün konuşulmaya değer hale gelmesiyle başlar.$$
&amp;&amp;Yaptığın işte mor ineği ürünün içinde mi, sunumun üstünde mü arıyorsun?&amp;&amp;</x:v>
      </x:c>
      <x:c r="K682" s="37" t="str">
        <x:v>Yaptığın işte mor ineği ürünün içinde mi, sunumun üstünde mü arıyorsun?</x:v>
      </x:c>
      <x:c r="L682" s="37" t="str">
        <x:v>Sıradan olanı daha yüksek sesle duyurmak, onu dikkat çekici yapmaz.</x:v>
      </x:c>
      <x:c r="M682" s="37" t="str">
        <x:v>Seth Godin Fransa kırsalında ineklere bakarken ilk birkaçının ilginç, sonrakilerin ise görünmez olduğunu anlatır. Pazarlama için de aynı şey geçerliydi: insanlar artık daha fazla reklama değil, fark etmeye değer bir şeye tepki veriyordu. Sorusu basitti ama rahatsız ediciydi: Ürün kendi başına anlatılmaya değmiyorsa, onu parlatmak için harcanan bütçe neyi çözer? Bu ayrıntı hikâyeyi yalnızca ilginç bir anekdot olmaktan çıkarır; kararın arkasındaki sistemi, baskıyı ve görünmeyen maliyeti de gösterir.</x:v>
      </x:c>
      <x:c r="N682" s="37" t="str">
        <x:v>Yaptığın işte mor ineği ürünün içinde mi, sunumun üstünde mü arıyorsun?</x:v>
      </x:c>
      <x:c r="O682" s="37" t="str">
        <x:v>Gürültü ve fark</x:v>
      </x:c>
    </x:row>
    <x:row r="683" ht="20" customHeight="1">
      <x:c r="A683" s="33" t="n">
        <x:v>1740</x:v>
      </x:c>
      <x:c r="B683" s="34" t="str">
        <x:v>2</x:v>
      </x:c>
      <x:c r="C683" s="34" t="str">
        <x:v>Finans</x:v>
      </x:c>
      <x:c r="D683" s="34" t="str">
        <x:v>Pazarlama</x:v>
      </x:c>
      <x:c r="E683" s="34" t="str">
        <x:v>Pour Your Heart Into It</x:v>
      </x:c>
      <x:c r="F683" s="34" t="str">
        <x:v>Howard Schultz ve Dori Jones Yang</x:v>
      </x:c>
      <x:c r="G683" s="34" t="str">
        <x:v>1997</x:v>
      </x:c>
      <x:c r="H683" s="37" t="str">
        <x:v>İtalya’daki Espresso Barı Starbucks Toplantısını Nasıl Değiştirdi?</x:v>
      </x:c>
      <x:c r="I683" s="37" t="str">
        <x:v>Bir şirketin kültürü bazen raporda değil, müşterinin içeride nasıl hissettiğini tarif eden tek sahnede belirir.</x:v>
      </x:c>
      <x:c r="J683" s="37" t="str">
        <x:v>Howard Schultz Milano’da espresso barlarının yalnızca kahve satmadığını, insanların ayakta sohbet ettiği üçüncü bir mekân yarattığını gördü. Seattle’a döndüğünde bu gözlem bir toplantı konusu olmaktan çıktı; mağazanın kokusunu, baristanın davranışını, masaların yerini ve şirketin dilini etkileyen kültürel bir pusulaya dönüştü. Kahve üründü, ama anlatılmak istenen deneyimdi.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##Bir şirketin kültürü bazen raporda değil, müşterinin içeride nasıl hissettiğini tarif eden tek sahnede belirir.##
$$Toplantıyı değiştiren şey daha fazla veri değil, herkesin ortak hayal edebildiği canlı bir deneyim olabilir.$$
&amp;&amp;Senin işinde herkesin aynı anda gözünde canlandırabileceği “üçüncü mekân” sahnesi ne?&amp;&amp;</x:v>
      </x:c>
      <x:c r="K683" s="37" t="str">
        <x:v>Senin işinde herkesin aynı anda gözünde canlandırabileceği “üçüncü mekân” sahnesi ne?</x:v>
      </x:c>
      <x:c r="L683" s="37" t="str">
        <x:v>Bir şirketin kültürü bazen raporda değil, müşterinin içeride nasıl hissettiğini tarif eden tek sahnede belirir.</x:v>
      </x:c>
      <x:c r="M683" s="37" t="str">
        <x:v>Howard Schultz Milano’da espresso barlarının yalnızca kahve satmadığını, insanların ayakta sohbet ettiği üçüncü bir mekân yarattığını gördü. Seattle’a döndüğünde bu gözlem bir toplantı konusu olmaktan çıktı; mağazanın kokusunu, baristanın davranışını, masaların yerini ve şirketin dilini etkileyen kültürel bir pusulaya dönüştü. Kahve üründü, ama anlatılmak istenen deneyimdi. Bu ayrıntı hikâyeyi yalnızca ilginç bir anekdot olmaktan çıkarır; kararın arkasındaki sistemi, baskıyı ve görünmeyen maliyeti de gösterir.</x:v>
      </x:c>
      <x:c r="N683" s="37" t="str">
        <x:v>Senin işinde herkesin aynı anda gözünde canlandırabileceği “üçüncü mekân” sahnesi ne?</x:v>
      </x:c>
      <x:c r="O683" s="37" t="str">
        <x:v>Ürün ve deneyim</x:v>
      </x:c>
    </x:row>
    <x:row r="684" ht="20" customHeight="1">
      <x:c r="A684" s="33" t="n">
        <x:v>1741</x:v>
      </x:c>
      <x:c r="B684" s="34" t="str">
        <x:v>2</x:v>
      </x:c>
      <x:c r="C684" s="34" t="str">
        <x:v>Felsefe</x:v>
      </x:c>
      <x:c r="D684" s="34" t="str">
        <x:v>Felsefe</x:v>
      </x:c>
      <x:c r="E684" s="34" t="str">
        <x:v>Stillness Is the Key</x:v>
      </x:c>
      <x:c r="F684" s="34" t="str">
        <x:v>Ryan Holiday</x:v>
      </x:c>
      <x:c r="G684" s="34" t="str">
        <x:v>2019</x:v>
      </x:c>
      <x:c r="H684" s="37" t="str">
        <x:v>Ryan Holiday Neden Sakinliği Bir Performans Gücü Saydı?</x:v>
      </x:c>
      <x:c r="I684" s="37" t="str">
        <x:v>Sakinlik hiçbir şey yapmamak değil, yanlış anda yanlış tepki verme dürtüsünü yönetebilmektir.</x:v>
      </x:c>
      <x:c r="J684" s="37" t="str">
        <x:v>Ryan Holiday stoacı metinleri, sporcuları, liderleri ve kriz anlarını incelerken aynı kalıbı gördü: en kritik anda en faydalı kişi çoğu zaman en gürültülü olan değil, içindeki paniği yönetebilen kişiydi. Sakinlik pasiflik değildi; düşünceyi berraklaştıran, tepkiyi geciktiren ve doğru hareket için alan açan aktif bir beceriydi.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##Sakinlik hiçbir şey yapmamak değil, yanlış anda yanlış tepki verme dürtüsünü yönetebilmektir.##
$$Hız baskısı arttığında en değerli beceri bazen daha hızlı koşmak değil, önce zihni durdurmaktır.$$
&amp;&amp;Son kararında gerçekten düşündün mü, yoksa sadece gürültüye cevap mı verdin?&amp;&amp;</x:v>
      </x:c>
      <x:c r="K684" s="37" t="str">
        <x:v>Son kararında gerçekten düşündün mü, yoksa sadece gürültüye cevap mı verdin?</x:v>
      </x:c>
      <x:c r="L684" s="37" t="str">
        <x:v>Sakinlik hiçbir şey yapmamak değil, yanlış anda yanlış tepki verme dürtüsünü yönetebilmektir.</x:v>
      </x:c>
      <x:c r="M684" s="37" t="str">
        <x:v>Ryan Holiday stoacı metinleri, sporcuları, liderleri ve kriz anlarını incelerken aynı kalıbı gördü: en kritik anda en faydalı kişi çoğu zaman en gürültülü olan değil, içindeki paniği yönetebilen kişiydi. Sakinlik pasiflik değildi; düşünceyi berraklaştıran, tepkiyi geciktiren ve doğru hareket için alan açan aktif bir beceriydi. Bu ayrıntı hikâyeyi yalnızca ilginç bir anekdot olmaktan çıkarır; kararın arkasındaki sistemi, baskıyı ve görünmeyen maliyeti de gösterir.</x:v>
      </x:c>
      <x:c r="N684" s="37" t="str">
        <x:v>Son kararında gerçekten düşündün mü, yoksa sadece gürültüye cevap mı verdin?</x:v>
      </x:c>
      <x:c r="O684" s="37" t="str">
        <x:v>Hız ve berraklık</x:v>
      </x:c>
    </x:row>
    <x:row r="685" ht="20" customHeight="1">
      <x:c r="A685" s="33" t="n">
        <x:v>1742</x:v>
      </x:c>
      <x:c r="B685" s="34" t="str">
        <x:v>2</x:v>
      </x:c>
      <x:c r="C685" s="34" t="str">
        <x:v>Psikoloji</x:v>
      </x:c>
      <x:c r="D685" s="34" t="str">
        <x:v>Mutluluk</x:v>
      </x:c>
      <x:c r="E685" s="34" t="str">
        <x:v>The Good Life</x:v>
      </x:c>
      <x:c r="F685" s="34" t="str">
        <x:v>Robert Waldinger</x:v>
      </x:c>
      <x:c r="G685" s="34" t="str">
        <x:v>2023</x:v>
      </x:c>
      <x:c r="H685" s="37" t="str">
        <x:v>Bir Telefon Görüşmesi Neden Mutluluk Araştırmasına Dönüştü?</x:v>
      </x:c>
      <x:c r="I685" s="37" t="str">
        <x:v>İyi hayat çoğu zaman büyük zaferden çok düzenli beslenen yakın bağların toplamıdır.</x:v>
      </x:c>
      <x:c r="J685" s="37" t="str">
        <x:v>Harvard Yetişkin Gelişimi Araştırması onlarca yıl boyunca insanların işini, sağlığını, evliliğini ve yalnızlığını izledi. Robert Waldinger’ın anlattığı güçlü ders basitti: iyi hayatı belirleyen şey yalnızca başarı ya da gelir değil, ilişkilerin kalitesiydi. Bu yüzden küçük bir karar, eski bir arkadaşı aramak veya zor bir konuşmayı ertelememek, uzun vadeli sağlık ve mutluluk zincirini etkileyebilir.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Günlük hayatta benzer durumlarda sonucu değiştiren şey çoğu zaman daha fazla motivasyon değil, doğru davranışı kolaylaştıran küçük bir düzenlemedir.
Bu yüzden hikâye kahramanı taklit etmeye değil, aynı gerilimi kendi işimizde, ilişkilerimizde veya kararlarımızda fark etmeye davet eder.
Bir fikir gerçekten işe yarıyorsa, yalnızca büyük sahnelerde değil, sıradan bir toplantıda, bir konuşmada veya ertelenen bir seçimde de iz bırakır.
Sohbette güçlü olmasının nedeni de burada: herkes kendi hayatında küçük görünen ama yön değiştiren benzer bir an hatırlayabilir.
Sonuç tek başına ders değildir; dersi çıkaran şey, o sonuca giderken hangi varsayımın sorgulandığını ve hangi alışkanlığın değiştiğini görmektir.
Bir başka önemli nokta, olayın kişisel iradeyi küçümsememesi ama iradenin tek başına yeterli olmadığını hatırlatmasıdır.
İyi tasarlanmış bir çevre, doğru davranışı kahramanlık gerektiren bir istisna olmaktan çıkarıp daha sıradan ve tekrarlanabilir hale getirir.
Bu bakış açısı konuşmayı suçlama dilinden çıkarır; “kim yaptı?” sorusunun yanına “hangi koşul bunu kolaylaştırdı?” sorusunu ekler.
Küçük kararın büyümesi ise genellikle hemen görünmez, çünkü etkisi önce ilişkilerde, beklentilerde ve tekrar eden mikro davranışlarda birikir.
Hikâyeyi değerli yapan da mucize vaat etmesi değil, sıradan bir tercihin iyi bir sisteme bağlandığında nasıl ağırlık kazandığını göstermesidir.
Bu noktada dinleyici kendi hayatına kolayca geçer: hangi konu için hâlâ büyük ilham bekliyor, hangi konu için küçük ama düzenli bir mekanizma kurabilir?
Cevap çoğu zaman romantik değildir; takvimde bir alan, net bir eşik, açık bir cümle veya birinden istenen küçük bir destek olabilir.
Böyle anlatıldığında mesele başarı hikâyesi olmaktan çıkar, karar tasarımı ve davranış mimarisi üzerine paylaşılabilir bir sohbete dönüşür.
Bu ayrıntı hikâyeyi yalnızca ilginç bir anekdot olmaktan çıkarır; kararın arkasındaki sistemi, baskıyı ve görünmeyen maliyeti de gösterir.
O anda kimse sonucun nasıl biteceğini bilmiyordu, bu yüzden asıl değer sonradan parlayan başarıda değil, belirsizlik içindeki küçük tercihte saklıdır.
##İyi hayat çoğu zaman büyük zaferden çok düzenli beslenen yakın bağların toplamıdır.##
$$Küçük bir ilişki yatırımı, yıllar sonra sağlık ve anlam üzerinde beklenmedik iz bırakabilir.$$
&amp;&amp;Bugün aramadığın ama arasan hayatının yönünü az da olsa değiştirebilecek kişi kim?&amp;&amp;</x:v>
      </x:c>
      <x:c r="K685" s="37" t="str">
        <x:v>Bugün aramadığın ama arasan hayatının yönünü az da olsa değiştirebilecek kişi kim?</x:v>
      </x:c>
      <x:c r="L685" s="37" t="str">
        <x:v>İyi hayat çoğu zaman büyük zaferden çok düzenli beslenen yakın bağların toplamıdır.</x:v>
      </x:c>
      <x:c r="M685" s="37" t="str">
        <x:v>Harvard Yetişkin Gelişimi Araştırması onlarca yıl boyunca insanların işini, sağlığını, evliliğini ve yalnızlığını izledi. Robert Waldinger’ın anlattığı güçlü ders basitti: iyi hayatı belirleyen şey yalnızca başarı ya da gelir değil, ilişkilerin kalitesiydi. Bu yüzden küçük bir karar, eski bir arkadaşı aramak veya zor bir konuşmayı ertelememek, uzun vadeli sağlık ve mutluluk zincirini etkileyebilir. Bu ayrıntı hikâyeyi yalnızca ilginç bir anekdot olmaktan çıkarır; kararın arkasındaki sistemi, baskıyı ve görünmeyen maliyeti de gösterir.</x:v>
      </x:c>
      <x:c r="N685" s="37" t="str">
        <x:v>Bugün aramadığın ama arasan hayatının yönünü az da olsa değiştirebilecek kişi kim?</x:v>
      </x:c>
      <x:c r="O685" s="37" t="str">
        <x:v>Başarı ve bağ</x:v>
      </x:c>
    </x:row>
    <x:row r="686" ht="20" customHeight="1">
      <x:c r="A686" s="33" t="n">
        <x:v>1743</x:v>
      </x:c>
      <x:c r="B686" s="34" t="str">
        <x:v>2</x:v>
      </x:c>
      <x:c r="C686" s="34" t="str">
        <x:v>Tarih</x:v>
      </x:c>
      <x:c r="D686" s="34" t="str">
        <x:v>Tarih</x:v>
      </x:c>
      <x:c r="E686" s="34" t="str">
        <x:v>Guns, Germs, and Steel</x:v>
      </x:c>
      <x:c r="F686" s="34" t="str">
        <x:v>Jared Diamond</x:v>
      </x:c>
      <x:c r="G686" s="34" t="str">
        <x:v>1997</x:v>
      </x:c>
      <x:c r="H686" s="37" t="str">
        <x:v>168 Kişi Bir İmparatorluğu Nasıl Esir Aldı?</x:v>
      </x:c>
      <x:c r="I686" s="37" t="str">
        <x:v>Cajamarca'da kazanan cesaret değil, iki kıtanın binlerce yıllık farklı başlangıç koşullarıydı.</x:v>
      </x:c>
      <x:c r="J686" s="37" t="str">
        <x:v>1532'de Francisco Pizarro, yanında yalnızca 168 adamla Peru'nun Cajamarca kentinde on binlerce savaşçının ortasındaki İnka imparatoru Atahualpa'nın karşısına çıktı. Çatışma başladığında atlar, çelik kılıçlar ve ateşli silahlar İnka ordusunda panik yarattı; Atahualpa aynı gün esir düştü ve koca imparatorluk hızla çözülmeye başladı. Jared Diamond bu sahneyi kişisel üstünlükle değil coğrafyayla açıkladı: Avrasya'nın evcilleştirilebilir hayvanları, doğu-batı ekseni ve yoğun toplumları; teknolojiyi, yazıyı ve salgın hastalıklara karşı bağışıklığı binlerce yıl boyunca biriktirmişti. Bu hikâyenin gücü, kahramanlık anlatısından değil, kararın alındığı koşulları görünür kılmasından gelir. ##Kıtaların farklı kaderlerini büyük ölçüde başlangıç koşulları belirlemişti; Amerika kıtasındaki toplumları asıl çökerten de silahlardan önce Avrupa'dan taşınan mikroplar oldu.## $$Bir başarıyı ya da başarısızlığı yargılamadan önce, tarafların hangi başlangıç koşullarıyla oyuna girdiğini sormak gerekir.$$ &amp;&amp;Bugün sahip olduğun avantajların ne kadarı senin eserin, ne kadarı başlangıç koşulların?&amp;&amp;</x:v>
      </x:c>
      <x:c r="K686" s="37" t="str">
        <x:v>Bugün sahip olduğun avantajların ne kadarı senin eserin, ne kadarı başlangıç koşulların?</x:v>
      </x:c>
      <x:c r="L686" s="37" t="str">
        <x:v>Cajamarca'da kazanan cesaret değil, iki kıtanın binlerce yıllık farklı başlangıç koşullarıydı.</x:v>
      </x:c>
      <x:c r="M686" s="37" t="str">
        <x:v>1532'de Francisco Pizarro, yanında yalnızca 168 adamla Peru'nun Cajamarca kentinde on binlerce savaşçının ortasındaki İnka imparatoru Atahualpa'nın karşısına çıktı. Çatışma başladığında atlar, çelik kılıçlar ve ateşli silahlar İnka ordusunda panik yarattı; Atahualpa aynı gün esir düştü ve koca imparatorluk hızla çözülmeye başladı. Kıtaların farklı kaderlerini büyük ölçüde başlangıç koşulları belirlemişti; Amerika kıtasındaki toplumları asıl çökerten de silahlardan önce Avrupa'dan taşınan mikroplar oldu.</x:v>
      </x:c>
      <x:c r="N686" s="37" t="str">
        <x:v>Bugün sahip olduğun avantajların ne kadarı senin eserin, ne kadarı başlangıç koşulların?</x:v>
      </x:c>
      <x:c r="O686" s="37" t="str">
        <x:v>Yetenek değil, başlangıç koşulları</x:v>
      </x:c>
    </x:row>
    <x:row r="687" ht="20" customHeight="1">
      <x:c r="A687" s="33" t="n">
        <x:v>1744</x:v>
      </x:c>
      <x:c r="B687" s="34" t="str">
        <x:v>2</x:v>
      </x:c>
      <x:c r="C687" s="34" t="str">
        <x:v>Tarih</x:v>
      </x:c>
      <x:c r="D687" s="34" t="str">
        <x:v>Tarih</x:v>
      </x:c>
      <x:c r="E687" s="34" t="str">
        <x:v>Collapse</x:v>
      </x:c>
      <x:c r="F687" s="34" t="str">
        <x:v>Jared Diamond</x:v>
      </x:c>
      <x:c r="G687" s="34" t="str">
        <x:v>2005</x:v>
      </x:c>
      <x:c r="H687" s="37" t="str">
        <x:v>Küçük Bir Ada Çöküşten Nasıl Kaçtı?</x:v>
      </x:c>
      <x:c r="I687" s="37" t="str">
        <x:v>Tikopialılar en değerli hayvanları olan domuzları öldürmeyi seçti; ada bu sayede imparatorluklardan uzun yaşadı.</x:v>
      </x:c>
      <x:c r="J687" s="37" t="str">
        <x:v>Jared Diamond, Collapse'ta toplumların kendi elleriyle hazırladığı çöküşleri incelerken iki Pasifik adasını karşılaştırdı: ormanlarını tüketen Paskalya Adası ve yüzyıllarca ayakta kalan minicik Tikopia. Paskalya'da dev heykeller dikmek ve taşımak için ağaçlar kesildikçe toprak aşındı, kano yapılamaz oldu ve besin kaynakları ormanla birlikte tükendi; ada toplumu daralan kaynaklarla çözüldü. Tikopia'da ise yaklaşık beş kilometrekarelik adada yaşayanlar çok daha zor kararlar aldı: bahçeleri tahrip eden domuzların tamamını öldürdüler, nüfuslarını bilinçli olarak sınırladılar ve adanın neredeyse tamamını bakımlı bir bahçeye çevirdiler. Bu hikâyenin gücü, kahramanlık anlatısından değil, kararın alındığı koşulları görünür kılmasından gelir. ##Aynı okyanusun ortasında bir toplum kaynaklarını sonuna kadar tüketti, diğeri kısa vadeli rahatlıktan vazgeçerek adasını binlerce yıl boyunca yaşattı.## $$Toplulukları çökerten çoğu zaman felaketin kendisi değil, değerli görüneni zamanında bırakamamaktır.$$ &amp;&amp;Uzun vadede seni tüketen ama bırakmaya kıyamadığın alışkanlık ya da yatırım hangisi?&amp;&amp;</x:v>
      </x:c>
      <x:c r="K687" s="37" t="str">
        <x:v>Uzun vadede seni tüketen ama bırakmaya kıyamadığın alışkanlık ya da yatırım hangisi?</x:v>
      </x:c>
      <x:c r="L687" s="37" t="str">
        <x:v>Tikopialılar en değerli hayvanları olan domuzları öldürmeyi seçti; ada bu sayede imparatorluklardan uzun yaşadı.</x:v>
      </x:c>
      <x:c r="M687" s="37" t="str">
        <x:v>Jared Diamond, Collapse'ta toplumların kendi elleriyle hazırladığı çöküşleri incelerken iki Pasifik adasını karşılaştırdı: ormanlarını tüketen Paskalya Adası ve yüzyıllarca ayakta kalan minicik Tikopia. Paskalya'da dev heykeller dikmek ve taşımak için ağaçlar kesildikçe toprak aşındı, kano yapılamaz oldu ve besin kaynakları ormanla birlikte tükendi; ada toplumu daralan kaynaklarla çözüldü. Aynı okyanusun ortasında bir toplum kaynaklarını sonuna kadar tüketti, diğeri kısa vadeli rahatlıktan vazgeçerek adasını binlerce yıl boyunca yaşattı.</x:v>
      </x:c>
      <x:c r="N687" s="37" t="str">
        <x:v>Uzun vadede seni tüketen ama bırakmaya kıyamadığın alışkanlık ya da yatırım hangisi?</x:v>
      </x:c>
      <x:c r="O687" s="37" t="str">
        <x:v>Kısa vadeli konfor, uzun vadeli hayat</x:v>
      </x:c>
    </x:row>
    <x:row r="688" ht="20" customHeight="1">
      <x:c r="A688" s="33" t="n">
        <x:v>1745</x:v>
      </x:c>
      <x:c r="B688" s="34" t="str">
        <x:v>2</x:v>
      </x:c>
      <x:c r="C688" s="34" t="str">
        <x:v>Tarih</x:v>
      </x:c>
      <x:c r="D688" s="34" t="str">
        <x:v>Tarih</x:v>
      </x:c>
      <x:c r="E688" s="34" t="str">
        <x:v>The Silk Roads</x:v>
      </x:c>
      <x:c r="F688" s="34" t="str">
        <x:v>Peter Frankopan</x:v>
      </x:c>
      <x:c r="G688" s="34" t="str">
        <x:v>2015</x:v>
      </x:c>
      <x:c r="H688" s="37" t="str">
        <x:v>Kağıdı Batıya Taşıyan Savaş</x:v>
      </x:c>
      <x:c r="I688" s="37" t="str">
        <x:v>Talas'ta kazanılan savaş unutuldu; esir ustaların taşıdığı kağıt, dünyanın bilgi düzenini değiştirdi.</x:v>
      </x:c>
      <x:c r="J688" s="37" t="str">
        <x:v>751 yılında bugünkü Kırgızistan sınırındaki Talas Nehri yakınında Abbasi ordusu ile Çin'in Tang hanedanı, Orta Asya ticaret yollarının denetimi için karşı karşıya geldi. Peter Frankopan'ın anlattığı bu çarpışmayı Abbasiler kazandı; esirler arasında kağıt yapımının sıkı korunan sırrını bilen Çinli ustalar da vardı ve bu bilgi kısa sürede Semerkant'ta üretime dönüştü. Kağıt, parşömenden çok daha ucuzdu. Semerkant'tan Bağdat'a uzanan atölyeler halifeliğin kütüphanelerini, çeviri hareketini ve bürokrasisini besledi; bilgi artık az sayıda seçkinin lüksü değil, geniş bir kesimin çalışma aracı haline geliyordu. ##Frankopan'a göre dünyanın ağırlık merkezi yüzyıllar boyunca bu doğu yollarındaydı; tek bir savaşın yan etkisi, kıtaların bilgiyi kaydetme ve paylaşma düzenini değiştirdi.## $$Tarihte en kalıcı sonuçlar çoğu zaman zaferin kendisinden değil, onunla birlikte taşınan bilgiden doğar.$$ &amp;&amp;Bulunduğun ortama dışarıdan gelen hangi bilgi ya da beceri, herkesin oyununu değiştirebilir?&amp;&amp;</x:v>
      </x:c>
      <x:c r="K688" s="37" t="str">
        <x:v>Bulunduğun ortama dışarıdan gelen hangi bilgi ya da beceri, herkesin oyununu değiştirebilir?</x:v>
      </x:c>
      <x:c r="L688" s="37" t="str">
        <x:v>Talas'ta kazanılan savaş unutuldu; esir ustaların taşıdığı kağıt, dünyanın bilgi düzenini değiştirdi.</x:v>
      </x:c>
      <x:c r="M688" s="37" t="str">
        <x:v>751 yılında bugünkü Kırgızistan sınırındaki Talas Nehri yakınında Abbasi ordusu ile Çin'in Tang hanedanı, Orta Asya ticaret yollarının denetimi için karşı karşıya geldi. Peter Frankopan'ın anlattığı bu çarpışmayı Abbasiler kazandı; esirler arasında kağıt yapımının sıkı korunan sırrını bilen Çinli ustalar da vardı ve bu bilgi kısa sürede Semerkant'ta üretime dönüştü. Frankopan'a göre dünyanın ağırlık merkezi yüzyıllar boyunca bu doğu yollarındaydı; tek bir savaşın yan etkisi, kıtaların bilgiyi kaydetme ve paylaşma düzenini değiştirdi.</x:v>
      </x:c>
      <x:c r="N688" s="37" t="str">
        <x:v>Bulunduğun ortama dışarıdan gelen hangi bilgi ya da beceri, herkesin oyununu değiştirebilir?</x:v>
      </x:c>
      <x:c r="O688" s="37" t="str">
        <x:v>Zafer değil, taşınan bilgi</x:v>
      </x:c>
    </x:row>
    <x:row r="689" ht="20" customHeight="1">
      <x:c r="A689" s="33" t="n">
        <x:v>1746</x:v>
      </x:c>
      <x:c r="B689" s="34" t="str">
        <x:v>2</x:v>
      </x:c>
      <x:c r="C689" s="34" t="str">
        <x:v>Tarih</x:v>
      </x:c>
      <x:c r="D689" s="34" t="str">
        <x:v>Tarih</x:v>
      </x:c>
      <x:c r="E689" s="34" t="str">
        <x:v>SPQR</x:v>
      </x:c>
      <x:c r="F689" s="34" t="str">
        <x:v>Mary Beard</x:v>
      </x:c>
      <x:c r="G689" s="34" t="str">
        <x:v>2015</x:v>
      </x:c>
      <x:c r="H689" s="37" t="str">
        <x:v>Roma'yı Büyüten Sıra Dışı Karar</x:v>
      </x:c>
      <x:c r="I689" s="37" t="str">
        <x:v>Roma, düşmanlarını yok ederek değil, onları Romalıya dönüştürerek büyüdü.</x:v>
      </x:c>
      <x:c r="J689" s="37" t="str">
        <x:v>Mary Beard, SPQR'da Roma'nın gücünü savaş makinesinden çok, antik dünyada eşi görülmemiş bir uygulamayla açıklar: Roma, yendiği halkları ve azat ettiği köleleri vatandaşlığa alıyordu. Yunan kentleri üyeliklerini kıskançlıkla korurken Roma, eski kölelerin çocuklarına bile yurttaşlık verdi; fethedilen eyaletlerin seçkinleri senatoya kadar yükselebildi ve imparator Claudius bu politikayı senatoda açıkça savundu. MS 212'de İmparator Caracalla, imparatorluktaki bütün özgür erkeklere tek bir fermanla vatandaşlık tanıdı; İspanya'dan Suriye'ye milyonlarca insan bir gecede Romalı oldu ve Roma hukukunun kapsamına girdi. Bu hikâyenin gücü, kahramanlık anlatısından değil, kararın alındığı koşulları görünür kılmasından gelir. ##Beard'a göre Roma'yı bin yıl ayakta tutan şey, dışarıdan geleni sistemin gerçek ortağı yapabilme kapasitesiydi; kapanan değil, genişleyen kimlik kazandı.## $$Bir topluluğu büyüten şey sınırlarını korumaktan çok, yeni gelenleri gerçek ortak haline getirebilmektir.$$ &amp;&amp;Senin ekibin ya da çevren, dışarıdan gelenleri seyirci mi yapıyor, ortak mı?&amp;&amp;</x:v>
      </x:c>
      <x:c r="K689" s="37" t="str">
        <x:v>Senin ekibin ya da çevren, dışarıdan gelenleri seyirci mi yapıyor, ortak mı?</x:v>
      </x:c>
      <x:c r="L689" s="37" t="str">
        <x:v>Roma, düşmanlarını yok ederek değil, onları Romalıya dönüştürerek büyüdü.</x:v>
      </x:c>
      <x:c r="M689" s="37" t="str">
        <x:v>Mary Beard, SPQR'da Roma'nın gücünü savaş makinesinden çok, antik dünyada eşi görülmemiş bir uygulamayla açıklar: Roma, yendiği halkları ve azat ettiği köleleri vatandaşlığa alıyordu. Yunan kentleri üyeliklerini kıskançlıkla korurken Roma, eski kölelerin çocuklarına bile yurttaşlık verdi; fethedilen eyaletlerin seçkinleri senatoya kadar yükselebildi ve imparator Claudius bu politikayı senatoda açıkça savundu. Beard'a göre Roma'yı bin yıl ayakta tutan şey, dışarıdan geleni sistemin gerçek ortağı yapabilme kapasitesiydi; kapanan değil, genişleyen kimlik kazandı.</x:v>
      </x:c>
      <x:c r="N689" s="37" t="str">
        <x:v>Senin ekibin ya da çevren, dışarıdan gelenleri seyirci mi yapıyor, ortak mı?</x:v>
      </x:c>
      <x:c r="O689" s="37" t="str">
        <x:v>Kapanan kimlik, genişleyen kimlik</x:v>
      </x:c>
    </x:row>
    <x:row r="690" ht="20" customHeight="1">
      <x:c r="A690" s="33" t="n">
        <x:v>1747</x:v>
      </x:c>
      <x:c r="B690" s="34" t="str">
        <x:v>2</x:v>
      </x:c>
      <x:c r="C690" s="34" t="str">
        <x:v>Tarih</x:v>
      </x:c>
      <x:c r="D690" s="34" t="str">
        <x:v>Tarih</x:v>
      </x:c>
      <x:c r="E690" s="34" t="str">
        <x:v>The Wright Brothers</x:v>
      </x:c>
      <x:c r="F690" s="34" t="str">
        <x:v>David McCullough</x:v>
      </x:c>
      <x:c r="G690" s="34" t="str">
        <x:v>2015</x:v>
      </x:c>
      <x:c r="H690" s="37" t="str">
        <x:v>Bisikletçilerin Rüzgar Tüneli</x:v>
      </x:c>
      <x:c r="I690" s="37" t="str">
        <x:v>İki bisikletçi, dünyanın en saygın verisini çöpe atıp kendi tablolarını çıkardığı için uçtu.</x:v>
      </x:c>
      <x:c r="J690" s="37" t="str">
        <x:v>1901 yazında Wilbur ve Orville Wright, Kitty Hawk'taki planör denemelerinden hayal kırıklığıyla döndü; kanatlar, dünyaca kabul gören hava basıncı tablolarının vaat ettiği kaldırma kuvvetini üretmiyordu. David McCullough'un anlattığına göre iki kardeş, alanın en saygın verilerinin, Otto Lilienthal'in tablolarının yanlış olabileceğinden şüphelendi ve herkese rağmen her şeyi kendi başlarına ölçmeye karar verdi. Dayton'daki bisiklet dükkanlarının arkasında yaklaşık iki metrelik tahta bir rüzgar tüneli kurdular; haftalar boyunca iki yüzden fazla kanat profilini sistematik biçimde test edip kendi kaldırma ve sürtünme tablolarını çıkardılar. ##1902 planörü bu yeni verilerle sorunsuz uçtu; Aralık 1903'te ise motorlu uçuş başladı. Devrimi yapan şey para ya da unvan değil, doğrulanmış ölçümdü.## $$En saygın kaynak bile yanlış olabilir; ilerleme, otoriteyi kendi ölçümünle sınama cesaretinden doğar.$$ &amp;&amp;İşinde herkesin doğru kabul ettiği hangi veriyi kendin hiç test etmedin?&amp;&amp;</x:v>
      </x:c>
      <x:c r="K690" s="37" t="str">
        <x:v>İşinde herkesin doğru kabul ettiği hangi veriyi kendin hiç test etmedin?</x:v>
      </x:c>
      <x:c r="L690" s="37" t="str">
        <x:v>İki bisikletçi, dünyanın en saygın verisini çöpe atıp kendi tablolarını çıkardığı için uçtu.</x:v>
      </x:c>
      <x:c r="M690" s="37" t="str">
        <x:v>1901 yazında Wilbur ve Orville Wright, Kitty Hawk'taki planör denemelerinden hayal kırıklığıyla döndü; kanatlar, dünyaca kabul gören hava basıncı tablolarının vaat ettiği kaldırma kuvvetini üretmiyordu. David McCullough'un anlattığına göre iki kardeş, alanın en saygın verilerinin, Otto Lilienthal'in tablolarının yanlış olabileceğinden şüphelendi ve herkese rağmen her şeyi kendi başlarına ölçmeye karar verdi. 1902 planörü bu yeni verilerle sorunsuz uçtu; Aralık 1903'te ise motorlu uçuş başladı. Devrimi yapan şey para ya da unvan değil, doğrulanmış ölçümdü.</x:v>
      </x:c>
      <x:c r="N690" s="37" t="str">
        <x:v>İşinde herkesin doğru kabul ettiği hangi veriyi kendin hiç test etmedin?</x:v>
      </x:c>
      <x:c r="O690" s="37" t="str">
        <x:v>Otoriteye güven, kendi ölçümün</x:v>
      </x:c>
    </x:row>
    <x:row r="691" ht="20" customHeight="1">
      <x:c r="A691" s="33" t="n">
        <x:v>1748</x:v>
      </x:c>
      <x:c r="B691" s="34" t="str">
        <x:v>2</x:v>
      </x:c>
      <x:c r="C691" s="34" t="str">
        <x:v>Tarih</x:v>
      </x:c>
      <x:c r="D691" s="34" t="str">
        <x:v>Tarih</x:v>
      </x:c>
      <x:c r="E691" s="34" t="str">
        <x:v>Into Thin Air</x:v>
      </x:c>
      <x:c r="F691" s="34" t="str">
        <x:v>Jon Krakauer</x:v>
      </x:c>
      <x:c r="G691" s="34" t="str">
        <x:v>1997</x:v>
      </x:c>
      <x:c r="H691" s="37" t="str">
        <x:v>Everest'te Saat İkiyi Geçince</x:v>
      </x:c>
      <x:c r="I691" s="37" t="str">
        <x:v>Everest'teki en tehlikeli an, dönüş saatinin sessizce geçilmesinden sonra geldi.</x:v>
      </x:c>
      <x:c r="J691" s="37" t="str">
        <x:v>Jon Krakauer, Mayıs 1996'da Everest'e tırmanan ticari seferlerden birindeydi; deneyimli rehberler Rob Hall ve Scott Fischer, zirve günü için kesin bir geri dönüş saati belirlemişti. Kurala göre saat on dörtte zirveye ulaşamayan herkes geri dönecekti; ancak zirve gününde yoğunluk, yorgunluk ve hedefe bu kadar yaklaşmışken dönememe duygusu programı saat saat kaydırdı. Hall, müşterisi Doug Hansen'la saat on altıdan sonra hâlâ zirvedeydi; aynı saatlerde dağa şiddetli bir fırtına vurdu. O gece aralarında Hall ve Fischer'ın da bulunduğu sekiz dağcı hayatını kaybetti. ##Krakauer'in anlatımında felaketin merkezinde hava değil, karar vardı: harcanan onca emek, tam dönülmesi gereken anda geri dönmeyi imkansız gibi gösterdi.## $$Bir hedefe yatırım yaptıkça vazgeçmek zorlaşır; bu yüzden sınırlar en güçlü anda değil, en baştan ve kesin çizilmelidir.$$ &amp;&amp;Hangi hedefte 'bu kadar yaklaşmışken dönülmez' düşüncesi sana yanlış karar verdirebilir?&amp;&amp;</x:v>
      </x:c>
      <x:c r="K691" s="37" t="str">
        <x:v>Hangi hedefte 'bu kadar yaklaşmışken dönülmez' düşüncesi sana yanlış karar verdirebilir?</x:v>
      </x:c>
      <x:c r="L691" s="37" t="str">
        <x:v>Everest'teki en tehlikeli an, dönüş saatinin sessizce geçilmesinden sonra geldi.</x:v>
      </x:c>
      <x:c r="M691" s="37" t="str">
        <x:v>Jon Krakauer, Mayıs 1996'da Everest'e tırmanan ticari seferlerden birindeydi; deneyimli rehberler Rob Hall ve Scott Fischer, zirve günü için kesin bir geri dönüş saati belirlemişti. Kurala göre saat on dörtte zirveye ulaşamayan herkes geri dönecekti; ancak zirve gününde yoğunluk, yorgunluk ve hedefe bu kadar yaklaşmışken dönememe duygusu programı saat saat kaydırdı. Krakauer'in anlatımında felaketin merkezinde hava değil, karar vardı: harcanan onca emek, tam dönülmesi gereken anda geri dönmeyi imkansız gibi gösterdi.</x:v>
      </x:c>
      <x:c r="N691" s="37" t="str">
        <x:v>Hangi hedefte 'bu kadar yaklaşmışken dönülmez' düşüncesi sana yanlış karar verdirebilir?</x:v>
      </x:c>
      <x:c r="O691" s="37" t="str">
        <x:v>Zirveye yakınlık, dönüş cesareti</x:v>
      </x:c>
    </x:row>
    <x:row r="692" ht="20" customHeight="1">
      <x:c r="A692" s="33" t="n">
        <x:v>1749</x:v>
      </x:c>
      <x:c r="B692" s="34" t="str">
        <x:v>2</x:v>
      </x:c>
      <x:c r="C692" s="34" t="str">
        <x:v>Tarih</x:v>
      </x:c>
      <x:c r="D692" s="34" t="str">
        <x:v>Tarih</x:v>
      </x:c>
      <x:c r="E692" s="34" t="str">
        <x:v>Unbroken</x:v>
      </x:c>
      <x:c r="F692" s="34" t="str">
        <x:v>Laura Hillenbrand</x:v>
      </x:c>
      <x:c r="G692" s="34" t="str">
        <x:v>2010</x:v>
      </x:c>
      <x:c r="H692" s="37" t="str">
        <x:v>Okyanusta 47 Gün: Louis Zamperini</x:v>
      </x:c>
      <x:c r="I692" s="37" t="str">
        <x:v>Zamperini okyanusta 47 gün dayandı; ama asıl özgürlüğüne, affetmeyi seçtiği gün kavuştu.</x:v>
      </x:c>
      <x:c r="J692" s="37" t="str">
        <x:v>1936 Olimpiyatları'nda koşan Louis Zamperini, İkinci Dünya Savaşı'nda bombardıman uçağı mürettebatındaydı; Mayıs 1943'te uçağı Pasifik'e düştü ve on bir kişiden yalnızca üçü sağ kaldı. Laura Hillenbrand'ın anlattığı hikayede Zamperini ve pilot Russell Phillips, küçük bir can salında yağmur suyu, balık ve deniz kuşlarıyla hayatta kalarak 47 gün boyunca binlerce kilometre sürüklendi. Karaya çıktıklarında Japon kuvvetlerince esir alındılar; Zamperini iki yıl boyunca kamplarda özellikle 'Kuş' lakaplı acımasız bir gardiyanın hedefi oldu ve eve sağ ama öfkeyle dolu döndü. Bu hikâyenin gücü, kahramanlık anlatısından değil, kararın alındığı koşulları görünür kılmasından gelir. ##Yıllar sonra Zamperini eski gardiyanlarını affetmeyi seçti ve 1950'de Tokyo'daki bir hapishaneye giderek bazılarıyla yüz yüze görüştü; Hillenbrand'a göre onu asıl özgürleştiren bu karardı.## $$Dayanıklılık hayatta kalmakla bitmez; insanı taşıyan ikinci güç, geçmişin öfkesini bırakabilmektir.$$ &amp;&amp;Enerjini hâlâ tüketen hangi eski öfkeyi bırakmayı hiç denemedin?&amp;&amp;</x:v>
      </x:c>
      <x:c r="K692" s="37" t="str">
        <x:v>Enerjini hâlâ tüketen hangi eski öfkeyi bırakmayı hiç denemedin?</x:v>
      </x:c>
      <x:c r="L692" s="37" t="str">
        <x:v>Zamperini okyanusta 47 gün dayandı; ama asıl özgürlüğüne, affetmeyi seçtiği gün kavuştu.</x:v>
      </x:c>
      <x:c r="M692" s="37" t="str">
        <x:v>1936 Olimpiyatları'nda koşan Louis Zamperini, İkinci Dünya Savaşı'nda bombardıman uçağı mürettebatındaydı; Mayıs 1943'te uçağı Pasifik'e düştü ve on bir kişiden yalnızca üçü sağ kaldı. Laura Hillenbrand'ın anlattığı hikayede Zamperini ve pilot Russell Phillips, küçük bir can salında yağmur suyu, balık ve deniz kuşlarıyla hayatta kalarak 47 gün boyunca binlerce kilometre sürüklendi. Yıllar sonra Zamperini eski gardiyanlarını affetmeyi seçti ve 1950'de Tokyo'daki bir hapishaneye giderek bazılarıyla yüz yüze görüştü; Hillenbrand'a göre onu asıl özgürleştiren bu karardı.</x:v>
      </x:c>
      <x:c r="N692" s="37" t="str">
        <x:v>Enerjini hâlâ tüketen hangi eski öfkeyi bırakmayı hiç denemedin?</x:v>
      </x:c>
      <x:c r="O692" s="37" t="str">
        <x:v>Hayatta kalmak, özgürleşmek</x:v>
      </x:c>
    </x:row>
    <x:row r="693" ht="20" customHeight="1">
      <x:c r="A693" s="33" t="n">
        <x:v>1750</x:v>
      </x:c>
      <x:c r="B693" s="34" t="str">
        <x:v>2</x:v>
      </x:c>
      <x:c r="C693" s="34" t="str">
        <x:v>Tarih</x:v>
      </x:c>
      <x:c r="D693" s="34" t="str">
        <x:v>Tarih</x:v>
      </x:c>
      <x:c r="E693" s="34" t="str">
        <x:v>Hidden Figures</x:v>
      </x:c>
      <x:c r="F693" s="34" t="str">
        <x:v>Margot Lee Shetterly</x:v>
      </x:c>
      <x:c r="G693" s="34" t="str">
        <x:v>2016</x:v>
      </x:c>
      <x:c r="H693" s="37" t="str">
        <x:v>John Glenn'in Güvendiği Hesap</x:v>
      </x:c>
      <x:c r="I693" s="37" t="str">
        <x:v>Amerika'nın en ünlü astronotu, görünmeyen bir matematikçi rakamları onaylayana kadar uçmadı.</x:v>
      </x:c>
      <x:c r="J693" s="37" t="str">
        <x:v>Şubat 1962'de NASA, John Glenn'i Dünya yörüngesine gönderilecek ilk Amerikalı olarak fırlatmaya hazırlanıyordu; yörünge hesapları ilk kez yeni IBM bilgisayarlarına emanet edilmişti. Margot Lee Shetterly'nin anlattığına göre makineler henüz güvenilir değildi ve Glenn, uçuştan önce rakamların matematikçi Katherine Johnson tarafından elle doğrulanmasını istedi; Johnson onaylarsa uçmaya hazırdı. Johnson, ayrımcılığın sürdüğü dönemde Langley'nin ayrı tutulan siyah kadın hesaplayıcılar biriminden gelmişti; adı yıllarca katkı verdiği raporlara yazılmamıştı. Günler süren hesaplamayla bilgisayarın çıktısını rakam rakam doğruladı. Bu hikâyenin gücü, kahramanlık anlatısından değil, kararın alındığı koşulları görünür kılmasından gelir. ##Glenn'in uçuşu başarıyla tamamlandı; ülkenin en görünür anlarından biri, çoğunluğun görmediği bir kadının doğruladığı rakamların üzerinde yükseldi.## $$Güven unvanla değil, tekrar tekrar doğru çıkan işle kurulur; kritik anda insanlar isme değil, kanıta döner.$$ &amp;&amp;Kritik bir anda insanların 'ona sorun' diyeceği kişi olmak için ne biriktiriyorsun?&amp;&amp;</x:v>
      </x:c>
      <x:c r="K693" s="37" t="str">
        <x:v>Kritik bir anda insanların 'ona sorun' diyeceği kişi olmak için ne biriktiriyorsun?</x:v>
      </x:c>
      <x:c r="L693" s="37" t="str">
        <x:v>Amerika'nın en ünlü astronotu, görünmeyen bir matematikçi rakamları onaylayana kadar uçmadı.</x:v>
      </x:c>
      <x:c r="M693" s="37" t="str">
        <x:v>Şubat 1962'de NASA, John Glenn'i Dünya yörüngesine gönderilecek ilk Amerikalı olarak fırlatmaya hazırlanıyordu; yörünge hesapları ilk kez yeni IBM bilgisayarlarına emanet edilmişti. Margot Lee Shetterly'nin anlattığına göre makineler henüz güvenilir değildi ve Glenn, uçuştan önce rakamların matematikçi Katherine Johnson tarafından elle doğrulanmasını istedi; Johnson onaylarsa uçmaya hazırdı. Glenn'in uçuşu başarıyla tamamlandı; ülkenin en görünür anlarından biri, çoğunluğun görmediği bir kadının doğruladığı rakamların üzerinde yükseldi.</x:v>
      </x:c>
      <x:c r="N693" s="37" t="str">
        <x:v>Kritik bir anda insanların 'ona sorun' diyeceği kişi olmak için ne biriktiriyorsun?</x:v>
      </x:c>
      <x:c r="O693" s="37" t="str">
        <x:v>Görünürlük değil, doğrulanmış güven</x:v>
      </x:c>
    </x:row>
    <x:row r="694" ht="20" customHeight="1">
      <x:c r="A694" s="33" t="n">
        <x:v>1751</x:v>
      </x:c>
      <x:c r="B694" s="34" t="str">
        <x:v>2</x:v>
      </x:c>
      <x:c r="C694" s="34" t="str">
        <x:v>Tarih</x:v>
      </x:c>
      <x:c r="D694" s="34" t="str">
        <x:v>Tarih</x:v>
      </x:c>
      <x:c r="E694" s="34" t="str">
        <x:v>The Splendid and the Vile</x:v>
      </x:c>
      <x:c r="F694" s="34" t="str">
        <x:v>Erik Larson</x:v>
      </x:c>
      <x:c r="G694" s="34" t="str">
        <x:v>2020</x:v>
      </x:c>
      <x:c r="H694" s="37" t="str">
        <x:v>Bombardıman Altında Görünür Olmak</x:v>
      </x:c>
      <x:c r="I694" s="37" t="str">
        <x:v>Churchill Londra'yı konuşmaları kadar, enkazın üzerindeki görünür varlığıyla da ayakta tuttu.</x:v>
      </x:c>
      <x:c r="J694" s="37" t="str">
        <x:v>Eylül 1940'ta Alman uçakları Londra'yı bombalamaya başladığında Winston Churchill henüz birkaç aydır başbakandı ve ülke bir işgal beklentisiyle yaşıyordu. Erik Larson'ın anlattığına göre Churchill saldırıların ertesi sabahı yıkılan mahallelere gidiyor, molozların üzerinde yürüyor ve gözyaşlarını halktan saklamıyordu; şehrin dayanabileceği mesajını sözden önce bedeniyle veriyordu. Danışmanları güvenliği için sığınakta kalmasını istedikçe o çatılara çıkıp hava saldırılarını izledi; korkunun yokluğunu değil, korkuya rağmen ortada durma kararını sergiledi. Bu hikâyenin gücü, kahramanlık anlatısından değil, kararın alındığı koşulları görünür kılmasından gelir. ##Blitz'de on binlerce sivil hayatını kaybetti ama şehir çözülmedi; Larson'a göre bunun bir nedeni, en kötü gecelerde bile halkının yanında görünen bir liderdi.## $$Kriz anında insanlar mükemmel plandan önce, korkuyu paylaşan ve görünür olan bir lider ister.$$ &amp;&amp;Zor bir dönemde ekibin seni sahnede mi görüyor, kapalı kapılar ardında mı?&amp;&amp;</x:v>
      </x:c>
      <x:c r="K694" s="37" t="str">
        <x:v>Zor bir dönemde ekibin seni sahnede mi görüyor, kapalı kapılar ardında mı?</x:v>
      </x:c>
      <x:c r="L694" s="37" t="str">
        <x:v>Churchill Londra'yı konuşmaları kadar, enkazın üzerindeki görünür varlığıyla da ayakta tuttu.</x:v>
      </x:c>
      <x:c r="M694" s="37" t="str">
        <x:v>Eylül 1940'ta Alman uçakları Londra'yı bombalamaya başladığında Winston Churchill henüz birkaç aydır başbakandı ve ülke bir işgal beklentisiyle yaşıyordu. Erik Larson'ın anlattığına göre Churchill saldırıların ertesi sabahı yıkılan mahallelere gidiyor, molozların üzerinde yürüyor ve gözyaşlarını halktan saklamıyordu; şehrin dayanabileceği mesajını sözden önce bedeniyle veriyordu. Blitz'de on binlerce sivil hayatını kaybetti ama şehir çözülmedi; Larson'a göre bunun bir nedeni, en kötü gecelerde bile halkının yanında görünen bir liderdi.</x:v>
      </x:c>
      <x:c r="N694" s="37" t="str">
        <x:v>Zor bir dönemde ekibin seni sahnede mi görüyor, kapalı kapılar ardında mı?</x:v>
      </x:c>
      <x:c r="O694" s="37" t="str">
        <x:v>Güvenli mesafe, görünür liderlik</x:v>
      </x:c>
    </x:row>
    <x:row r="695" ht="20" customHeight="1">
      <x:c r="A695" s="33" t="n">
        <x:v>1752</x:v>
      </x:c>
      <x:c r="B695" s="34" t="str">
        <x:v>2</x:v>
      </x:c>
      <x:c r="C695" s="34" t="str">
        <x:v>Tarih</x:v>
      </x:c>
      <x:c r="D695" s="34" t="str">
        <x:v>Tarih</x:v>
      </x:c>
      <x:c r="E695" s="34" t="str">
        <x:v>Say Nothing</x:v>
      </x:c>
      <x:c r="F695" s="34" t="str">
        <x:v>Patrick Radden Keefe</x:v>
      </x:c>
      <x:c r="G695" s="34" t="str">
        <x:v>2018</x:v>
      </x:c>
      <x:c r="H695" s="37" t="str">
        <x:v>Sessizlik Antlaşması Nasıl Çözüldü?</x:v>
      </x:c>
      <x:c r="I695" s="37" t="str">
        <x:v>Belfast'ın on yıllarca sakladığı sır, ölülerin kayıtlı sesleriyle geri döndü.</x:v>
      </x:c>
      <x:c r="J695" s="37" t="str">
        <x:v>Aralık 1972'de Belfast'ta on çocuk annesi Jean McConville, IRA tarafından evinden alınıp kayboldu; Kuzey İrlanda'daki çatışma yıllarında mahalle bu konuda konuşmamayı seçti. Patrick Radden Keefe'in anlattığı hikayede bu sessizlik on yıllarca sürdü; McConville'in cesedi ancak 2003'te bir kumsalda bulundu, ama emri kimin verdiği sorusu cevapsız kaldı. 2000'lerin başında Boston College, eski militanlarla ölümlerinden sonra açılması vaadiyle gizli görüşmeler kaydetti; 2011'de mahkemeler bu kayıtların peşine düşünce, gömülü anlatılar birer birer yüzeye çıkmaya başladı. Bu hikâyenin gücü, kahramanlık anlatısından değil, kararın alındığı koşulları görünür kılmasından gelir. ##Keefe'e göre örgütlü sessizlik bir topluluğu bir süre koruyabilir, ama acıyı bitirmez; bastırılan hikayeler yolunu bulup geri döner ve yüzleşilmemiş geçmiş yeni kuşaklara devredilir.## $$Konuşulmayan geçmiş kaybolmaz; sadece faiziyle birlikte geleceğe ertelenir.$$ &amp;&amp;Çevrende herkesin bildiği ama kimsenin konuşmadığı hangi konu büyümeye devam ediyor?&amp;&amp;</x:v>
      </x:c>
      <x:c r="K695" s="37" t="str">
        <x:v>Çevrende herkesin bildiği ama kimsenin konuşmadığı hangi konu büyümeye devam ediyor?</x:v>
      </x:c>
      <x:c r="L695" s="37" t="str">
        <x:v>Belfast'ın on yıllarca sakladığı sır, ölülerin kayıtlı sesleriyle geri döndü.</x:v>
      </x:c>
      <x:c r="M695" s="37" t="str">
        <x:v>Aralık 1972'de Belfast'ta on çocuk annesi Jean McConville, IRA tarafından evinden alınıp kayboldu; Kuzey İrlanda'daki çatışma yıllarında mahalle bu konuda konuşmamayı seçti. Patrick Radden Keefe'in anlattığı hikayede bu sessizlik on yıllarca sürdü; McConville'in cesedi ancak 2003'te bir kumsalda bulundu, ama emri kimin verdiği sorusu cevapsız kaldı. Keefe'e göre örgütlü sessizlik bir topluluğu bir süre koruyabilir, ama acıyı bitirmez; bastırılan hikayeler yolunu bulup geri döner ve yüzleşilmemiş geçmiş yeni kuşaklara devredilir.</x:v>
      </x:c>
      <x:c r="N695" s="37" t="str">
        <x:v>Çevrende herkesin bildiği ama kimsenin konuşmadığı hangi konu büyümeye devam ediyor?</x:v>
      </x:c>
      <x:c r="O695" s="37" t="str">
        <x:v>Koruyan sessizlik, büyüyen yük</x:v>
      </x:c>
    </x:row>
    <x:row r="696" ht="20" customHeight="1">
      <x:c r="A696" s="33" t="n">
        <x:v>1753</x:v>
      </x:c>
      <x:c r="B696" s="34" t="str">
        <x:v>2</x:v>
      </x:c>
      <x:c r="C696" s="34" t="str">
        <x:v>Tarih</x:v>
      </x:c>
      <x:c r="D696" s="34" t="str">
        <x:v>Tarih</x:v>
      </x:c>
      <x:c r="E696" s="34" t="str">
        <x:v>The Wager</x:v>
      </x:c>
      <x:c r="F696" s="34" t="str">
        <x:v>David Grann</x:v>
      </x:c>
      <x:c r="G696" s="34" t="str">
        <x:v>2023</x:v>
      </x:c>
      <x:c r="H696" s="37" t="str">
        <x:v>Aynı Kazadan İki Farklı Gerçek</x:v>
      </x:c>
      <x:c r="I696" s="37" t="str">
        <x:v>Wager'ın hayatta kalanları aynı kazadan döndü, ama birbirini yalanlayan iki gerçekle.</x:v>
      </x:c>
      <x:c r="J696" s="37" t="str">
        <x:v>1741'de İngiliz savaş gemisi Wager, Şili açıklarındaki ıssız bir adada parçalandığında hayatta kalan mürettebat aylarca açlık, soğuk ve kaosla boğuştu. David Grann'ın anlattığına göre bir grup, kaptanla birlikte küçük bir tekneyle Brezilya'ya ulaştı; başka bir grup ise aylar sonra bambaşka bir rotayla İngiltere'ye vardı ve olayları tümüyle farklı anlattı. İki taraf da hayatta kalmış, ama iki taraf da diğerini isyan, cinayet ve ihanetle suçluyordu; donanma mahkemesi, kimin doğruyu söylediğini kanıtlarla değil, kimin anlatısının daha güçlü kurgulandığıyla çözmek zorunda kaldı. ##Grann'a göre gerçek tek bir olaydı, ama hayatta kalanların her biri kendini haklı çıkaran bir anlatı inşa etmişti; tarih çoğu zaman olanı değil, en ikna edici şekilde anlatılanı kaydeder.## $$Aynı olay farklı anlatılarla tümüyle değişebilir; bu yüzden bir hikâyeyi dinlerken kimin, neyi kanıtladığını sormak gerekir.$$ &amp;&amp;Son zamanlarda yalnızca bir tarafın anlatısına dayanarak verdiğin bir karar oldu mu?&amp;&amp;</x:v>
      </x:c>
      <x:c r="K696" s="37" t="str">
        <x:v>Son zamanlarda yalnızca bir tarafın anlatısına dayanarak verdiğin bir karar oldu mu?</x:v>
      </x:c>
      <x:c r="L696" s="37" t="str">
        <x:v>Wager'ın hayatta kalanları aynı kazadan döndü, ama birbirini yalanlayan iki gerçekle.</x:v>
      </x:c>
      <x:c r="M696" s="37" t="str">
        <x:v>1741'de İngiliz savaş gemisi Wager, Şili açıklarındaki ıssız bir adada parçalandığında hayatta kalan mürettebat aylarca açlık, soğuk ve kaosla boğuştu. David Grann'ın anlattığına göre bir grup, kaptanla birlikte küçük bir tekneyle Brezilya'ya ulaştı; başka bir grup ise aylar sonra bambaşka bir rotayla İngiltere'ye vardı ve olayları tümüyle farklı anlattı. Grann'a göre gerçek tek bir olaydı, ama hayatta kalanların her biri kendini haklı çıkaran bir anlatı inşa etmişti; tarih çoğu zaman olanı değil, en ikna edici şekilde anlatılanı kaydeder.</x:v>
      </x:c>
      <x:c r="N696" s="37" t="str">
        <x:v>Son zamanlarda yalnızca bir tarafın anlatısına dayanarak verdiğin bir karar oldu mu?</x:v>
      </x:c>
      <x:c r="O696" s="37" t="str">
        <x:v>Tek olay, çatışan anlatılar</x:v>
      </x:c>
    </x:row>
    <x:row r="697" ht="20" customHeight="1">
      <x:c r="A697" s="33" t="n">
        <x:v>1754</x:v>
      </x:c>
      <x:c r="B697" s="34" t="str">
        <x:v>2</x:v>
      </x:c>
      <x:c r="C697" s="34" t="str">
        <x:v>Tarih</x:v>
      </x:c>
      <x:c r="D697" s="34" t="str">
        <x:v>Tarih</x:v>
      </x:c>
      <x:c r="E697" s="34" t="str">
        <x:v>Killers of the Flower Moon</x:v>
      </x:c>
      <x:c r="F697" s="34" t="str">
        <x:v>David Grann</x:v>
      </x:c>
      <x:c r="G697" s="34" t="str">
        <x:v>2017</x:v>
      </x:c>
      <x:c r="H697" s="37" t="str">
        <x:v>Zenginliğin Ölümcül Olduğu Topraklar</x:v>
      </x:c>
      <x:c r="I697" s="37" t="str">
        <x:v>Osage cinayetlerini mümkün kılan tek bir katil değil, göz yuman koca bir sistemdi.</x:v>
      </x:c>
      <x:c r="J697" s="37" t="str">
        <x:v>1920'lerde Oklahoma'daki Osage halkı, topraklarının altındaki petrol sayesinde kişi başına dünyanın en zengin insanları arasındaydı; ama kısa sürede biri birbiri ardına ölmeye başladı. David Grann'ın anlattığına göre Osage üyeleri zehirleniyor, vuruluyor ve evleri havaya uçuruluyordu; yerel doktorlar, şerifler ve avukatlar çoğu zaman ölümleri örtbas eden düzenin bir parçasıydı. Yeni kurulan federal soruşturma bürosu davayı devraldığında ortaya, servetin 'vasi' sistemi aracılığıyla beyaz koruyuculara aktığı ve bazı cinayetlerin doğrudan bu mirasa el koymak için işlendiği bir komplo çıktı. ##Grann'a göre birkaç kişi mahkûm edildi, ama belgeler cinayet sayısının bilinenden çok daha fazla olduğunu ve suç ortaklığının tüm bir kasabaya yayıldığını gösteriyordu.## $$Adaletsizlik çoğu zaman tek bir kötü aktörden değil, göz yuman kurumlardan ve sessiz kalan çoğunluktan güç alır.$$ &amp;&amp;Çevrende herkesin bildiği ama kimsenin ismini koymadığı hangi haksızlık normalleşmiş durumda?&amp;&amp;</x:v>
      </x:c>
      <x:c r="K697" s="37" t="str">
        <x:v>Çevrende herkesin bildiği ama kimsenin ismini koymadığı hangi haksızlık normalleşmiş durumda?</x:v>
      </x:c>
      <x:c r="L697" s="37" t="str">
        <x:v>Osage cinayetlerini mümkün kılan tek bir katil değil, göz yuman koca bir sistemdi.</x:v>
      </x:c>
      <x:c r="M697" s="37" t="str">
        <x:v>1920'lerde Oklahoma'daki Osage halkı, topraklarının altındaki petrol sayesinde kişi başına dünyanın en zengin insanları arasındaydı; ama kısa sürede biri birbiri ardına ölmeye başladı. David Grann'ın anlattığına göre Osage üyeleri zehirleniyor, vuruluyor ve evleri havaya uçuruluyordu; yerel doktorlar, şerifler ve avukatlar çoğu zaman ölümleri örtbas eden düzenin bir parçasıydı. Grann'a göre birkaç kişi mahkûm edildi, ama belgeler cinayet sayısının bilinenden çok daha fazla olduğunu ve suç ortaklığının tüm bir kasabaya yayıldığını gösteriyordu.</x:v>
      </x:c>
      <x:c r="N697" s="37" t="str">
        <x:v>Çevrende herkesin bildiği ama kimsenin ismini koymadığı hangi haksızlık normalleşmiş durumda?</x:v>
      </x:c>
      <x:c r="O697" s="37" t="str">
        <x:v>Tek suçlu değil, sessiz sistem</x:v>
      </x:c>
    </x:row>
    <x:row r="698" ht="20" customHeight="1">
      <x:c r="A698" s="33" t="n">
        <x:v>1755</x:v>
      </x:c>
      <x:c r="B698" s="34" t="str">
        <x:v>2</x:v>
      </x:c>
      <x:c r="C698" s="34" t="str">
        <x:v>Tarih</x:v>
      </x:c>
      <x:c r="D698" s="34" t="str">
        <x:v>Tarih</x:v>
      </x:c>
      <x:c r="E698" s="34" t="str">
        <x:v>The Lost City of Z</x:v>
      </x:c>
      <x:c r="F698" s="34" t="str">
        <x:v>David Grann</x:v>
      </x:c>
      <x:c r="G698" s="34" t="str">
        <x:v>2009</x:v>
      </x:c>
      <x:c r="H698" s="37" t="str">
        <x:v>Amazon'un Yuttuğu Kaşif</x:v>
      </x:c>
      <x:c r="I698" s="37" t="str">
        <x:v>Fawcett'in aradığı kayıp uygarlık gerçekti; ama ona duyduğu takıntı onu geri dönülmez biçimde yuttu.</x:v>
      </x:c>
      <x:c r="J698" s="37" t="str">
        <x:v>İngiliz kaşif Percy Fawcett, Amazon'un derinliklerinde ileri bir uygarlığın kalıntılarına, kendi deyimiyle 'Z' şehrine inandı ve bu inanç hayatının tek amacı haline geldi. David Grann'ın anlattığına göre Fawcett, 1925'te oğlu ve oğlunun arkadaşıyla birlikte son seferine çıktı ve bir daha asla haber alınamadı; onu aramaya giden düzinelerce insan da öldü ya da kayboldu. Fawcett uzun süre saplantılı bir hayalperest sayıldı; ancak son yıllarda arkeologlar, Amazon'da yol ağlarına, tarıma ve büyük yerleşimlere sahip karmaşık toplumların gerçekten var olduğunu gösteren kanıtlar buldu. ##Grann'a göre Fawcett hem haklıydı hem de yıkılmıştı: aradığı uygarlık büyük ölçüde gerçekti, ama takıntısı onu ve peşinden gelenleri felakete sürükledi.## $$Güçlü bir sezgi doğru olabilir; yine de onu sınayan disiplin olmadan, aynı sezgi insanı uçuruma da götürebilir.$$ &amp;&amp;Hangi güçlü inancını, doğru olup olmadığını sınamadan sürüklemeye devam ediyorsun?&amp;&amp;</x:v>
      </x:c>
      <x:c r="K698" s="37" t="str">
        <x:v>Hangi güçlü inancını, doğru olup olmadığını sınamadan sürüklemeye devam ediyorsun?</x:v>
      </x:c>
      <x:c r="L698" s="37" t="str">
        <x:v>Fawcett'in aradığı kayıp uygarlık gerçekti; ama ona duyduğu takıntı onu geri dönülmez biçimde yuttu.</x:v>
      </x:c>
      <x:c r="M698" s="37" t="str">
        <x:v>İngiliz kaşif Percy Fawcett, Amazon'un derinliklerinde ileri bir uygarlığın kalıntılarına, kendi deyimiyle 'Z' şehrine inandı ve bu inanç hayatının tek amacı haline geldi. David Grann'ın anlattığına göre Fawcett, 1925'te oğlu ve oğlunun arkadaşıyla birlikte son seferine çıktı ve bir daha asla haber alınamadı; onu aramaya giden düzinelerce insan da öldü ya da kayboldu. Grann'a göre Fawcett hem haklıydı hem de yıkılmıştı: aradığı uygarlık büyük ölçüde gerçekti, ama takıntısı onu ve peşinden gelenleri felakete sürükledi.</x:v>
      </x:c>
      <x:c r="N698" s="37" t="str">
        <x:v>Hangi güçlü inancını, doğru olup olmadığını sınamadan sürüklemeye devam ediyorsun?</x:v>
      </x:c>
      <x:c r="O698" s="37" t="str">
        <x:v>Haklı sezgi, yıkıcı takıntı</x:v>
      </x:c>
    </x:row>
    <x:row r="699" ht="20" customHeight="1">
      <x:c r="A699" s="33" t="n">
        <x:v>1756</x:v>
      </x:c>
      <x:c r="B699" s="34" t="str">
        <x:v>2</x:v>
      </x:c>
      <x:c r="C699" s="34" t="str">
        <x:v>Psikoloji</x:v>
      </x:c>
      <x:c r="D699" s="34" t="str">
        <x:v>Psikoloji</x:v>
      </x:c>
      <x:c r="E699" s="34" t="str">
        <x:v>Cosmos</x:v>
      </x:c>
      <x:c r="F699" s="34" t="str">
        <x:v>Carl Sagan</x:v>
      </x:c>
      <x:c r="G699" s="34" t="str">
        <x:v>1980</x:v>
      </x:c>
      <x:c r="H699" s="37" t="str">
        <x:v>Soluk Mavi Nokta</x:v>
      </x:c>
      <x:c r="I699" s="37" t="str">
        <x:v>Voyager'ın çektiği tek piksel, tüm insanlık tarihini soluk mavi bir noktaya sığdırdı.</x:v>
      </x:c>
      <x:c r="J699" s="37" t="str">
        <x:v>1990'da uzay aracı Voyager 1, Güneş Sistemi'nin kenarından ayrılırken Carl Sagan'ın ısrarıyla kameralarını geriye, Dünya'ya çevirdi. Yaklaşık 6 milyar kilometre uzaktan çekilen fotoğrafta Dünya, güneş ışığının içinde kaybolan tek bir pikselden, minik soluk mavi bir noktadan ibaretti. Sagan bu görüntüyü anlatırken şuna dikkat çekti: tüm tarih, tüm imparatorluklar, sevilen ve nefret edilen herkes, o küçücük noktanın üzerinde yaşadı; kozmik ölçekte üstünlük iddialarımız neredeyse anlamsız kalıyordu. Bu ayrıntı hikâyeyi merak uyandıran bir anekdot olmaktan çıkarır ve kararın arkasındaki koşulları görünür kılar. ##Sagan'a göre bu fotoğraf hem alçakgönüllülük hem de sorumluluk çağrısıydı: bildiğimiz tek yuva bu solgun noktaydı ve onu koruma görevi tümüyle bize aitti.## $$Perspektif değişince önem sırası da değişir; büyük görünen çatışmalarımız, yeterince uzaktan bakınca küçülür.$$ &amp;&amp;Bugün seni tüketen bir sorun, birkaç yıl sonra geriye bakınca ne kadar büyük görünecek?&amp;&amp;</x:v>
      </x:c>
      <x:c r="K699" s="37" t="str">
        <x:v>Bugün seni tüketen bir sorun, birkaç yıl sonra geriye bakınca ne kadar büyük görünecek?</x:v>
      </x:c>
      <x:c r="L699" s="37" t="str">
        <x:v>Voyager'ın çektiği tek piksel, tüm insanlık tarihini soluk mavi bir noktaya sığdırdı.</x:v>
      </x:c>
      <x:c r="M699" s="37" t="str">
        <x:v>1990'da uzay aracı Voyager 1, Güneş Sistemi'nin kenarından ayrılırken Carl Sagan'ın ısrarıyla kameralarını geriye, Dünya'ya çevirdi. Yaklaşık 6 milyar kilometre uzaktan çekilen fotoğrafta Dünya, güneş ışığının içinde kaybolan tek bir pikselden, minik soluk mavi bir noktadan ibaretti. Sagan'a göre bu fotoğraf hem alçakgönüllülük hem de sorumluluk çağrısıydı: bildiğimiz tek yuva bu solgun noktaydı ve onu koruma görevi tümüyle bize aitti.</x:v>
      </x:c>
      <x:c r="N699" s="37" t="str">
        <x:v>Bugün seni tüketen bir sorun, birkaç yıl sonra geriye bakınca ne kadar büyük görünecek?</x:v>
      </x:c>
      <x:c r="O699" s="37" t="str">
        <x:v>Yakından dev, uzaktan nokta</x:v>
      </x:c>
    </x:row>
    <x:row r="700" ht="20" customHeight="1">
      <x:c r="A700" s="33" t="n">
        <x:v>1757</x:v>
      </x:c>
      <x:c r="B700" s="34" t="str">
        <x:v>2</x:v>
      </x:c>
      <x:c r="C700" s="34" t="str">
        <x:v>Psikoloji</x:v>
      </x:c>
      <x:c r="D700" s="34" t="str">
        <x:v>Psikoloji</x:v>
      </x:c>
      <x:c r="E700" s="34" t="str">
        <x:v>A Brief History of Time</x:v>
      </x:c>
      <x:c r="F700" s="34" t="str">
        <x:v>Stephen Hawking</x:v>
      </x:c>
      <x:c r="G700" s="34" t="str">
        <x:v>1988</x:v>
      </x:c>
      <x:c r="H700" s="37" t="str">
        <x:v>Tek Denklemin Riski</x:v>
      </x:c>
      <x:c r="I700" s="37" t="str">
        <x:v>Hawking evrenin tarihini tek bir denkleme sığdırdı ve bu kısıt kitabı milyonlara ulaştırdı.</x:v>
      </x:c>
      <x:c r="J700" s="37" t="str">
        <x:v>Stephen Hawking, A Brief History of Time'ı yazarken yayıncısı ona basit bir uyarı yaptı: kitaba koyacağı her matematik denklemi, okur sayısını yarıya indirecekti. Kozmolojinin en soyut fikirlerini, kara delikleri, zamanın başlangıcını ve evrenin genişlemesini denklemler olmadan anlatmak neredeyse imkansız görünüyordu; yine de Hawking tüm kitap boyunca yalnızca tek bir denklem kullanmaya karar verdi. Bu kısıt onu, fikirleri formüllerin arkasına saklamak yerine benzetmelerle, hikâyelerle ve gündelik görüntülerle anlatmaya zorladı; zorluk, anlaşılırlığı bir tasarım hedefine dönüştürdü. Bu ayrıntı hikâyeyi merak uyandıran bir anekdot olmaktan çıkarır ve kararın arkasındaki koşulları görünür kılar. ##Kitap on milyonlarca sattı ve bir kuşağın evrene ilgi duymasını sağladı; Hawking'in dehası kadar, karmaşığı sadeleştirme kararı da bu etkiyi yarattı.## $$Bir fikri yaymak istiyorsak, onu ne kadar bildiğimizi değil, karşımızdakinin ne kadar anlayabileceğini merkeze almalıyız.$$ &amp;&amp;İyi bildiğin bir konuyu, hiç bilmeyen birine tek bir formül kullanmadan nasıl anlatırdın?&amp;&amp;</x:v>
      </x:c>
      <x:c r="K700" s="37" t="str">
        <x:v>İyi bildiğin bir konuyu, hiç bilmeyen birine tek bir formül kullanmadan nasıl anlatırdın?</x:v>
      </x:c>
      <x:c r="L700" s="37" t="str">
        <x:v>Hawking evrenin tarihini tek bir denkleme sığdırdı ve bu kısıt kitabı milyonlara ulaştırdı.</x:v>
      </x:c>
      <x:c r="M700" s="37" t="str">
        <x:v>Stephen Hawking, A Brief History of Time'ı yazarken yayıncısı ona basit bir uyarı yaptı: kitaba koyacağı her matematik denklemi, okur sayısını yarıya indirecekti. Kozmolojinin en soyut fikirlerini, kara delikleri, zamanın başlangıcını ve evrenin genişlemesini denklemler olmadan anlatmak neredeyse imkansız görünüyordu; yine de Hawking tüm kitap boyunca yalnızca tek bir denklem kullanmaya karar verdi. Kitap on milyonlarca sattı ve bir kuşağın evrene ilgi duymasını sağladı; Hawking'in dehası kadar, karmaşığı sadeleştirme kararı da bu etkiyi yarattı.</x:v>
      </x:c>
      <x:c r="N700" s="37" t="str">
        <x:v>İyi bildiğin bir konuyu, hiç bilmeyen birine tek bir formül kullanmadan nasıl anlatırdın?</x:v>
      </x:c>
      <x:c r="O700" s="37" t="str">
        <x:v>Uzmanlık değil, anlaşılırlık</x:v>
      </x:c>
    </x:row>
    <x:row r="701" ht="20" customHeight="1">
      <x:c r="A701" s="33" t="n">
        <x:v>1758</x:v>
      </x:c>
      <x:c r="B701" s="34" t="str">
        <x:v>2</x:v>
      </x:c>
      <x:c r="C701" s="34" t="str">
        <x:v>Psikoloji</x:v>
      </x:c>
      <x:c r="D701" s="34" t="str">
        <x:v>Psikoloji</x:v>
      </x:c>
      <x:c r="E701" s="34" t="str">
        <x:v>The Code Breaker</x:v>
      </x:c>
      <x:c r="F701" s="34" t="str">
        <x:v>Walter Isaacson</x:v>
      </x:c>
      <x:c r="G701" s="34" t="str">
        <x:v>2021</x:v>
      </x:c>
      <x:c r="H701" s="37" t="str">
        <x:v>Bakterilerin Sakladığı Makas</x:v>
      </x:c>
      <x:c r="I701" s="37" t="str">
        <x:v>Çağı değiştiren gen düzenleme aracı, bakterilerin savunmasına duyulan basit bir meraktan doğdu.</x:v>
      </x:c>
      <x:c r="J701" s="37" t="str">
        <x:v>Jennifer Doudna ve meslektaşları, bakterilerin virüslere karşı nasıl savunma yaptığını incelerken tuhaf, tekrar eden DNA dizileriyle karşılaştı; ilk bakışta bu, pratik bir işe yaramayan temel bir merak gibiydi. Walter Isaacson'ın anlattığına göre araştırmacılar, bakterilerin bu sistemi, saldıran virüsün genetik kodunu tanıyıp tam o noktadan kesmek için kullandığını fark etti; doğa, milyarlarca yıldır çalışan bir moleküler makas geliştirmişti. Doudna ve Emmanuelle Charpentier, bu doğal mekanizmayı yeniden programlanabilir bir araca, CRISPR'a dönüştürdü; artık bilim insanları DNA'nın istenen harfini hedefleyip düzeltebiliyordu ve ikili 2020 Nobel Kimya Ödülü'nü kazandı. ##Isaacson'a göre çağını değiştiren bu teknoloji, doğrudan bir hastalığı tedavi etme arayışından değil, 'bakteriler bunu neden yapıyor?' gibi görünüşte işe yaramaz bir sorudan doğdu.## $$Temel merak küçümsenmemeli; bugün işe yaramaz görünen bir soru, yarının en güçlü aracının tohumu olabilir.$$ &amp;&amp;Hemen bir faydası olmadığı için ertelediğin hangi merak, aslında derin bir kapı olabilir?&amp;&amp;</x:v>
      </x:c>
      <x:c r="K701" s="37" t="str">
        <x:v>Hemen bir faydası olmadığı için ertelediğin hangi merak, aslında derin bir kapı olabilir?</x:v>
      </x:c>
      <x:c r="L701" s="37" t="str">
        <x:v>Çağı değiştiren gen düzenleme aracı, bakterilerin savunmasına duyulan basit bir meraktan doğdu.</x:v>
      </x:c>
      <x:c r="M701" s="37" t="str">
        <x:v>Jennifer Doudna ve meslektaşları, bakterilerin virüslere karşı nasıl savunma yaptığını incelerken tuhaf, tekrar eden DNA dizileriyle karşılaştı; ilk bakışta bu, pratik bir işe yaramayan temel bir merak gibiydi. Walter Isaacson'ın anlattığına göre araştırmacılar, bakterilerin bu sistemi, saldıran virüsün genetik kodunu tanıyıp tam o noktadan kesmek için kullandığını fark etti; doğa, milyarlarca yıldır çalışan bir moleküler makas geliştirmişti.</x:v>
      </x:c>
      <x:c r="N701" s="37" t="str">
        <x:v>Hemen bir faydası olmadığı için ertelediğin hangi merak, aslında derin bir kapı olabilir?</x:v>
      </x:c>
      <x:c r="O701" s="37" t="str">
        <x:v>Amaçsız merak, çığır açan araç</x:v>
      </x:c>
    </x:row>
    <x:row r="702" ht="20" customHeight="1">
      <x:c r="A702" s="33" t="n">
        <x:v>1759</x:v>
      </x:c>
      <x:c r="B702" s="34" t="str">
        <x:v>2</x:v>
      </x:c>
      <x:c r="C702" s="34" t="str">
        <x:v>Psikoloji</x:v>
      </x:c>
      <x:c r="D702" s="34" t="str">
        <x:v>Psikoloji</x:v>
      </x:c>
      <x:c r="E702" s="34" t="str">
        <x:v>The Immortal Life of Henrietta Lacks</x:v>
      </x:c>
      <x:c r="F702" s="34" t="str">
        <x:v>Rebecca Skloot</x:v>
      </x:c>
      <x:c r="G702" s="34" t="str">
        <x:v>2010</x:v>
      </x:c>
      <x:c r="H702" s="37" t="str">
        <x:v>Ölmeyi Reddeden Hücreler</x:v>
      </x:c>
      <x:c r="I702" s="37" t="str">
        <x:v>Modern tıbbı dönüştüren hücreler, adı yıllarca unutulan bir kadından habersizce alınmıştı.</x:v>
      </x:c>
      <x:c r="J702" s="37" t="str">
        <x:v>1951'de Henrietta Lacks adında yoksul bir kadın rahim kanserinden ölürken, doktorları rızasını almadan tümöründen bir doku örneği aldı. Rebecca Skloot'un anlattığına göre o güne dek laboratuvarda hiçbir insan hücresi uzun süre yaşamamışken, Henrietta'nın hücreleri durmadan bölünüp çoğaldı; 'HeLa' adı verilen bu hücreler ilk kez ölümsüz bir insan hücre hattı oldu. HeLa hücreleri çocuk felci aşısının geliştirilmesinden kanser ve gen araştırmalarına kadar sayısız buluşta kullanıldı ve etrafında koca bir endüstri doğdu; ama Henrietta'nın ailesi bunu yıllarca bilmedi ve bu kazançtan hiçbir pay almadı. ##Skloot'a göre modern tıbbın en büyük armağanlarından biri, adı uzun süre unutulmuş bir kadının bedeninden, üstelik onun bilgisi olmadan alınmıştı; ilerlemenin arkasında görünmeyen ve hakkı teslim edilmemiş bir insan vardı.## $$Büyük ilerlemelerin arkasında çoğu zaman adı anılmayan katkılar vardır; ilerlemeyi kutlarken bedelini kimin ödediğini de sormalıyız.$$ &amp;&amp;Yararlandığın bir başarının arkasında adı hiç anılmayan kim var?&amp;&amp;</x:v>
      </x:c>
      <x:c r="K702" s="37" t="str">
        <x:v>Yararlandığın bir başarının arkasında adı hiç anılmayan kim var?</x:v>
      </x:c>
      <x:c r="L702" s="37" t="str">
        <x:v>Modern tıbbı dönüştüren hücreler, adı yıllarca unutulan bir kadından habersizce alınmıştı.</x:v>
      </x:c>
      <x:c r="M702" s="37" t="str">
        <x:v>1951'de Henrietta Lacks adında yoksul bir kadın rahim kanserinden ölürken, doktorları rızasını almadan tümöründen bir doku örneği aldı. Rebecca Skloot'un anlattığına göre o güne dek laboratuvarda hiçbir insan hücresi uzun süre yaşamamışken, Henrietta'nın hücreleri durmadan bölünüp çoğaldı; 'HeLa' adı verilen bu hücreler ilk kez ölümsüz bir insan hücre hattı oldu. Skloot'a göre modern tıbbın en büyük armağanlarından biri, adı uzun süre unutulmuş bir kadının bedeninden, üstelik onun bilgisi olmadan alınmıştı; ilerlemenin arkasında görünmeyen ve hakkı teslim edilmemiş bir insan vardı.</x:v>
      </x:c>
      <x:c r="N702" s="37" t="str">
        <x:v>Yararlandığın bir başarının arkasında adı hiç anılmayan kim var?</x:v>
      </x:c>
      <x:c r="O702" s="37" t="str">
        <x:v>Görünen ilerleme, görünmeyen bedel</x:v>
      </x:c>
    </x:row>
    <x:row r="703" ht="20" customHeight="1">
      <x:c r="A703" s="33" t="n">
        <x:v>1760</x:v>
      </x:c>
      <x:c r="B703" s="34" t="str">
        <x:v>2</x:v>
      </x:c>
      <x:c r="C703" s="34" t="str">
        <x:v>Psikoloji</x:v>
      </x:c>
      <x:c r="D703" s="34" t="str">
        <x:v>Psikoloji</x:v>
      </x:c>
      <x:c r="E703" s="34" t="str">
        <x:v>The Hidden Life of Trees</x:v>
      </x:c>
      <x:c r="F703" s="34" t="str">
        <x:v>Peter Wohlleben</x:v>
      </x:c>
      <x:c r="G703" s="34" t="str">
        <x:v>2015</x:v>
      </x:c>
      <x:c r="H703" s="37" t="str">
        <x:v>Ağaçların Gizli Ağı</x:v>
      </x:c>
      <x:c r="I703" s="37" t="str">
        <x:v>Kesilmiş bir kütüğü canlı tutan şey kendi gücü değil, komşularının toprak altındaki desteğiydi.</x:v>
      </x:c>
      <x:c r="J703" s="37" t="str">
        <x:v>Orman görevlisi Peter Wohlleben, yönettiği ormanda tek başına duran ağaçlar yerine, birbirine bağlı bir topluluk fark etmeye başladı; kesilmiş bir kütüğün, yıllar sonra hâlâ canlı kalması onu şaşırttı. Wohlleben, komşu ağaçların bu kütüğü köklerinden şeker ileterek yaşattığını gördü; toprak altında mantar iplikçiklerinden oluşan geniş bir ağ, ağaçların besin ve sinyal paylaşmasını sağlıyordu. Bilimsel çalışmalar bu 'wood wide web' fikrini destekledi: ağaçlar, güçlü olanların zayıf ve gölgede kalanları desteklediği, tehlike sinyallerinin paylaşıldığı bir ağ içinde yaşıyordu; orman, tek tek rakiplerden çok bir işbirliği sistemine benziyordu. ##Wohlleben'e göre bir ağacın sağlığı büyük ölçüde tek başına gücüne değil, bağlı olduğu ağın sağlığına dayanıyordu; en dayanıklı ormanlar, bireysel olarak en güçlü ağaçların değil, en iyi bağlanmışların ormanıydı.## $$Dayanıklılık çoğu zaman tek tek güçten değil, sağlıklı bağlardan gelir; birey kadar ait olunan ağ da önemlidir.$$ &amp;&amp;Kendi 'ormanında' seni ayakta tutan bağları besliyor musun, yoksa yalnız mı güçlenmeye çalışıyorsun?&amp;&amp;</x:v>
      </x:c>
      <x:c r="K703" s="37" t="str">
        <x:v>Kendi 'ormanında' seni ayakta tutan bağları besliyor musun, yoksa yalnız mı güçlenmeye çalışıyorsun?</x:v>
      </x:c>
      <x:c r="L703" s="37" t="str">
        <x:v>Kesilmiş bir kütüğü canlı tutan şey kendi gücü değil, komşularının toprak altındaki desteğiydi.</x:v>
      </x:c>
      <x:c r="M703" s="37" t="str">
        <x:v>Orman görevlisi Peter Wohlleben, yönettiği ormanda tek başına duran ağaçlar yerine, birbirine bağlı bir topluluk fark etmeye başladı; kesilmiş bir kütüğün, yıllar sonra hâlâ canlı kalması onu şaşırttı. Wohlleben'e göre bir ağacın sağlığı büyük ölçüde tek başına gücüne değil, bağlı olduğu ağın sağlığına dayanıyordu; en dayanıklı ormanlar, bireysel olarak en güçlü ağaçların değil, en iyi bağlanmışların ormanıydı.</x:v>
      </x:c>
      <x:c r="N703" s="37" t="str">
        <x:v>Kendi 'ormanında' seni ayakta tutan bağları besliyor musun, yoksa yalnız mı güçlenmeye çalışıyorsun?</x:v>
      </x:c>
      <x:c r="O703" s="37" t="str">
        <x:v>Tek ağaç değil, bağlı orman</x:v>
      </x:c>
    </x:row>
    <x:row r="704" ht="20" customHeight="1">
      <x:c r="A704" s="33" t="n">
        <x:v>1761</x:v>
      </x:c>
      <x:c r="B704" s="34" t="str">
        <x:v>2</x:v>
      </x:c>
      <x:c r="C704" s="34" t="str">
        <x:v>Psikoloji</x:v>
      </x:c>
      <x:c r="D704" s="34" t="str">
        <x:v>Psikoloji</x:v>
      </x:c>
      <x:c r="E704" s="34" t="str">
        <x:v>Entangled Life</x:v>
      </x:c>
      <x:c r="F704" s="34" t="str">
        <x:v>Merlin Sheldrake</x:v>
      </x:c>
      <x:c r="G704" s="34" t="str">
        <x:v>2020</x:v>
      </x:c>
      <x:c r="H704" s="37" t="str">
        <x:v>Ne Bitki Ne Hayvan: Mantarların Dünyası</x:v>
      </x:c>
      <x:c r="I704" s="37" t="str">
        <x:v>Yaşamın büyük kısmını ayakta tutan mantar ağları, tam da görünmez oldukları için göz ardı edildi.</x:v>
      </x:c>
      <x:c r="J704" s="37" t="str">
        <x:v>Biyolog Merlin Sheldrake, çoğu insanın yalnızca yemekteki mantarla tanıdığı krallığın aslında yaşamın görünmeyen altyapısını kurduğunu anlatır. Bir mantarın büyük kısmı gözle görünmez: toprağın altında kilometrelerce uzanan ince iplikler, ölü maddeyi parçalayıp besine çevirir, bitki köklerine bağlanır ve ormanların besin trafiğini yönetir. Sheldrake, mantarların ne bitki ne hayvan olan, kendi kurallarını izleyen bir krallık olduğunu gösterir: bazıları karınca davranışını değiştirir, bazıları antibiyotik üretir, bazıları da bitkilerle milyonlarca yıllık ortaklıklar kurar ve kara yaşamının yayılmasını mümkün kılar. ##Sheldrake'e göre gözden kaçırdığımız bu sessiz ağlar olmasa, ormanlar, topraklar ve tanıdığımız yaşam ayakta kalamazdı; en önemli sistemler çoğu zaman en az görünen sistemlerdir.## $$Bir sistemin önemi görünürlüğüyle ölçülmez; en kritik altyapılar çoğu zaman gözden uzakta, sessizce çalışır.$$ &amp;&amp;Hayatında ya da işinde, fark etmediğin ama her şeyi ayakta tutan sessiz altyapı ne?&amp;&amp;</x:v>
      </x:c>
      <x:c r="K704" s="37" t="str">
        <x:v>Hayatında ya da işinde, fark etmediğin ama her şeyi ayakta tutan sessiz altyapı ne?</x:v>
      </x:c>
      <x:c r="L704" s="37" t="str">
        <x:v>Yaşamın büyük kısmını ayakta tutan mantar ağları, tam da görünmez oldukları için göz ardı edildi.</x:v>
      </x:c>
      <x:c r="M704" s="37" t="str">
        <x:v>Biyolog Merlin Sheldrake, çoğu insanın yalnızca yemekteki mantarla tanıdığı krallığın aslında yaşamın görünmeyen altyapısını kurduğunu anlatır. Bir mantarın büyük kısmı gözle görünmez: toprağın altında kilometrelerce uzanan ince iplikler, ölü maddeyi parçalayıp besine çevirir, bitki köklerine bağlanır ve ormanların besin trafiğini yönetir. Sheldrake'e göre gözden kaçırdığımız bu sessiz ağlar olmasa, ormanlar, topraklar ve tanıdığımız yaşam ayakta kalamazdı; en önemli sistemler çoğu zaman en az görünen sistemlerdir.</x:v>
      </x:c>
      <x:c r="N704" s="37" t="str">
        <x:v>Hayatında ya da işinde, fark etmediğin ama her şeyi ayakta tutan sessiz altyapı ne?</x:v>
      </x:c>
      <x:c r="O704" s="37" t="str">
        <x:v>Görünmezlik, temel önem</x:v>
      </x:c>
    </x:row>
    <x:row r="705" ht="20" customHeight="1">
      <x:c r="A705" s="33" t="n">
        <x:v>1762</x:v>
      </x:c>
      <x:c r="B705" s="34" t="str">
        <x:v>2</x:v>
      </x:c>
      <x:c r="C705" s="34" t="str">
        <x:v>Psikoloji</x:v>
      </x:c>
      <x:c r="D705" s="34" t="str">
        <x:v>Psikoloji</x:v>
      </x:c>
      <x:c r="E705" s="34" t="str">
        <x:v>Longitude</x:v>
      </x:c>
      <x:c r="F705" s="34" t="str">
        <x:v>Dava Sobel</x:v>
      </x:c>
      <x:c r="G705" s="34" t="str">
        <x:v>1995</x:v>
      </x:c>
      <x:c r="H705" s="37" t="str">
        <x:v>Denizde Kaybolmayı Bitiren Saat</x:v>
      </x:c>
      <x:c r="I705" s="37" t="str">
        <x:v>Boylam sorununu gökbilimciler değil, sarsıntıda bile şaşmayan bir saat yapan bir marangoz çözdü.</x:v>
      </x:c>
      <x:c r="J705" s="37" t="str">
        <x:v>18. yüzyılda gemiler enlemi kolayca bulabiliyordu ama boylamı, yani doğu-batı konumunu belirleyemiyordu; bu yüzden sayısız gemi rotasını şaşırıp kayalıklara çarpıyor, binlerce denizci ölüyordu. Dava Sobel'in anlattığına göre sorun o kadar büyüktü ki İngiliz parlamentosu çözene büyük bir ödül vaat etti; dönemin en ünlü bilim insanları çözümü gökyüzünde, ay ve yıldızların karmaşık haritalarında aradı. Resmi eğitimi olmayan bir marangoz ve saat ustası olan John Harrison ise başka bir yol seçti: denizde, sarsıntıya ve nem değişimine rağmen şaşmadan çalışan bir saat yaparsa, sadece iki saat farkını karşılaştırarak boylamı bulabilirdi. Onlarca yıl uğraşarak bunu başardı. ##Sobel'e göre çözüm, seçkin gökbilimcilerin beklediği yerden değil, dışarıdan gelen bir zanaatkârın inatçı mühendisliğinden çıktı; ödülü almak için ise ömrü boyunca mücadele etmesi gerekti.## $$Zor bir problemin çözümü, çoğu zaman herkesin baktığı yerden değil, farklı bir disiplinden gelen inatçı bir bakıştan doğar.$$ &amp;&amp;Herkesin aynı yönde çözüm aradığı bir sorunda, sen bambaşka bir yoldan gitmeyi hiç denedin mi?&amp;&amp;</x:v>
      </x:c>
      <x:c r="K705" s="37" t="str">
        <x:v>Herkesin aynı yönde çözüm aradığı bir sorunda, sen bambaşka bir yoldan gitmeyi hiç denedin mi?</x:v>
      </x:c>
      <x:c r="L705" s="37" t="str">
        <x:v>Boylam sorununu gökbilimciler değil, sarsıntıda bile şaşmayan bir saat yapan bir marangoz çözdü.</x:v>
      </x:c>
      <x:c r="M705" s="37" t="str">
        <x:v>18. yüzyılda gemiler enlemi kolayca bulabiliyordu ama boylamı, yani doğu-batı konumunu belirleyemiyordu; bu yüzden sayısız gemi rotasını şaşırıp kayalıklara çarpıyor, binlerce denizci ölüyordu. Dava Sobel'in anlattığına göre sorun o kadar büyüktü ki İngiliz parlamentosu çözene büyük bir ödül vaat etti; dönemin en ünlü bilim insanları çözümü gökyüzünde, ay ve yıldızların karmaşık haritalarında aradı. Sobel'e göre çözüm, seçkin gökbilimcilerin beklediği yerden değil, dışarıdan gelen bir zanaatkârın inatçı mühendisliğinden çıktı; ödülü almak için ise ömrü boyunca mücadele etmesi gerekti.</x:v>
      </x:c>
      <x:c r="N705" s="37" t="str">
        <x:v>Herkesin aynı yönde çözüm aradığı bir sorunda, sen bambaşka bir yoldan gitmeyi hiç denedin mi?</x:v>
      </x:c>
      <x:c r="O705" s="37" t="str">
        <x:v>Beklenen otorite, dışarıdan çözüm</x:v>
      </x:c>
    </x:row>
    <x:row r="706" ht="20" customHeight="1">
      <x:c r="A706" s="33" t="n">
        <x:v>1763</x:v>
      </x:c>
      <x:c r="B706" s="34" t="str">
        <x:v>2</x:v>
      </x:c>
      <x:c r="C706" s="34" t="str">
        <x:v>Psikoloji</x:v>
      </x:c>
      <x:c r="D706" s="34" t="str">
        <x:v>Psikoloji</x:v>
      </x:c>
      <x:c r="E706" s="34" t="str">
        <x:v>The Disappearing Spoon</x:v>
      </x:c>
      <x:c r="F706" s="34" t="str">
        <x:v>Sam Kean</x:v>
      </x:c>
      <x:c r="G706" s="34" t="str">
        <x:v>2010</x:v>
      </x:c>
      <x:c r="H706" s="37" t="str">
        <x:v>Elinde Eriyen Kaşık</x:v>
      </x:c>
      <x:c r="I706" s="37" t="str">
        <x:v>Çayda eriyen bir kaşık, koca bir kimya kitabını unutulmaz bir hikâyeye çevirdi.</x:v>
      </x:c>
      <x:c r="J706" s="37" t="str">
        <x:v>Sam Kean, çocukken kırılan termometrelerden dökülen cıva boncuklarını izlerdi; bu merak onu periyodik tablonun her kutusunun bir hikâye sakladığı fikrine götürdü. Anlattığı en çarpıcı numaralardan biri galyum metaliydi: erime noktası vücut sıcaklığının hemen altında olduğu için galyumdan yapılmış bir kaşık, sıcak çayın içinde sessizce eriyip kaybolurdu. Kean bu şakayı bir kancaya dönüştürür: her element, keşfi uğruna verilen kavgaları, servetleri ve bazen ölümleri taşır; tablo aslında insan hırsının, tesadüfün ve inadın haritasıdır. Bu ayrıntı hikâyeyi merak uyandıran bir anekdot olmaktan çıkarır ve kararın arkasındaki koşulları görünür kılar. ##Kean'e göre kuru bir ezber gibi görünen periyodik tablo, doğru anlatıldığında dolandırıcılıkların, savaşların ve dâhilerin iç içe geçtiği bir hikâyeler koleksiyonuna dönüşür.## $$Sıkıcı sanılan bir konu çoğu zaman yanlış anlatıldığı için sıkıcıdır; doğru hikâye, aynı bilgiyi unutulmaz kılar.$$ &amp;&amp;Ezberlemekten nefret ettiğin hangi konuyu, arkasındaki hikâyeyi bilseydin severdin?&amp;&amp;</x:v>
      </x:c>
      <x:c r="K706" s="37" t="str">
        <x:v>Ezberlemekten nefret ettiğin hangi konuyu, arkasındaki hikâyeyi bilseydin severdin?</x:v>
      </x:c>
      <x:c r="L706" s="37" t="str">
        <x:v>Çayda eriyen bir kaşık, koca bir kimya kitabını unutulmaz bir hikâyeye çevirdi.</x:v>
      </x:c>
      <x:c r="M706" s="37" t="str">
        <x:v>Sam Kean, çocukken kırılan termometrelerden dökülen cıva boncuklarını izlerdi; bu merak onu periyodik tablonun her kutusunun bir hikâye sakladığı fikrine götürdü. Anlattığı en çarpıcı numaralardan biri galyum metaliydi: erime noktası vücut sıcaklığının hemen altında olduğu için galyumdan yapılmış bir kaşık, sıcak çayın içinde sessizce eriyip kaybolurdu. Kean'e göre kuru bir ezber gibi görünen periyodik tablo, doğru anlatıldığında dolandırıcılıkların, savaşların ve dâhilerin iç içe geçtiği bir hikâyeler koleksiyonuna dönüşür.</x:v>
      </x:c>
      <x:c r="N706" s="37" t="str">
        <x:v>Ezberlemekten nefret ettiğin hangi konuyu, arkasındaki hikâyeyi bilseydin severdin?</x:v>
      </x:c>
      <x:c r="O706" s="37" t="str">
        <x:v>Kuru bilgi, canlı hikâye</x:v>
      </x:c>
    </x:row>
    <x:row r="707" ht="20" customHeight="1">
      <x:c r="A707" s="33" t="n">
        <x:v>1764</x:v>
      </x:c>
      <x:c r="B707" s="34" t="str">
        <x:v>2</x:v>
      </x:c>
      <x:c r="C707" s="34" t="str">
        <x:v>Psikoloji</x:v>
      </x:c>
      <x:c r="D707" s="34" t="str">
        <x:v>Psikoloji</x:v>
      </x:c>
      <x:c r="E707" s="34" t="str">
        <x:v>The Poisoner's Handbook</x:v>
      </x:c>
      <x:c r="F707" s="34" t="str">
        <x:v>Deborah Blum</x:v>
      </x:c>
      <x:c r="G707" s="34" t="str">
        <x:v>2010</x:v>
      </x:c>
      <x:c r="H707" s="37" t="str">
        <x:v>Zehirin Cezasız Kaldığı Çağ</x:v>
      </x:c>
      <x:c r="I707" s="37" t="str">
        <x:v>Zehirleyenleri durduran, sert bir savcı değil, izleri sabırla ölçen bir laboratuvardı.</x:v>
      </x:c>
      <x:c r="J707" s="37" t="str">
        <x:v>1920'lerin başında New York'ta zehirlemek neredeyse kusursuz bir cinayet yöntemiydi; çünkü mahkemelerde zehiri kanıtlayacak güvenilir bir bilim yoktu. Deborah Blum'un anlattığına göre baş adli tabip Charles Norris ve toksikolog Alexander Gettler, kendi paralarını bile katarak bir laboratuvar kurdu ve zehirlerin bedende bıraktığı izleri sistematik biçimde ölçmeye başladı. Karbonmonoksit, metanol, talyum ve arsenik gibi maddeler için tekrarlanabilir testler geliştirdiler; artık bir ceset, sessiz bir tanık olarak kendi hikâyesini kanıtlarla anlatabiliyordu ve zehir sanıkları ilk kez güvenilir biçimde mahkûm edilebiliyordu. ##Blum'a göre adaleti getiren öfkeli bir hitabet değil, titiz ve tekrarlanabilir laboratuvar yöntemleriydi; adli tıp, sezgiyi kanıta çeviren bu iki adamla modern bir bilime dönüştü.## $$Bir iddiayı güçlü kılan yüksek ses değil, bağımsız olarak tekrar edilebilen kanıttır.$$ &amp;&amp;Güçlü bir sezgini, başkalarının da doğrulayabileceği bir kanıta nasıl dönüştürebilirsin?&amp;&amp;</x:v>
      </x:c>
      <x:c r="K707" s="37" t="str">
        <x:v>Güçlü bir sezgini, başkalarının da doğrulayabileceği bir kanıta nasıl dönüştürebilirsin?</x:v>
      </x:c>
      <x:c r="L707" s="37" t="str">
        <x:v>Zehirleyenleri durduran, sert bir savcı değil, izleri sabırla ölçen bir laboratuvardı.</x:v>
      </x:c>
      <x:c r="M707" s="37" t="str">
        <x:v>1920'lerin başında New York'ta zehirlemek neredeyse kusursuz bir cinayet yöntemiydi; çünkü mahkemelerde zehiri kanıtlayacak güvenilir bir bilim yoktu. Deborah Blum'un anlattığına göre baş adli tabip Charles Norris ve toksikolog Alexander Gettler, kendi paralarını bile katarak bir laboratuvar kurdu ve zehirlerin bedende bıraktığı izleri sistematik biçimde ölçmeye başladı. Blum'a göre adaleti getiren öfkeli bir hitabet değil, titiz ve tekrarlanabilir laboratuvar yöntemleriydi; adli tıp, sezgiyi kanıta çeviren bu iki adamla modern bir bilime dönüştü.</x:v>
      </x:c>
      <x:c r="N707" s="37" t="str">
        <x:v>Güçlü bir sezgini, başkalarının da doğrulayabileceği bir kanıta nasıl dönüştürebilirsin?</x:v>
      </x:c>
      <x:c r="O707" s="37" t="str">
        <x:v>Sezgi değil, tekrarlanabilir kanıt</x:v>
      </x:c>
    </x:row>
    <x:row r="708" ht="20" customHeight="1">
      <x:c r="A708" s="33" t="n">
        <x:v>1765</x:v>
      </x:c>
      <x:c r="B708" s="34" t="str">
        <x:v>2</x:v>
      </x:c>
      <x:c r="C708" s="34" t="str">
        <x:v>Psikoloji</x:v>
      </x:c>
      <x:c r="D708" s="34" t="str">
        <x:v>Psikoloji</x:v>
      </x:c>
      <x:c r="E708" s="34" t="str">
        <x:v>The Radium Girls</x:v>
      </x:c>
      <x:c r="F708" s="34" t="str">
        <x:v>Kate Moore</x:v>
      </x:c>
      <x:c r="G708" s="34" t="str">
        <x:v>2017</x:v>
      </x:c>
      <x:c r="H708" s="37" t="str">
        <x:v>Fırçayı Dudağında Sivriltmek</x:v>
      </x:c>
      <x:c r="I708" s="37" t="str">
        <x:v>Radyum kızlarının ödediği bedel, sonraki kuşakların iş güvenliği haklarının temeli oldu.</x:v>
      </x:c>
      <x:c r="J708" s="37" t="str">
        <x:v>1917'den itibaren ABD'deki saat fabrikalarında genç kadınlar, karanlıkta parlayan radyumlu boya ile saat kadranlarını elle boyuyordu; işverenler fırçanın ucunu sivriltmek için onlara boyayı dudaklarıyla düzeltmeyi öğretti. Kate Moore'un anlattığına göre bu kadınlar radyumun tehlikesiz, hatta sağlıklı olduğuna inandırılmıştı; oysa her fırça darbesinde küçük miktarlarda radyum yutuyorlardı ve yıllar içinde çeneleri, kemikleri çürümeye başladı. Şirketler zararı bilerek örtbas etti ve hasta işçileri suçladı; ancak ölmekte olan birkaç kadın, kendileri için değil sonraki işçiler için dava açmaya karar verdi ve mahkemede tarihi bir hesap sordu. ##Moore'a göre bu kadınların mücadelesi, işçilerin tehlikeli maddelere maruz kalmasına dair yeni güvenlik standartlarının ve tazminat haklarının doğmasına yardım etti; acıları, gelecekteki binlerce işçiyi korudu.## $$Sistemler çoğu zaman kendiliğinden değil, bedel ödeyen insanların sesini yükseltmesiyle güvenli hale gelir.$$ &amp;&amp;Bugün rahatça yararlandığın hangi güvenlik ya da hak, geçmişte birilerinin mücadelesiyle kazanıldı?&amp;&amp;</x:v>
      </x:c>
      <x:c r="K708" s="37" t="str">
        <x:v>Bugün rahatça yararlandığın hangi güvenlik ya da hak, geçmişte birilerinin mücadelesiyle kazanıldı?</x:v>
      </x:c>
      <x:c r="L708" s="37" t="str">
        <x:v>Radyum kızlarının ödediği bedel, sonraki kuşakların iş güvenliği haklarının temeli oldu.</x:v>
      </x:c>
      <x:c r="M708" s="37" t="str">
        <x:v>1917'den itibaren ABD'deki saat fabrikalarında genç kadınlar, karanlıkta parlayan radyumlu boya ile saat kadranlarını elle boyuyordu; işverenler fırçanın ucunu sivriltmek için onlara boyayı dudaklarıyla düzeltmeyi öğretti. Kate Moore'un anlattığına göre bu kadınlar radyumun tehlikesiz, hatta sağlıklı olduğuna inandırılmıştı; oysa her fırça darbesinde küçük miktarlarda radyum yutuyorlardı ve yıllar içinde çeneleri, kemikleri çürümeye başladı. Moore'a göre bu kadınların mücadelesi, işçilerin tehlikeli maddelere maruz kalmasına dair yeni güvenlik standartlarının ve tazminat haklarının doğmasına yardım etti; acıları, gelecekteki binlerce işçiyi korudu.</x:v>
      </x:c>
      <x:c r="N708" s="37" t="str">
        <x:v>Bugün rahatça yararlandığın hangi güvenlik ya da hak, geçmişte birilerinin mücadelesiyle kazanıldı?</x:v>
      </x:c>
      <x:c r="O708" s="37" t="str">
        <x:v>Sessiz kurban, kalıcı koruma</x:v>
      </x:c>
    </x:row>
    <x:row r="709" ht="20" customHeight="1">
      <x:c r="A709" s="33" t="n">
        <x:v>1766</x:v>
      </x:c>
      <x:c r="B709" s="34" t="str">
        <x:v>2</x:v>
      </x:c>
      <x:c r="C709" s="34" t="str">
        <x:v>Psikoloji</x:v>
      </x:c>
      <x:c r="D709" s="34" t="str">
        <x:v>Psikoloji</x:v>
      </x:c>
      <x:c r="E709" s="34" t="str">
        <x:v>The Butchering Art</x:v>
      </x:c>
      <x:c r="F709" s="34" t="str">
        <x:v>Lindsey Fitzharris</x:v>
      </x:c>
      <x:c r="G709" s="34" t="str">
        <x:v>2017</x:v>
      </x:c>
      <x:c r="H709" s="37" t="str">
        <x:v>Görünmeyen Katili Yıkamak</x:v>
      </x:c>
      <x:c r="I709" s="37" t="str">
        <x:v>Lister'ın alay konusu olan el yıkama takıntısı, cerrahiyi ölümcül bir kumardan bilime çevirdi.</x:v>
      </x:c>
      <x:c r="J709" s="37" t="str">
        <x:v>19. yüzyıl ortasında ameliyat, hastalar için bıçak altında ölmek kadar sonrasında da tehlikeliydi; başarılı geçen operasyonların çoğu, açıklanamayan iltihaplı enfeksiyonlarla ölümle bitiyordu. Lindsey Fitzharris'in anlattığına göre cerrah Joseph Lister, Louis Pasteur'ün gözle görünmeyen mikroorganizmaların çürümeye yol açtığı fikrini duydu ve bunu ameliyathaneye taşıdı; belki de ölümlerin nedeni 'kötü hava' değil, yaraya giren bu görünmez canlılardı. Lister, aletleri ve yaraları karbolik asitle temizlemeye başladı; meslektaşları görünmeyen bir düşman için bu titizliği gereksiz bulup onunla alay etti, ama onun hastalarında enfeksiyon ve ölüm oranları çarpıcı biçimde düştü. ##Fitzharris'e göre Lister'ın basit görünen temizlik ilkesi, cerrahiyi kesip dua etmekten bir bilime dönüştürdü ve sonraki milyonlarca ameliyatı çok daha güvenli hale getirdi.## $$En büyük tehlikeler çoğu zaman görünmeyendir; ilerleme, gözle görülmeyeni ciddiye alma cesaretinden doğar.$$ &amp;&amp;Görmediğin için küçümsediğin hangi risk, aslında en çok dikkat etmen gereken şey olabilir?&amp;&amp;</x:v>
      </x:c>
      <x:c r="K709" s="37" t="str">
        <x:v>Görmediğin için küçümsediğin hangi risk, aslında en çok dikkat etmen gereken şey olabilir?</x:v>
      </x:c>
      <x:c r="L709" s="37" t="str">
        <x:v>Lister'ın alay konusu olan el yıkama takıntısı, cerrahiyi ölümcül bir kumardan bilime çevirdi.</x:v>
      </x:c>
      <x:c r="M709" s="37" t="str">
        <x:v>19. yüzyıl ortasında ameliyat, hastalar için bıçak altında ölmek kadar sonrasında da tehlikeliydi; başarılı geçen operasyonların çoğu, açıklanamayan iltihaplı enfeksiyonlarla ölümle bitiyordu. Lindsey Fitzharris'in anlattığına göre cerrah Joseph Lister, Louis Pasteur'ün gözle görünmeyen mikroorganizmaların çürümeye yol açtığı fikrini duydu ve bunu ameliyathaneye taşıdı; belki de ölümlerin nedeni 'kötü hava' değil, yaraya giren bu görünmez canlılardı. Fitzharris'e göre Lister'ın basit görünen temizlik ilkesi, cerrahiyi kesip dua etmekten bir bilime dönüştürdü ve sonraki milyonlarca ameliyatı çok daha güvenli hale getirdi.</x:v>
      </x:c>
      <x:c r="N709" s="37" t="str">
        <x:v>Görmediğin için küçümsediğin hangi risk, aslında en çok dikkat etmen gereken şey olabilir?</x:v>
      </x:c>
      <x:c r="O709" s="37" t="str">
        <x:v>Görünmeyen tehdit, görünür kurtuluş</x:v>
      </x:c>
    </x:row>
    <x:row r="710" ht="20" customHeight="1">
      <x:c r="A710" s="33" t="n">
        <x:v>1767</x:v>
      </x:c>
      <x:c r="B710" s="34" t="str">
        <x:v>2</x:v>
      </x:c>
      <x:c r="C710" s="34" t="str">
        <x:v>Psikoloji</x:v>
      </x:c>
      <x:c r="D710" s="34" t="str">
        <x:v>Psikoloji</x:v>
      </x:c>
      <x:c r="E710" s="34" t="str">
        <x:v>Surely You're Joking, Mr. Feynman!</x:v>
      </x:c>
      <x:c r="F710" s="34" t="str">
        <x:v>Richard P. Feynman ve Ralph Leighton</x:v>
      </x:c>
      <x:c r="G710" s="34" t="str">
        <x:v>1985</x:v>
      </x:c>
      <x:c r="H710" s="37" t="str">
        <x:v>Sallanan Tabaktan Nobel’e</x:v>
      </x:c>
      <x:c r="I710" s="37" t="str">
        <x:v>Feynman'ı Nobel'e taşıyan fikir, kafeteryada sallanan bir tabağı çözme oyunundan doğdu.</x:v>
      </x:c>
      <x:c r="J710" s="37" t="str">
        <x:v>Nobel ödüllü fizikçi Richard Feynman, kariyerinin bir noktasında tükenmişti; fizikten aldığı zevki kaybetmiş, kendini üretmek zorunda hissettikçe daha da tıkanmıştı. Kitabında anlattığına göre bir gün kafeteryada biri tabağı havaya fırlattı; Feynman tabağın dönüşü ile üzerindeki amblemin sallanması arasındaki tuhaf oranı fark etti ve sırf eğlencesine bu hareketin denklemini çözmeye koyuldu. Kimse ondan bunu istememişti ve pratik bir faydası yok gibiydi; ama bu oyuncu merak, onu elektron davranışıyla ilgili düşüncelere geri götürdü ve sonunda Nobel'le ödüllendirilen çalışmalarının temelini besledi. ##Feynman'a göre üretkenliğini geri getiren şey daha çok disiplin ya da baskı değil, işi yeniden bir oyun gibi görme kararıydı; zorlama tıkamıştı, oyun ise akışı geri açtı.## $$Bazen ilerlemenin yolu daha sıkı çalışmak değil, konuya yeniden merak ve oyunla yaklaşmaktır.$$ &amp;&amp;Baskı altında tıkandığın bir işe, yeniden 'oyun' gözüyle baksan ne değişirdi?&amp;&amp;</x:v>
      </x:c>
      <x:c r="K710" s="37" t="str">
        <x:v>Baskı altında tıkandığın bir işe, yeniden 'oyun' gözüyle baksan ne değişirdi?</x:v>
      </x:c>
      <x:c r="L710" s="37" t="str">
        <x:v>Feynman'ı Nobel'e taşıyan fikir, kafeteryada sallanan bir tabağı çözme oyunundan doğdu.</x:v>
      </x:c>
      <x:c r="M710" s="37" t="str">
        <x:v>Nobel ödüllü fizikçi Richard Feynman, kariyerinin bir noktasında tükenmişti; fizikten aldığı zevki kaybetmiş, kendini üretmek zorunda hissettikçe daha da tıkanmıştı. Kitabında anlattığına göre bir gün kafeteryada biri tabağı havaya fırlattı; Feynman tabağın dönüşü ile üzerindeki amblemin sallanması arasındaki tuhaf oranı fark etti ve sırf eğlencesine bu hareketin denklemini çözmeye koyuldu. Feynman'a göre üretkenliğini geri getiren şey daha çok disiplin ya da baskı değil, işi yeniden bir oyun gibi görme kararıydı; zorlama tıkamıştı, oyun ise akışı geri açtı.</x:v>
      </x:c>
      <x:c r="N710" s="37" t="str">
        <x:v>Baskı altında tıkandığın bir işe, yeniden 'oyun' gözüyle baksan ne değişirdi?</x:v>
      </x:c>
      <x:c r="O710" s="37" t="str">
        <x:v>Zorlama değil, oyun</x:v>
      </x:c>
    </x:row>
    <x:row r="711" ht="20" customHeight="1">
      <x:c r="A711" s="33" t="n">
        <x:v>1768</x:v>
      </x:c>
      <x:c r="B711" s="34" t="str">
        <x:v>2</x:v>
      </x:c>
      <x:c r="C711" s="34" t="str">
        <x:v>Finans</x:v>
      </x:c>
      <x:c r="D711" s="34" t="str">
        <x:v>İş &amp; Girişim</x:v>
      </x:c>
      <x:c r="E711" s="34" t="str">
        <x:v>The Anxious Generation</x:v>
      </x:c>
      <x:c r="F711" s="34" t="str">
        <x:v>Jonathan Haidt</x:v>
      </x:c>
      <x:c r="G711" s="34" t="str">
        <x:v>2024</x:v>
      </x:c>
      <x:c r="H711" s="37" t="str">
        <x:v>Oyun Bahçesinden Ekrana Geçiş</x:v>
      </x:c>
      <x:c r="I711" s="37" t="str">
        <x:v>Haidt'e göre çocukların kaygısı kişisel zayıflık değil, topluluğun birlikte çözmesi gereken bir tuzaktı.</x:v>
      </x:c>
      <x:c r="J711" s="37" t="str">
        <x:v>Sosyal psikolog Jonathan Haidt, 2010'ların başında gençlerde kaygı ve depresyon oranlarının aniden ve keskin biçimde yükseldiğini gösteren verilere dikkat çeker. Haidt'e göre bu dönüm noktası, akıllı telefonların ve sosyal medyanın çocukluğun merkezine yerleşmesiyle çakışıyordu; çocukluk, yüz yüze ve riskli gerçek oyundan, ekran temelli ve sürekli karşılaştırmalı bir dünyaya kaydı. Haidt, sorunu bireysel irade eksikliği olarak görmez; her aile telefonu geç vermeye çalıştığında çocuğu dışlanma riskiyle karşılaştığından, bunu ancak toplulukların birlikte kural koymasıyla çözülebilecek kolektif bir tuzak olarak tanımlar. ##Haidt'e göre çözüm de bireysel değil ortaklaşadır: okulları telefonsuz kılmak, gerçek dünyada daha fazla bağımsız oyun ve toplulukça uzlaşılan yaş sınırları, tek tek ebeveynlerin taşıyamayacağı yükü paylaştırır.## $$Bazı sorunlar bireysel irade eksikliği değil, ancak birlikte kural koyarak çıkılabilecek kolektif tuzaklardır.$$ &amp;&amp;Tek başına direnmenin zor olduğu, ancak birlikte kural koyunca çözülebilecek hangi alışkanlığın içindesin?&amp;&amp;</x:v>
      </x:c>
      <x:c r="K711" s="37" t="str">
        <x:v>Tek başına direnmenin zor olduğu, ancak birlikte kural koyunca çözülebilecek hangi alışkanlığın içindesin?</x:v>
      </x:c>
      <x:c r="L711" s="37" t="str">
        <x:v>Haidt'e göre çocukların kaygısı kişisel zayıflık değil, topluluğun birlikte çözmesi gereken bir tuzaktı.</x:v>
      </x:c>
      <x:c r="M711" s="37" t="str">
        <x:v>Sosyal psikolog Jonathan Haidt, 2010'ların başında gençlerde kaygı ve depresyon oranlarının aniden ve keskin biçimde yükseldiğini gösteren verilere dikkat çeker. Haidt'e göre bu dönüm noktası, akıllı telefonların ve sosyal medyanın çocukluğun merkezine yerleşmesiyle çakışıyordu; çocukluk, yüz yüze ve riskli gerçek oyundan, ekran temelli ve sürekli karşılaştırmalı bir dünyaya kaydı. Haidt'e göre çözüm de bireysel değil ortaklaşadır: okulları telefonsuz kılmak, gerçek dünyada daha fazla bağımsız oyun ve toplulukça uzlaşılan yaş sınırları, tek tek ebeveynlerin taşıyamayacağı yükü paylaştırır.</x:v>
      </x:c>
      <x:c r="N711" s="37" t="str">
        <x:v>Tek başına direnmenin zor olduğu, ancak birlikte kural koyunca çözülebilecek hangi alışkanlığın içindesin?</x:v>
      </x:c>
      <x:c r="O711" s="37" t="str">
        <x:v>Bireysel suçlama, kolektif çözüm</x:v>
      </x:c>
    </x:row>
    <x:row r="712" ht="20" customHeight="1">
      <x:c r="A712" s="33" t="n">
        <x:v>1769</x:v>
      </x:c>
      <x:c r="B712" s="34" t="str">
        <x:v>2</x:v>
      </x:c>
      <x:c r="C712" s="34" t="str">
        <x:v>Finans</x:v>
      </x:c>
      <x:c r="D712" s="34" t="str">
        <x:v>İş &amp; Girişim</x:v>
      </x:c>
      <x:c r="E712" s="34" t="str">
        <x:v>Behave</x:v>
      </x:c>
      <x:c r="F712" s="34" t="str">
        <x:v>Robert M. Sapolsky</x:v>
      </x:c>
      <x:c r="G712" s="34" t="str">
        <x:v>2017</x:v>
      </x:c>
      <x:c r="H712" s="37" t="str">
        <x:v>Bir Davranışın Bir Saniye Öncesi</x:v>
      </x:c>
      <x:c r="I712" s="37" t="str">
        <x:v>Sapolsky'ye göre 'neden böyle davrandı?' sorusunun tek değil, iç içe geçmiş birçok doğru cevabı vardır.</x:v>
      </x:c>
      <x:c r="J712" s="37" t="str">
        <x:v>Nörobilimci Robert Sapolsky, bir insan bir hareket yaptığında -örneğin bir kola dokunduğunda ya da bir tetiği çektiğinde- 'neden böyle yaptı?' sorusunun tek bir cevabı olmadığını anlatır. Sapolsky, aynı davranışı katmanlar halinde açıklar: hareketten bir saniye önce beyindeki hangi bölgenin ateşlendiği, dakikalar önce hangi duyusal ipucunun tetiklediği, saatler önce hormonların, aylar önce deneyimlerin ve yıllar önce çocukluk ve kültürün nasıl etkilediği. Sapolsky'ye göre bu katmanların hepsi aynı anda doğrudur; tek bir 'gerçek neden' aramak, karmaşık bir davranışı yapay biçimde basitleştirmek olur ve çoğu zaman yanlış yargılara götürür. ##Sapolsky bu bakışın yargılarımızı yumuşatması gerektiğini savunur: birinin davranışını anlamak, onu onaylamak değil, ama arkasındaki uzun nedenler zincirini görmek daha adil ve daha doğru değerlendirmeler sağlar.## $$Bir davranışı yargılamadan önce, onu tek bir nedene indirgemek yerine arkasındaki katmanlı zinciri sormak gerekir.$$ &amp;&amp;Birini hızlıca yargıladığın bir durumda, davranışının arkasındaki katmanları düşünsen ne değişirdi?&amp;&amp;</x:v>
      </x:c>
      <x:c r="K712" s="37" t="str">
        <x:v>Birini hızlıca yargıladığın bir durumda, davranışının arkasındaki katmanları düşünsen ne değişirdi?</x:v>
      </x:c>
      <x:c r="L712" s="37" t="str">
        <x:v>Sapolsky'ye göre 'neden böyle davrandı?' sorusunun tek değil, iç içe geçmiş birçok doğru cevabı vardır.</x:v>
      </x:c>
      <x:c r="M712" s="37" t="str">
        <x:v>Sapolsky, aynı davranışı katmanlar halinde açıklar: hareketten bir saniye önce beyindeki hangi bölgenin ateşlendiği, dakikalar önce hangi duyusal ipucunun tetiklediği, saatler önce hormonların, aylar önce deneyimlerin ve yıllar önce çocukluk ve kültürün nasıl etkilediği. Sapolsky bu bakışın yargılarımızı yumuşatması gerektiğini savunur: birinin davranışını anlamak, onu onaylamak değil, ama arkasındaki uzun nedenler zincirini görmek daha adil ve daha doğru değerlendirmeler sağlar.</x:v>
      </x:c>
      <x:c r="N712" s="37" t="str">
        <x:v>Birini hızlıca yargıladığın bir durumda, davranışının arkasındaki katmanları düşünsen ne değişirdi?</x:v>
      </x:c>
      <x:c r="O712" s="37" t="str">
        <x:v>Tek neden, katmanlı gerçek</x:v>
      </x:c>
    </x:row>
    <x:row r="713" ht="20" customHeight="1">
      <x:c r="A713" s="33" t="n">
        <x:v>1770</x:v>
      </x:c>
      <x:c r="B713" s="34" t="str">
        <x:v>2</x:v>
      </x:c>
      <x:c r="C713" s="34" t="str">
        <x:v>Finans</x:v>
      </x:c>
      <x:c r="D713" s="34" t="str">
        <x:v>İş &amp; Girişim</x:v>
      </x:c>
      <x:c r="E713" s="34" t="str">
        <x:v>The Lucifer Effect</x:v>
      </x:c>
      <x:c r="F713" s="34" t="str">
        <x:v>Philip Zimbardo</x:v>
      </x:c>
      <x:c r="G713" s="34" t="str">
        <x:v>2007</x:v>
      </x:c>
      <x:c r="H713" s="37" t="str">
        <x:v>İyi İnsanları Değiştiren Rol</x:v>
      </x:c>
      <x:c r="I713" s="37" t="str">
        <x:v>Zimbardo'ya göre sıradan öğrencileri zalimleştiren şey kötü karakterleri değil, içine sokuldukları roldü.</x:v>
      </x:c>
      <x:c r="J713" s="37" t="str">
        <x:v>1971'de psikolog Philip Zimbardo, Stanford Üniversitesi'nin bodrumunda sahte bir hapishane kurdu; sağlıklı, sıradan öğrencileri rastgele 'gardiyan' ve 'mahkûm' olarak ayırdı. Zimbardo'nun anlattığına göre yalnızca birkaç gün içinde gardiyan rolündeki bazı öğrenciler mahkûmlara zalimce davranmaya, aşağılamaya ve baskı kurmaya başladı; mahkûm rolündekiler ise çöküntüye girdi. Deney, planlanandan çok önce durdurulmak zorunda kaldı. Zimbardo bu sonucu 'kötü insanlar' varsayımıyla değil, güçlü durumların sıradan insanları nasıl biçimlendirdiğiyle açıklar; ona göre asıl belirleyici, insanların karakterinden çok içine yerleştirildikleri rol, sistem ve ortamdı. ##Zimbardo, sonraki yıllarda gerçek suistimal vakalarında da aynı örüntüyü gördüğünü savunur: kötülük çoğu zaman canavarlardan değil, kötü tasarlanmış sistemlere yerleştirilmiş sıradan insanlardan çıkar.## $$Davranışı yalnızca kişilikle açıklamak yanıltıcıdır; insanları içine koyduğumuz sistem, davranışı en az karakter kadar biçimlendirir.$$ &amp;&amp;Kendi davranışını, içinde bulunduğun ortam ne kadar şekillendiriyor olabilir?&amp;&amp;</x:v>
      </x:c>
      <x:c r="K713" s="37" t="str">
        <x:v>Kendi davranışını, içinde bulunduğun ortam ne kadar şekillendiriyor olabilir?</x:v>
      </x:c>
      <x:c r="L713" s="37" t="str">
        <x:v>Zimbardo'ya göre sıradan öğrencileri zalimleştiren şey kötü karakterleri değil, içine sokuldukları roldü.</x:v>
      </x:c>
      <x:c r="M713" s="37" t="str">
        <x:v>1971'de psikolog Philip Zimbardo, Stanford Üniversitesi'nin bodrumunda sahte bir hapishane kurdu; sağlıklı, sıradan öğrencileri rastgele 'gardiyan' ve 'mahkûm' olarak ayırdı. Zimbardo'nun anlattığına göre yalnızca birkaç gün içinde gardiyan rolündeki bazı öğrenciler mahkûmlara zalimce davranmaya, aşağılamaya ve baskı kurmaya başladı; mahkûm rolündekiler ise çöküntüye girdi. Deney, planlanandan çok önce durdurulmak zorunda kaldı. Zimbardo, sonraki yıllarda gerçek suistimal vakalarında da aynı örüntüyü gördüğünü savunur: kötülük çoğu zaman canavarlardan değil, kötü tasarlanmış sistemlere yerleştirilmiş sıradan insanlardan çıkar.</x:v>
      </x:c>
      <x:c r="N713" s="37" t="str">
        <x:v>Kendi davranışını, içinde bulunduğun ortam ne kadar şekillendiriyor olabilir?</x:v>
      </x:c>
      <x:c r="O713" s="37" t="str">
        <x:v>Kötü karakter değil, güçlü durum</x:v>
      </x:c>
    </x:row>
    <x:row r="714" ht="20" customHeight="1">
      <x:c r="A714" s="33" t="n">
        <x:v>1771</x:v>
      </x:c>
      <x:c r="B714" s="34" t="str">
        <x:v>2</x:v>
      </x:c>
      <x:c r="C714" s="34" t="str">
        <x:v>Finans</x:v>
      </x:c>
      <x:c r="D714" s="34" t="str">
        <x:v>İş &amp; Girişim</x:v>
      </x:c>
      <x:c r="E714" s="34" t="str">
        <x:v>The Man Who Mistook His Wife for a Hat</x:v>
      </x:c>
      <x:c r="F714" s="34" t="str">
        <x:v>Oliver Sacks</x:v>
      </x:c>
      <x:c r="G714" s="34" t="str">
        <x:v>1985</x:v>
      </x:c>
      <x:c r="H714" s="37" t="str">
        <x:v>Karısını Şapka Sanan Adam</x:v>
      </x:c>
      <x:c r="I714" s="37" t="str">
        <x:v>Gözleri kusursuz gören bir adamın karısını şapka sanması, algının beyinde kurulduğunu gösterdi.</x:v>
      </x:c>
      <x:c r="J714" s="37" t="str">
        <x:v>Nörolog Oliver Sacks, hastalarından birini anlatır: yetenekli bir müzik öğretmeni olan Dr. P, gözleri gayet iyi görmesine rağmen gördüğü şeyleri tanıyamaz hale gelmişti. Sacks'in anlattığına göre Dr. P bir eldiveni tarif edebiliyor ama ne olduğunu bilemiyordu; muayene sonunda karısının başını bir şapka sanıp onu kaldırmaya çalıştı. Gözleri sağlamdı, ama beynin görüntüyü 'anlam'a çeviren bölgesi zarar görmüştü. Sacks bu tuhaf durumu bir tuhaflık gösterisine dönüştürmez; Dr. P'nin müzikle dünyada nasıl yolunu bulduğunu, şarkı söyleyerek giyinip yemek yiyebildiğini anlatarak, beynin bir eksiği başka bir güçle nasıl telafi ettiğini gösterir. ##Sacks'e göre bu hikâyeler bize algının pasif bir kayıt değil, beynin aktif bir inşası olduğunu hatırlatır; gerçekliği olduğu gibi görmeyiz, beynimizin kurduğu biçimde görürüz.## $$Gördüğümüzü sandığımız şey ham gerçeklik değil, beynin yorumudur; algımız her zaman bir inşadır.$$ &amp;&amp;Kesin 'gördüğüne' inandığın bir durumda, aslında ne kadarını beynin yorumluyor olabilir?&amp;&amp;</x:v>
      </x:c>
      <x:c r="K714" s="37" t="str">
        <x:v>Kesin 'gördüğüne' inandığın bir durumda, aslında ne kadarını beynin yorumluyor olabilir?</x:v>
      </x:c>
      <x:c r="L714" s="37" t="str">
        <x:v>Gözleri kusursuz gören bir adamın karısını şapka sanması, algının beyinde kurulduğunu gösterdi.</x:v>
      </x:c>
      <x:c r="M714" s="37" t="str">
        <x:v>Nörolog Oliver Sacks, hastalarından birini anlatır: yetenekli bir müzik öğretmeni olan Dr. P, gözleri gayet iyi görmesine rağmen gördüğü şeyleri tanıyamaz hale gelmişti. Sacks'in anlattığına göre Dr. P bir eldiveni tarif edebiliyor ama ne olduğunu bilemiyordu; muayene sonunda karısının başını bir şapka sanıp onu kaldırmaya çalıştı. Gözleri sağlamdı, ama beynin görüntüyü 'anlam'a çeviren bölgesi zarar görmüştü. Sacks'e göre bu hikâyeler bize algının pasif bir kayıt değil, beynin aktif bir inşası olduğunu hatırlatır; gerçekliği olduğu gibi görmeyiz, beynimizin kurduğu biçimde görürüz.</x:v>
      </x:c>
      <x:c r="N714" s="37" t="str">
        <x:v>Kesin 'gördüğüne' inandığın bir durumda, aslında ne kadarını beynin yorumluyor olabilir?</x:v>
      </x:c>
      <x:c r="O714" s="37" t="str">
        <x:v>Ham görüntü değil, beynin inşası</x:v>
      </x:c>
    </x:row>
    <x:row r="715" ht="20" customHeight="1">
      <x:c r="A715" s="33" t="n">
        <x:v>1772</x:v>
      </x:c>
      <x:c r="B715" s="34" t="str">
        <x:v>2</x:v>
      </x:c>
      <x:c r="C715" s="34" t="str">
        <x:v>Finans</x:v>
      </x:c>
      <x:c r="D715" s="34" t="str">
        <x:v>İş &amp; Girişim</x:v>
      </x:c>
      <x:c r="E715" s="34" t="str">
        <x:v>Incognito</x:v>
      </x:c>
      <x:c r="F715" s="34" t="str">
        <x:v>David Eagleman</x:v>
      </x:c>
      <x:c r="G715" s="34" t="str">
        <x:v>2011</x:v>
      </x:c>
      <x:c r="H715" s="37" t="str">
        <x:v>Kararı Sen mi Veriyorsun?</x:v>
      </x:c>
      <x:c r="I715" s="37" t="str">
        <x:v>Eagleman'a göre kararlarımızın çoğu, bilincimiz haberdar olmadan beynin kulisinde çoktan başlar.</x:v>
      </x:c>
      <x:c r="J715" s="37" t="str">
        <x:v>Nörobilimci David Eagleman, zihnimizin büyük kısmının bilincimizin dışında, perde arkasında çalıştığını anlatır; 'ben' dediğimiz bilinç, aslında gemiyi yöneten kaptan değil, çoğu işi kendiliğinden gören mürettebatın ara sıra bilgilendirdiği bir yolcuya benzer. Eagleman, yürümek, konuşmak, bir yüzü tanımak ya da bir kelimeyi hatırlamak gibi işlerin nasıl olduğunu bilinçli olarak açıklayamadığımızı gösterir; beyin bunları biz farkına varmadan halleder ve sonucu bize hazır sunar. Ona göre pek çok kararımız, bilinçli 'ben' devreye girmeden önce beynin bilinçdışı süreçlerinde çoktan şekillenmeye başlamıştır; sonra bilincimiz bu karara bir gerekçe uydurup onu kendi eseri sanır. ##Eagleman'a göre bu, sorumluluğu ortadan kaldırmaz ama bizi daha alçakgönüllü yapmalıdır: kendimizi tam kontrol sahibi sanmak yerine, zihnimizin çoğunun bize kapalı çalıştığını kabul etmek daha dürüst bir öz-anlayıştır.## $$Kendimizi tümüyle bilinçli ve kontrol sahibi sanmak yanıltıcıdır; zihnimizin çoğu bize kapalı çalışır.$$ &amp;&amp;Tümüyle 'mantıklı' verdiğini sandığın bir kararın arkasında, farkında olmadığın ne olabilir?&amp;&amp;</x:v>
      </x:c>
      <x:c r="K715" s="37" t="str">
        <x:v>Tümüyle 'mantıklı' verdiğini sandığın bir kararın arkasında, farkında olmadığın ne olabilir?</x:v>
      </x:c>
      <x:c r="L715" s="37" t="str">
        <x:v>Eagleman'a göre kararlarımızın çoğu, bilincimiz haberdar olmadan beynin kulisinde çoktan başlar.</x:v>
      </x:c>
      <x:c r="M715" s="37" t="str">
        <x:v>Nörobilimci David Eagleman, zihnimizin büyük kısmının bilincimizin dışında, perde arkasında çalıştığını anlatır; 'ben' dediğimiz bilinç, aslında gemiyi yöneten kaptan değil, çoğu işi kendiliğinden gören mürettebatın ara sıra bilgilendirdiği bir yolcuya benzer. Eagleman'a göre bu, sorumluluğu ortadan kaldırmaz ama bizi daha alçakgönüllü yapmalıdır: kendimizi tam kontrol sahibi sanmak yerine, zihnimizin çoğunun bize kapalı çalıştığını kabul etmek daha dürüst bir öz-anlayıştır.</x:v>
      </x:c>
      <x:c r="N715" s="37" t="str">
        <x:v>Tümüyle 'mantıklı' verdiğini sandığın bir kararın arkasında, farkında olmadığın ne olabilir?</x:v>
      </x:c>
      <x:c r="O715" s="37" t="str">
        <x:v>Bilinçli kaptan değil, gizli mürettebat</x:v>
      </x:c>
    </x:row>
    <x:row r="716" ht="20" customHeight="1">
      <x:c r="A716" s="33" t="n">
        <x:v>1773</x:v>
      </x:c>
      <x:c r="B716" s="34" t="str">
        <x:v>2</x:v>
      </x:c>
      <x:c r="C716" s="34" t="str">
        <x:v>Finans</x:v>
      </x:c>
      <x:c r="D716" s="34" t="str">
        <x:v>İş &amp; Girişim</x:v>
      </x:c>
      <x:c r="E716" s="34" t="str">
        <x:v>The Happiness Hypothesis</x:v>
      </x:c>
      <x:c r="F716" s="34" t="str">
        <x:v>Jonathan Haidt</x:v>
      </x:c>
      <x:c r="G716" s="34" t="str">
        <x:v>2006</x:v>
      </x:c>
      <x:c r="H716" s="37" t="str">
        <x:v>Fil ve Binicisi</x:v>
      </x:c>
      <x:c r="I716" s="37" t="str">
        <x:v>Haidt'e göre irademiz küçük bir binici; asıl yönü, altındaki duygusal fil belirler.</x:v>
      </x:c>
      <x:c r="J716" s="37" t="str">
        <x:v>Psikolog Jonathan Haidt, zihnimizi anlamak için güçlü bir benzetme kullanır: bilinçli, mantık yürüten aklımız küçük bir binici, duygusal ve otomatik yanımız ise altındaki koca bir fildir. Haidt'e göre binici filin üzerinde oturur ve yol gösterdiğini sanır; ama fil gerçekten gitmek istediği yöne saptığında, o küçük binicinin onu zorla döndürmeye gücü yetmez. Bu yüzden, Haidt'e göre, sadece kendimize 'daha mantıklı ol' ya da 'daha çok irade göster' demek çoğu zaman işe yaramaz; çünkü değişime direnen fildir, oysa biz yalnızca biniciye emir veririz. ##Haidt'e göre kalıcı değişim, fili zorlamaktan değil onu eğitmekten ve çevreyi filin doğru yöne gitmesini kolaylaştıracak biçimde düzenlemekten geçer; duyguyu düşman değil, yönlendirilmesi gereken güç olarak görmek gerekir.## $$Kendini değiştirmek yalnızca mantıkla emir vermek değildir; asıl güç, duygusal 'fili' zamanla eğitmekte ve ortamı ona göre kurmakta yatar.$$ &amp;&amp;Değiştirmek istediğin bir alışkanlıkta, sadece biniciye mi emir veriyorsun, yoksa fili de mi eğitiyorsun?&amp;&amp;</x:v>
      </x:c>
      <x:c r="K716" s="37" t="str">
        <x:v>Değiştirmek istediğin bir alışkanlıkta, sadece biniciye mi emir veriyorsun, yoksa fili de mi eğitiyorsun?</x:v>
      </x:c>
      <x:c r="L716" s="37" t="str">
        <x:v>Haidt'e göre irademiz küçük bir binici; asıl yönü, altındaki duygusal fil belirler.</x:v>
      </x:c>
      <x:c r="M716" s="37" t="str">
        <x:v>Psikolog Jonathan Haidt, zihnimizi anlamak için güçlü bir benzetme kullanır: bilinçli, mantık yürüten aklımız küçük bir binici, duygusal ve otomatik yanımız ise altındaki koca bir fildir. Haidt'e göre binici filin üzerinde oturur ve yol gösterdiğini sanır; ama fil gerçekten gitmek istediği yöne saptığında, o küçük binicinin onu zorla döndürmeye gücü yetmez. Haidt'e göre kalıcı değişim, fili zorlamaktan değil onu eğitmekten ve çevreyi filin doğru yöne gitmesini kolaylaştıracak biçimde düzenlemekten geçer; duyguyu düşman değil, yönlendirilmesi gereken güç olarak görmek gerekir.</x:v>
      </x:c>
      <x:c r="N716" s="37" t="str">
        <x:v>Değiştirmek istediğin bir alışkanlıkta, sadece biniciye mi emir veriyorsun, yoksa fili de mi eğitiyorsun?</x:v>
      </x:c>
      <x:c r="O716" s="37" t="str">
        <x:v>Emreden akıl, yönlendiren duygu</x:v>
      </x:c>
    </x:row>
    <x:row r="717" ht="20" customHeight="1">
      <x:c r="A717" s="33" t="n">
        <x:v>1774</x:v>
      </x:c>
      <x:c r="B717" s="34" t="str">
        <x:v>2</x:v>
      </x:c>
      <x:c r="C717" s="34" t="str">
        <x:v>Finans</x:v>
      </x:c>
      <x:c r="D717" s="34" t="str">
        <x:v>İş &amp; Girişim</x:v>
      </x:c>
      <x:c r="E717" s="34" t="str">
        <x:v>The Confidence Game</x:v>
      </x:c>
      <x:c r="F717" s="34" t="str">
        <x:v>Maria Konnikova</x:v>
      </x:c>
      <x:c r="G717" s="34" t="str">
        <x:v>2016</x:v>
      </x:c>
      <x:c r="H717" s="37" t="str">
        <x:v>Dolandırıcının Gerçek Silahı</x:v>
      </x:c>
      <x:c r="I717" s="37" t="str">
        <x:v>Konnikova'ya göre dolandırıcının silahı yalan değil, bizim inanma isteğimizdi.</x:v>
      </x:c>
      <x:c r="J717" s="37" t="str">
        <x:v>Psikolog Maria Konnikova, tarihin en usta dolandırıcılarını inceledi ve şaşırtıcı bir örüntü buldu: kurbanlar aptal değildi, aksine çoğu zaman zeki ve eğitimli insanlardı. Konnikova'ya göre bir dolandırıcının asıl silahı yalan değil, güvendi; kurbanın umuduna, hayaline ve inanma ihtiyacına seslenir, ona duymak istediği hikâyeyi anlatırdı. Kurban bir kez bu hikâyeye inandığında, onu çürüten kanıtları görmezden gelmeye başlıyordu; çünkü kendi kararının yanlış olduğunu kabul etmek, dolandırıcının yalanını kabul etmekten daha acı vericiydi. Böylece kurban, kendi kendini kandırmaya ortak oluyordu. ##Konnikova'ya göre bizi en çok kandıran şey dışarıdan gelen yalan değil, o yalana inanmayı sürdürme isteğimizdir; en savunmasız olduğumuz an, bir hikâyeye çok inanmak istediğimiz andır.## $$En kolay kandırıldığımız an, gerçeği aradığımız an değil, bir hikâyeye çok inanmak istediğimiz andır.$$ &amp;&amp;Çok inanmak istediğin için eleştirel bakmaktan kaçındığın bir hikâye ya da fırsat var mı?&amp;&amp;</x:v>
      </x:c>
      <x:c r="K717" s="37" t="str">
        <x:v>Çok inanmak istediğin için eleştirel bakmaktan kaçındığın bir hikâye ya da fırsat var mı?</x:v>
      </x:c>
      <x:c r="L717" s="37" t="str">
        <x:v>Konnikova'ya göre dolandırıcının silahı yalan değil, bizim inanma isteğimizdi.</x:v>
      </x:c>
      <x:c r="M717" s="37" t="str">
        <x:v>Psikolog Maria Konnikova, tarihin en usta dolandırıcılarını inceledi ve şaşırtıcı bir örüntü buldu: kurbanlar aptal değildi, aksine çoğu zaman zeki ve eğitimli insanlardı. Konnikova'ya göre bir dolandırıcının asıl silahı yalan değil, güvendi; kurbanın umuduna, hayaline ve inanma ihtiyacına seslenir, ona duymak istediği hikâyeyi anlatırdı. Konnikova'ya göre bizi en çok kandıran şey dışarıdan gelen yalan değil, o yalana inanmayı sürdürme isteğimizdir; en savunmasız olduğumuz an, bir hikâyeye çok inanmak istediğimiz andır.</x:v>
      </x:c>
      <x:c r="N717" s="37" t="str">
        <x:v>Çok inanmak istediğin için eleştirel bakmaktan kaçındığın bir hikâye ya da fırsat var mı?</x:v>
      </x:c>
      <x:c r="O717" s="37" t="str">
        <x:v>Dışarıdan yalan, içeriden istek</x:v>
      </x:c>
    </x:row>
    <x:row r="718" ht="20" customHeight="1">
      <x:c r="A718" s="33" t="n">
        <x:v>1775</x:v>
      </x:c>
      <x:c r="B718" s="34" t="str">
        <x:v>2</x:v>
      </x:c>
      <x:c r="C718" s="34" t="str">
        <x:v>Finans</x:v>
      </x:c>
      <x:c r="D718" s="34" t="str">
        <x:v>İş &amp; Girişim</x:v>
      </x:c>
      <x:c r="E718" s="34" t="str">
        <x:v>Scarcity</x:v>
      </x:c>
      <x:c r="F718" s="34" t="str">
        <x:v>Sendhil Mullainathan ve Eldar Shafir</x:v>
      </x:c>
      <x:c r="G718" s="34" t="str">
        <x:v>2013</x:v>
      </x:c>
      <x:c r="H718" s="37" t="str">
        <x:v>Yokluğun Zihni Daraltması</x:v>
      </x:c>
      <x:c r="I718" s="37" t="str">
        <x:v>Mullainathan ve Shafir'e göre yokluk, insanı beceriksiz yapmaz; zihnin bant genişliğini daraltır.</x:v>
      </x:c>
      <x:c r="J718" s="37" t="str">
        <x:v>İktisatçı Sendhil Mullainathan ve psikolog Eldar Shafir, yoksulluğun yalnızca bir para sorunu olmadığını, zihnin çalışma biçimini de değiştirdiğini gösterdi. Araştırmacılara göre para, zaman ya da başka bir şey kıt olduğunda, zihin o eksikliğe kilitlenir; bu 'tünel görüşü' kısa vadeli acil ihtiyaca odaklanmayı sağlar ama uzun vadeli planlama ve dikkat için gereken zihinsel kapasiteyi tüketir. Deneyleri, aynı insanın parasal baskı altındayken bilişsel testlerde belirgin biçimde daha düşük performans gösterdiğini ortaya koydu; yani sorun kişilerin 'yeteneksizliği' değil, kıtlığın zihinsel bant genişliğini daraltmasıydı. ##Mullainathan ve Shafir'e göre yoksulların 'kötü kararlar' vermesi karakter zayıflığı değil, kıtlığın zihinde yarattığı yükün doğal sonucudur; çözüm suçlamak değil, insanlara zihinsel nefes alanı bırakan sistemler kurmaktır.## $$Kıtlık yalnızca cebi değil zihni de daraltır; baskı altındaki kötü kararları karakterle değil, koşulla açıklamak gerekir.$$ &amp;&amp;Kıtlık ya da baskı altındayken, normalde vermeyeceğin hangi aceleci kararları veriyorsun?&amp;&amp;</x:v>
      </x:c>
      <x:c r="K718" s="37" t="str">
        <x:v>Kıtlık ya da baskı altındayken, normalde vermeyeceğin hangi aceleci kararları veriyorsun?</x:v>
      </x:c>
      <x:c r="L718" s="37" t="str">
        <x:v>Mullainathan ve Shafir'e göre yokluk, insanı beceriksiz yapmaz; zihnin bant genişliğini daraltır.</x:v>
      </x:c>
      <x:c r="M718" s="37" t="str">
        <x:v>Araştırmacılara göre para, zaman ya da başka bir şey kıt olduğunda, zihin o eksikliğe kilitlenir; bu 'tünel görüşü' kısa vadeli acil ihtiyaca odaklanmayı sağlar ama uzun vadeli planlama ve dikkat için gereken zihinsel kapasiteyi tüketir. Mullainathan ve Shafir'e göre yoksulların 'kötü kararlar' vermesi karakter zayıflığı değil, kıtlığın zihinde yarattığı yükün doğal sonucudur; çözüm suçlamak değil, insanlara zihinsel nefes alanı bırakan sistemler kurmaktır.</x:v>
      </x:c>
      <x:c r="N718" s="37" t="str">
        <x:v>Kıtlık ya da baskı altındayken, normalde vermeyeceğin hangi aceleci kararları veriyorsun?</x:v>
      </x:c>
      <x:c r="O718" s="37" t="str">
        <x:v>Karakter değil, kıtlığın yükü</x:v>
      </x:c>
    </x:row>
    <x:row r="719" ht="20" customHeight="1">
      <x:c r="A719" s="33" t="n">
        <x:v>1776</x:v>
      </x:c>
      <x:c r="B719" s="34" t="str">
        <x:v>2</x:v>
      </x:c>
      <x:c r="C719" s="34" t="str">
        <x:v>Finans</x:v>
      </x:c>
      <x:c r="D719" s="34" t="str">
        <x:v>İş &amp; Girişim</x:v>
      </x:c>
      <x:c r="E719" s="34" t="str">
        <x:v>The Marshmallow Test</x:v>
      </x:c>
      <x:c r="F719" s="34" t="str">
        <x:v>Walter Mischel</x:v>
      </x:c>
      <x:c r="G719" s="34" t="str">
        <x:v>2014</x:v>
      </x:c>
      <x:c r="H719" s="37" t="str">
        <x:v>Şimdiki Bir mi, Sonraki İki mi?</x:v>
      </x:c>
      <x:c r="I719" s="37" t="str">
        <x:v>Mischel'e göre bekleyen çocukların sırrı güçlü irade değil, dikkati yönetme oyunlarıydı.</x:v>
      </x:c>
      <x:c r="J719" s="37" t="str">
        <x:v>1960'larda psikolog Walter Mischel, küçük çocukların önüne bir lokum koydu ve basit bir teklif yaptı: istersen şimdi yiyebilirsin, ama birkaç dakika beklersen iki lokum alacaksın. Mischel'in anlattığına göre çocukların bir kısmı hemen yerken, bazıları beklemeyi başardı; ilginç olan, bekleyen çocukların dikkatlerini lokumdan başka yöne çevirmek için ürettikleri stratejilerdi: gözlerini kapatmak, şarkı söylemek, lokumu 'bulut' gibi hayal etmek. Yıllar sonraki takip çalışmaları, beklemeyi başaran çocukların ortalama olarak bazı alanlarda daha iyi sonuçlar aldığını gösterdi; ama Mischel'in asıl vurgusu, öz denetimin sabit bir yetenek değil, öğrenilebilen bir beceri olduğuydu; kilit nokta iradenin gücü değil, dikkati yönetme stratejileriydi. ##Mischel'e göre erteleme yeteneği doğuştan bir kader değil; çevreyi ve dikkatini düzenleyerek herkesin geliştirebileceği bir beceridir; önemli olan cazibeyle güreşmek değil, ondan bakışı çevirebilmektir.## $$Öz denetim sabit bir irade gücü değil, dikkati yönetmeyi öğrenerek geliştirilebilen bir beceridir.$$ &amp;&amp;Bir dürtüye direnmek yerine, dikkatini ondan uzaklaştırmak için hangi küçük stratejiyi kullanabilirsin?&amp;&amp;</x:v>
      </x:c>
      <x:c r="K719" s="37" t="str">
        <x:v>Bir dürtüye direnmek yerine, dikkatini ondan uzaklaştırmak için hangi küçük stratejiyi kullanabilirsin?</x:v>
      </x:c>
      <x:c r="L719" s="37" t="str">
        <x:v>Mischel'e göre bekleyen çocukların sırrı güçlü irade değil, dikkati yönetme oyunlarıydı.</x:v>
      </x:c>
      <x:c r="M719" s="37" t="str">
        <x:v>Mischel'in anlattığına göre çocukların bir kısmı hemen yerken, bazıları beklemeyi başardı; ilginç olan, bekleyen çocukların dikkatlerini lokumdan başka yöne çevirmek için ürettikleri stratejilerdi: gözlerini kapatmak, şarkı söylemek, lokumu 'bulut' gibi hayal etmek. Mischel'e göre erteleme yeteneği doğuştan bir kader değil; çevreyi ve dikkatini düzenleyerek herkesin geliştirebileceği bir beceridir; önemli olan cazibeyle güreşmek değil, ondan bakışı çevirebilmektir.</x:v>
      </x:c>
      <x:c r="N719" s="37" t="str">
        <x:v>Bir dürtüye direnmek yerine, dikkatini ondan uzaklaştırmak için hangi küçük stratejiyi kullanabilirsin?</x:v>
      </x:c>
      <x:c r="O719" s="37" t="str">
        <x:v>İrade gücü değil, dikkat stratejisi</x:v>
      </x:c>
    </x:row>
    <x:row r="720" ht="20" customHeight="1">
      <x:c r="A720" s="33" t="n">
        <x:v>1777</x:v>
      </x:c>
      <x:c r="B720" s="34" t="str">
        <x:v>2</x:v>
      </x:c>
      <x:c r="C720" s="34" t="str">
        <x:v>Liderlik</x:v>
      </x:c>
      <x:c r="D720" s="34" t="str">
        <x:v>Liderlik</x:v>
      </x:c>
      <x:c r="E720" s="34" t="str">
        <x:v>Shoe Dog</x:v>
      </x:c>
      <x:c r="F720" s="34" t="str">
        <x:v>Phil Knight</x:v>
      </x:c>
      <x:c r="G720" s="34" t="str">
        <x:v>2016</x:v>
      </x:c>
      <x:c r="H720" s="37" t="str">
        <x:v>Bagajdan Doğan Nike</x:v>
      </x:c>
      <x:c r="I720" s="37" t="str">
        <x:v>Nike, bir dâhi planından değil, yıllarca süren borç ve 'bir gün daha dayan' kararlarından doğdu.</x:v>
      </x:c>
      <x:c r="J720" s="37" t="str">
        <x:v>Phil Knight, 1960'larda Japon koşu ayakkabılarını ABD'ye getirip satmaya karar verdiğinde ne büyük bir fabrikası ne de sermayesi vardı; işini arabasının bagajından yürütüyordu. Knight'ın anlattığına göre ilk yıllar sürekli bir para krizinin içinde geçti; satışları büyüdükçe büyüme onu daha da borçlandırıyor, bankalar sürekli iflasın eşiğinde gördükleri bu şirkete kredi vermekte tereddüt ediyordu. Knight defalarca her şeyi kaybetmenin eşiğine geldi; ortaklıkları bozuldu, tedarikçisiyle davalık oldu, nakit akışı her an kopabilirdi. Ama o, kârı hemen cebe atmak yerine kazandığı her kuruşu tekrar büyümeye yatırmayı ve ayakta kalmayı seçti. ##Knight'a göre Nike bir gecede parlayan bir başarı değil, yıllarca süren belirsizlik, borç ve pes etmeme kararının ürünüydü; dışarıdan görünen zafer, içeride sayısız 'bir gün daha dayan' anından oluşuyordu.## $$Büyük başarılar çoğu zaman tek bir parlak andan değil, uzun bir belirsizlik döneminde pes etmemekten doğar.$$ &amp;&amp;Sonucu belirsizken sırf 'bir gün daha' dayandığın için ayakta kalan bir işin ya da hedefin oldu mu?&amp;&amp;</x:v>
      </x:c>
      <x:c r="K720" s="37" t="str">
        <x:v>Sonucu belirsizken sırf 'bir gün daha' dayandığın için ayakta kalan bir işin ya da hedefin oldu mu?</x:v>
      </x:c>
      <x:c r="L720" s="37" t="str">
        <x:v>Nike, bir dâhi planından değil, yıllarca süren borç ve 'bir gün daha dayan' kararlarından doğdu.</x:v>
      </x:c>
      <x:c r="M720" s="37" t="str">
        <x:v>Knight'ın anlattığına göre ilk yıllar sürekli bir para krizinin içinde geçti; satışları büyüdükçe büyüme onu daha da borçlandırıyor, bankalar sürekli iflasın eşiğinde gördükleri bu şirkete kredi vermekte tereddüt ediyordu. Knight'a göre Nike bir gecede parlayan bir başarı değil, yıllarca süren belirsizlik, borç ve pes etmeme kararının ürünüydü; dışarıdan görünen zafer, içeride sayısız 'bir gün daha dayan' anından oluşuyordu.</x:v>
      </x:c>
      <x:c r="N720" s="37" t="str">
        <x:v>Sonucu belirsizken sırf 'bir gün daha' dayandığın için ayakta kalan bir işin ya da hedefin oldu mu?</x:v>
      </x:c>
      <x:c r="O720" s="37" t="str">
        <x:v>Ani zafer değil, süren dayanıklılık</x:v>
      </x:c>
    </x:row>
    <x:row r="721" ht="20" customHeight="1">
      <x:c r="A721" s="33" t="n">
        <x:v>1778</x:v>
      </x:c>
      <x:c r="B721" s="34" t="str">
        <x:v>2</x:v>
      </x:c>
      <x:c r="C721" s="34" t="str">
        <x:v>Liderlik</x:v>
      </x:c>
      <x:c r="D721" s="34" t="str">
        <x:v>Liderlik</x:v>
      </x:c>
      <x:c r="E721" s="34" t="str">
        <x:v>The Everything Store</x:v>
      </x:c>
      <x:c r="F721" s="34" t="str">
        <x:v>Brad Stone</x:v>
      </x:c>
      <x:c r="G721" s="34" t="str">
        <x:v>2013</x:v>
      </x:c>
      <x:c r="H721" s="37" t="str">
        <x:v>Boş Sandalyenin Anlamı</x:v>
      </x:c>
      <x:c r="I721" s="37" t="str">
        <x:v>Bezos'un toplantıdaki en önemli koltuğu boştu: orada olmayan müşteriye aitti.</x:v>
      </x:c>
      <x:c r="J721" s="37" t="str">
        <x:v>Amazon'un ilk yıllarında Jeff Bezos, toplantı odalarına bazen boş bir sandalye getirir ve masadaki en önemli kişinin o boş sandalyede oturduğunu söylerdi. Brad Stone'un anlattığına göre bu boş sandalye 'müşteriyi' temsil ediyordu; Bezos, ekibin kararlarını kendi rahatına ya da şirket içi siyasete göre değil, o odada fiziksel olarak bulunmayan müşterinin çıkarına göre almasını istiyordu. Bu sembol, Amazon'un 'müşteri takıntısı' kültürünün somut bir hatırlatıcısıydı; şirket kısa vadeli kârı bilerek erteleyip fiyatları düşürmeye, teslimatı hızlandırmaya ve iade süreçlerini kolaylaştırmaya, yani hep o boş sandalyenin çıkarına yatırım yapmaya devam etti. ##Stone'a göre Amazon'un uzun vadeli büyümesinin arkasında, toplantı odasındaki en güçlü sesin şirket içindeki bir yönetici değil, orada olmayan müşteri olması ilkesi vardı.## $$Güçlü kararlar, odadaki en yüksek sese göre değil, orada bulunmayan ama sonuçtan en çok etkilenecek kişinin çıkarına göre alınır.$$ &amp;&amp;Kendi kararlarında, 'boş sandalyede' oturan ama sesi duyulmayan kim var?&amp;&amp;</x:v>
      </x:c>
      <x:c r="K721" s="37" t="str">
        <x:v>Kendi kararlarında, 'boş sandalyede' oturan ama sesi duyulmayan kim var?</x:v>
      </x:c>
      <x:c r="L721" s="37" t="str">
        <x:v>Bezos'un toplantıdaki en önemli koltuğu boştu: orada olmayan müşteriye aitti.</x:v>
      </x:c>
      <x:c r="M721" s="37" t="str">
        <x:v>Amazon'un ilk yıllarında Jeff Bezos, toplantı odalarına bazen boş bir sandalye getirir ve masadaki en önemli kişinin o boş sandalyede oturduğunu söylerdi. Brad Stone'un anlattığına göre bu boş sandalye 'müşteriyi' temsil ediyordu; Bezos, ekibin kararlarını kendi rahatına ya da şirket içi siyasete göre değil, o odada fiziksel olarak bulunmayan müşterinin çıkarına göre almasını istiyordu. Stone'a göre Amazon'un uzun vadeli büyümesinin arkasında, toplantı odasındaki en güçlü sesin şirket içindeki bir yönetici değil, orada olmayan müşteri olması ilkesi vardı.</x:v>
      </x:c>
      <x:c r="N721" s="37" t="str">
        <x:v>Kendi kararlarında, 'boş sandalyede' oturan ama sesi duyulmayan kim var?</x:v>
      </x:c>
      <x:c r="O721" s="37" t="str">
        <x:v>İçerideki ses, dışarıdaki müşteri</x:v>
      </x:c>
    </x:row>
    <x:row r="722" ht="20" customHeight="1">
      <x:c r="A722" s="33" t="n">
        <x:v>1779</x:v>
      </x:c>
      <x:c r="B722" s="34" t="str">
        <x:v>2</x:v>
      </x:c>
      <x:c r="C722" s="34" t="str">
        <x:v>Liderlik</x:v>
      </x:c>
      <x:c r="D722" s="34" t="str">
        <x:v>Liderlik</x:v>
      </x:c>
      <x:c r="E722" s="34" t="str">
        <x:v>The Ride of a Lifetime</x:v>
      </x:c>
      <x:c r="F722" s="34" t="str">
        <x:v>Robert Iger</x:v>
      </x:c>
      <x:c r="G722" s="34" t="str">
        <x:v>2019</x:v>
      </x:c>
      <x:c r="H722" s="37" t="str">
        <x:v>Devralınan Şirketleri Değiştirmemek</x:v>
      </x:c>
      <x:c r="I722" s="37" t="str">
        <x:v>Iger'e göre Pixar'ı kurtaran şey Disney'e benzetilmemesi, tam da farklı kalmasına izin verilmesiydi.</x:v>
      </x:c>
      <x:c r="J722" s="37" t="str">
        <x:v>Robert Iger, Disney'in CEO'su olduğunda büyümenin yolunun içeriden değil, güçlü hikâye markalarını satın almaktan geçtiğini gördü: sırasıyla Pixar, Marvel ve Lucasfilm. Iger'in anlattığına göre çoğu büyük şirket, satın aldığı firmayı kendi süreçlerine zorla uydurur ve onu özel yapan şeyi böylece öldürür; oysa Iger tam tersini yaptı ve bu yaratıcı ekiplere kültürlerini ve özerkliklerini büyük ölçüde koruma sözü verdi. Pixar anlaşmasında, Disney'in dev bürokrasisinin Pixar'ın yaratıcı kültürünü ezmeyeceğine dair güvence vermek pazarlığın kalbindeydi; Iger, satın aldığı değeri korumanın onu 'entegre etmekten' daha önemli olduğunu anladı. ##Iger'e göre bu satın almalar Disney'i bir kuşak boyunca dönüştürdü; başarı, devralınan şirketleri kendine benzetmekten değil, onları özel yapan şeye saygı göstermekten geldi.## $$Değerli bir şeyi devraldığında asıl hüner onu kendine benzetmek değil, onu değerli yapan özü korumaktır.$$ &amp;&amp;Yönettiğin ya da katıldığın bir şeyde, 'düzene sokayım' derken aslında değerli olanı ezme riskin var mı?&amp;&amp;</x:v>
      </x:c>
      <x:c r="K722" s="37" t="str">
        <x:v>Yönettiğin ya da katıldığın bir şeyde, 'düzene sokayım' derken aslında değerli olanı ezme riskin var mı?</x:v>
      </x:c>
      <x:c r="L722" s="37" t="str">
        <x:v>Iger'e göre Pixar'ı kurtaran şey Disney'e benzetilmemesi, tam da farklı kalmasına izin verilmesiydi.</x:v>
      </x:c>
      <x:c r="M722" s="37" t="str">
        <x:v>Iger'in anlattığına göre çoğu büyük şirket, satın aldığı firmayı kendi süreçlerine zorla uydurur ve onu özel yapan şeyi böylece öldürür; oysa Iger tam tersini yaptı ve bu yaratıcı ekiplere kültürlerini ve özerkliklerini büyük ölçüde koruma sözü verdi. Iger'e göre bu satın almalar Disney'i bir kuşak boyunca dönüştürdü; başarı, devralınan şirketleri kendine benzetmekten değil, onları özel yapan şeye saygı göstermekten geldi.</x:v>
      </x:c>
      <x:c r="N722" s="37" t="str">
        <x:v>Yönettiğin ya da katıldığın bir şeyde, 'düzene sokayım' derken aslında değerli olanı ezme riskin var mı?</x:v>
      </x:c>
      <x:c r="O722" s="37" t="str">
        <x:v>Entegrasyon değil, özü koruma</x:v>
      </x:c>
    </x:row>
    <x:row r="723" ht="20" customHeight="1">
      <x:c r="A723" s="33" t="n">
        <x:v>1780</x:v>
      </x:c>
      <x:c r="B723" s="34" t="str">
        <x:v>2</x:v>
      </x:c>
      <x:c r="C723" s="34" t="str">
        <x:v>Liderlik</x:v>
      </x:c>
      <x:c r="D723" s="34" t="str">
        <x:v>Liderlik</x:v>
      </x:c>
      <x:c r="E723" s="34" t="str">
        <x:v>No Rules Rules</x:v>
      </x:c>
      <x:c r="F723" s="34" t="str">
        <x:v>Reed Hastings ve Erin Meyer</x:v>
      </x:c>
      <x:c r="G723" s="34" t="str">
        <x:v>2020</x:v>
      </x:c>
      <x:c r="H723" s="37" t="str">
        <x:v>Kural Kitabını Yırtmak</x:v>
      </x:c>
      <x:c r="I723" s="37" t="str">
        <x:v>Netflix'in sırrı kuralsızlık değil, kuralların yerine yüksek yetenek ve dürüstlüğü koymaktı.</x:v>
      </x:c>
      <x:c r="J723" s="37" t="str">
        <x:v>Netflix'in kurucusu Reed Hastings, çoğu şirketin büyüdükçe daha fazla kural, onay ve süreç eklediğini; oysa bunun en yetenekli çalışanları boğduğunu fark etti. Hastings ve yazar Erin Meyer'e göre Netflix tersini denedi: harcama politikalarını, izin kurallarını ve karmaşık onay süreçlerini büyük ölçüde kaldırdı; çalışanlara 'Netflix'in çıkarına en iyi olduğunu düşündüğün gibi davran' dedi. Ama bu özgürlük ancak bir koşulla işledi: çok yüksek 'yetenek yoğunluğu' ve radikal dürüstlük. Şirket vasat performansı cömert kıdem tazminatıyla uğurluyor, karşılığında kalanlara olağanüstü bir özgürlük ve sorumluluk veriyordu; özgürlük ve sorumluluk aynı madalyonun iki yüzüydü. ##Hastings'e göre kuralları kaldırmak ancak yüksek yetenek ve açık geri bildirimle birlikte işe yarar; aksi halde kaos olur. Özgürlük bir ödül değil, güvenilen olgun ekiplerin taşıyabildiği bir sorumluluktu.## $$Özgürlük tek başına değil, yüksek yetenek ve dürüst geri bildirimle birleştiğinde güçlenir; kuralsızlık ancak sorumlulukla mümkündür.$$ &amp;&amp;Daha fazla kural koymak yerine, ekibinde ya da hayatında hangi süreci güvenle kaldırabilirdin?&amp;&amp;</x:v>
      </x:c>
      <x:c r="K723" s="37" t="str">
        <x:v>Daha fazla kural koymak yerine, ekibinde ya da hayatında hangi süreci güvenle kaldırabilirdin?</x:v>
      </x:c>
      <x:c r="L723" s="37" t="str">
        <x:v>Netflix'in sırrı kuralsızlık değil, kuralların yerine yüksek yetenek ve dürüstlüğü koymaktı.</x:v>
      </x:c>
      <x:c r="M723" s="37" t="str">
        <x:v>Netflix'in kurucusu Reed Hastings, çoğu şirketin büyüdükçe daha fazla kural, onay ve süreç eklediğini; oysa bunun en yetenekli çalışanları boğduğunu fark etti. Hastings ve yazar Erin Meyer'e göre Netflix tersini denedi: harcama politikalarını, izin kurallarını ve karmaşık onay süreçlerini büyük ölçüde kaldırdı; çalışanlara 'Netflix'in çıkarına en iyi olduğunu düşündüğün gibi davran' dedi. Hastings'e göre kuralları kaldırmak ancak yüksek yetenek ve açık geri bildirimle birlikte işe yarar; aksi halde kaos olur. Özgürlük bir ödül değil, güvenilen olgun ekiplerin taşıyabildiği bir sorumluluktu.</x:v>
      </x:c>
      <x:c r="N723" s="37" t="str">
        <x:v>Daha fazla kural koymak yerine, ekibinde ya da hayatında hangi süreci güvenle kaldırabilirdin?</x:v>
      </x:c>
      <x:c r="O723" s="37" t="str">
        <x:v>Kural değil, yetenek ve dürüstlük</x:v>
      </x:c>
    </x:row>
    <x:row r="724" ht="20" customHeight="1">
      <x:c r="A724" s="33" t="n">
        <x:v>1781</x:v>
      </x:c>
      <x:c r="B724" s="34" t="str">
        <x:v>2</x:v>
      </x:c>
      <x:c r="C724" s="34" t="str">
        <x:v>Liderlik</x:v>
      </x:c>
      <x:c r="D724" s="34" t="str">
        <x:v>Liderlik</x:v>
      </x:c>
      <x:c r="E724" s="34" t="str">
        <x:v>Bad Blood</x:v>
      </x:c>
      <x:c r="F724" s="34" t="str">
        <x:v>John Carreyrou</x:v>
      </x:c>
      <x:c r="G724" s="34" t="str">
        <x:v>2018</x:v>
      </x:c>
      <x:c r="H724" s="37" t="str">
        <x:v>Kanla Kurulan Bir Yalan</x:v>
      </x:c>
      <x:c r="I724" s="37" t="str">
        <x:v>Theranos'un en güçlü ürünü çalışan bir cihaz değil, kimsenin sorgulamaya cesaret edemediği bir hikâyeydi.</x:v>
      </x:c>
      <x:c r="J724" s="37" t="str">
        <x:v>Theranos, tek bir damla kanla yüzlerce testi yapabildiğini iddia eden bir sağlık girişimiydi; kurucusu Elizabeth Holmes, güçlü bir vizyon ve etkileyici bir sahne varlığıyla milyarlarca dolar topladı. Gazeteci John Carreyrou'nun anlattığına göre asıl sorun, teknolojinin gerçekte çalışmamasıydı; şirket içindeki mühendisler cihazın güvenilir olmadığını biliyor ama itiraz edenler susturuluyor, işten çıkarılıyor ya da yasal tehditlerle korkutuluyordu. Theranos, dışarıya kusursuz bir başarı hikâyesi sunarken içeride kötü sonuçları gizliyor ve gerçek hasta kanlarını güvenilmez cihazlarla test ediyordu; şirketin en büyük ürünü bir teknoloji değil, herkesin sorgulamaktan çekindiği bir anlatıydı. ##Carreyrou'ya göre balon, ancak birkaç çalışanın büyük risk alıp gerçeği dışarıya taşımasıyla patladı; parlak bir hikâye, kanıtla yüzleşene kadar herkesi susturabilmişti.## $$Etkileyici bir vizyon, kanıtın yerini tutmaz; sorgulanamayan bir başarı hikâyesi çoğu zaman en tehlikeli olanıdır.$$ &amp;&amp;Etrafında herkesin övdüğü ama kimsenin kanıtını sormaya cesaret edemediği bir 'başarı hikâyesi' var mı?&amp;&amp;</x:v>
      </x:c>
      <x:c r="K724" s="37" t="str">
        <x:v>Etrafında herkesin övdüğü ama kimsenin kanıtını sormaya cesaret edemediği bir 'başarı hikâyesi' var mı?</x:v>
      </x:c>
      <x:c r="L724" s="37" t="str">
        <x:v>Theranos'un en güçlü ürünü çalışan bir cihaz değil, kimsenin sorgulamaya cesaret edemediği bir hikâyeydi.</x:v>
      </x:c>
      <x:c r="M724" s="37" t="str">
        <x:v>Theranos, tek bir damla kanla yüzlerce testi yapabildiğini iddia eden bir sağlık girişimiydi; kurucusu Elizabeth Holmes, güçlü bir vizyon ve etkileyici bir sahne varlığıyla milyarlarca dolar topladı. Gazeteci John Carreyrou'nun anlattığına göre asıl sorun, teknolojinin gerçekte çalışmamasıydı; şirket içindeki mühendisler cihazın güvenilir olmadığını biliyor ama itiraz edenler susturuluyor, işten çıkarılıyor ya da yasal tehditlerle korkutuluyordu. Carreyrou'ya göre balon, ancak birkaç çalışanın büyük risk alıp gerçeği dışarıya taşımasıyla patladı; parlak bir hikâye, kanıtla yüzleşene kadar herkesi susturabilmişti.</x:v>
      </x:c>
      <x:c r="N724" s="37" t="str">
        <x:v>Etrafında herkesin övdüğü ama kimsenin kanıtını sormaya cesaret edemediği bir 'başarı hikâyesi' var mı?</x:v>
      </x:c>
      <x:c r="O724" s="37" t="str">
        <x:v>Parlak vizyon, eksik kanıt</x:v>
      </x:c>
    </x:row>
    <x:row r="725" ht="20" customHeight="1">
      <x:c r="A725" s="33" t="n">
        <x:v>1782</x:v>
      </x:c>
      <x:c r="B725" s="34" t="str">
        <x:v>2</x:v>
      </x:c>
      <x:c r="C725" s="34" t="str">
        <x:v>Liderlik</x:v>
      </x:c>
      <x:c r="D725" s="34" t="str">
        <x:v>Liderlik</x:v>
      </x:c>
      <x:c r="E725" s="34" t="str">
        <x:v>The Hard Thing About Hard Things</x:v>
      </x:c>
      <x:c r="F725" s="34" t="str">
        <x:v>Ben Horowitz</x:v>
      </x:c>
      <x:c r="G725" s="34" t="str">
        <x:v>2014</x:v>
      </x:c>
      <x:c r="H725" s="37" t="str">
        <x:v>Kolay Cevabı Olmayan Kararlar</x:v>
      </x:c>
      <x:c r="I725" s="37" t="str">
        <x:v>Horowitz'e göre zor olan şey doğru cevabı bulmak değil, cevabın olmadığı yerde karar vermekti.</x:v>
      </x:c>
      <x:c r="J725" s="37" t="str">
        <x:v>Girişimci Ben Horowitz, kurduğu şirketin internet krizinde iflasın eşiğine geldiği dönemi anlatır; hisse değeri dibe vurmuş, para tükeniyordu ve hiçbir yönetim kitabı ona ne yapacağını söylemiyordu. Horowitz'e göre liderlik kitapları hep 'iyi' durumlara dair tavsiye verir; oysa gerçek zorluk, iki kötü seçenek arasında karar vermek zorunda kalmaktır: iyi arkadaşını işten çıkarmak mı, yoksa tüm şirketi riske atmak mı? O, bu 'kolay cevabı olmayan' anlarda dürüst olmayı seçti; çalışanlara durumun gerçek kötülüğünü açıkça anlattı, paniklemek yerine bir sonraki hamleye odaklandı ve şirketi birkaç kez yeniden icat etti. Sırrın formül değil, en kötü haberle bile yüzleşme cesareti olduğunu savundu. ##Horowitz'e göre başarılı liderleri ayıran şey doğru cevapları bilmeleri değil, cevabın olmadığı anlarda bile karar verip sorumluluğu taşıyabilmeleridir; asıl beceri kolay reçeteler değil, belirsizlikte ayakta kalmaktır.## $$Gerçek liderlik, hazır cevapları uygulamak değil, kolay cevabı olmayan kararların ağırlığını taşıyabilmektir.$$ &amp;&amp;İki kötü seçenek arasında sıkıştığın bir kararda, dürüstçe yüzleşmekten kaçındığın gerçek ne?&amp;&amp;</x:v>
      </x:c>
      <x:c r="K725" s="37" t="str">
        <x:v>İki kötü seçenek arasında sıkıştığın bir kararda, dürüstçe yüzleşmekten kaçındığın gerçek ne?</x:v>
      </x:c>
      <x:c r="L725" s="37" t="str">
        <x:v>Horowitz'e göre zor olan şey doğru cevabı bulmak değil, cevabın olmadığı yerde karar vermekti.</x:v>
      </x:c>
      <x:c r="M725" s="37" t="str">
        <x:v>Horowitz'e göre liderlik kitapları hep 'iyi' durumlara dair tavsiye verir; oysa gerçek zorluk, iki kötü seçenek arasında karar vermek zorunda kalmaktır: iyi arkadaşını işten çıkarmak mı, yoksa tüm şirketi riske atmak mı? Horowitz'e göre başarılı liderleri ayıran şey doğru cevapları bilmeleri değil, cevabın olmadığı anlarda bile karar verip sorumluluğu taşıyabilmeleridir; asıl beceri kolay reçeteler değil, belirsizlikte ayakta kalmaktır.</x:v>
      </x:c>
      <x:c r="N725" s="37" t="str">
        <x:v>İki kötü seçenek arasında sıkıştığın bir kararda, dürüstçe yüzleşmekten kaçındığın gerçek ne?</x:v>
      </x:c>
      <x:c r="O725" s="37" t="str">
        <x:v>Hazır reçete değil, belirsizlikte karar</x:v>
      </x:c>
    </x:row>
    <x:row r="726" ht="20" customHeight="1">
      <x:c r="A726" s="33" t="n">
        <x:v>1783</x:v>
      </x:c>
      <x:c r="B726" s="34" t="str">
        <x:v>F5</x:v>
      </x:c>
      <x:c r="C726" s="34" t="str">
        <x:v>Finans</x:v>
      </x:c>
      <x:c r="D726" s="34" t="str">
        <x:v>Finans</x:v>
      </x:c>
      <x:c r="E726" s="34" t="str">
        <x:v>The Intelligent Investor</x:v>
      </x:c>
      <x:c r="F726" s="34" t="str">
        <x:v>Benjamin Graham</x:v>
      </x:c>
      <x:c r="G726" s="34" t="str">
        <x:v>1949</x:v>
      </x:c>
      <x:c r="H726" s="37" t="str">
        <x:v>Bay Piyasa ile Ortaklık</x:v>
      </x:c>
      <x:c r="I726" s="37" t="str">
        <x:v>Piyasa sana hizmet etsin diye vardır, yol göstersin diye değil.</x:v>
      </x:c>
      <x:c r="J726" s="37" t="str">
        <x:v>Benjamin Graham 1949'da yatırımcılara tuhaf bir iş ortağı hayal ettirir: Bay Piyasa. Bu ortak her sabah kapını çalar ve elindeki hisse için sana bir fiyat önerir. Sorun şu ki Bay Piyasa'nın ruh hali bozuktur; bazı günler coşkuya kapılıp fahiş fiyatlar teklif eder, bazı günler paniğe düşüp aynı payı yok pahasına satmaya çalışır. Önerileri işletmenin gerçek değerini değil, kendi duygularını yansıtır. Graham'ın asıl vurgusu şudur: bu ortağa itaat etmek zorunda değilsin. Teklifini görmezden gelebilir, fiyat saçmalaştığında ise bundan faydalanabilirsin; piyasa sana hizmet etmek için vardır, sana yol göstermek için değil. ##Bu küçük benzetme değer yatırımcılığının temel taşına dönüştü; Warren Buffett dahil kuşaklar boyu yatırımcı, fiyat dalgalanmalarını bir tehdit olarak değil, sabırlı olanın lehine çalışan bir fırsat olarak okumayı bu hikâyeden öğrendi.## $$Yatırımda sonucu belirleyen çoğu zaman zekâ değil mizaçtır; kalabalığın duygusuna değil, kendi değer hesabına göre davran.$$ &amp;&amp;Son yatırım kararında işin değerini mi inceledin, yoksa kalabalığın o günkü ruh halini mi satın aldın?&amp;&amp;</x:v>
      </x:c>
      <x:c r="K726" s="37" t="str">
        <x:v>Son yatırım kararında işin değerini mi inceledin, yoksa kalabalığın o günkü ruh halini mi satın aldın?</x:v>
      </x:c>
      <x:c r="L726" s="37" t="str">
        <x:v>Piyasa sana hizmet etsin diye vardır, yol göstersin diye değil.</x:v>
      </x:c>
      <x:c r="M726" s="37" t="str">
        <x:v>Benjamin Graham 1949'da yatırımcılara tuhaf bir iş ortağı hayal ettirir: Bay Piyasa. Bu ortak her sabah kapını çalar ve elindeki hisse için sana bir fiyat önerir. Bu küçük benzetme değer yatırımcılığının temel taşına dönüştü; Warren Buffett dahil kuşaklar boyu yatırımcı, fiyat dalgalanmalarını bir tehdit olarak değil, sabırlı olanın lehine çalışan bir fırsat olarak okumayı bu hikâyeden öğrendi.</x:v>
      </x:c>
      <x:c r="N726" s="37" t="str">
        <x:v>Son yatırım kararında işin değerini mi inceledin, yoksa kalabalığın o günkü ruh halini mi satın aldın?</x:v>
      </x:c>
      <x:c r="O726" s="37" t="str">
        <x:v>Fiyat her sabah değişir; değer öyle kolay değişmez.</x:v>
      </x:c>
    </x:row>
    <x:row r="727" ht="20" customHeight="1">
      <x:c r="A727" s="33" t="n">
        <x:v>1784</x:v>
      </x:c>
      <x:c r="B727" s="34" t="str">
        <x:v>F5</x:v>
      </x:c>
      <x:c r="C727" s="34" t="str">
        <x:v>Sağlık</x:v>
      </x:c>
      <x:c r="D727" s="34" t="str">
        <x:v>Sağlık</x:v>
      </x:c>
      <x:c r="E727" s="34" t="str">
        <x:v>Being Mortal</x:v>
      </x:c>
      <x:c r="F727" s="34" t="str">
        <x:v>Atul Gawande</x:v>
      </x:c>
      <x:c r="G727" s="34" t="str">
        <x:v>2014</x:v>
      </x:c>
      <x:c r="H727" s="37" t="str">
        <x:v>Sonuna Kadar İyi Yaşamak</x:v>
      </x:c>
      <x:c r="I727" s="37" t="str">
        <x:v>Hedef iyi bir ölüm değil, sonuna kadar iyi bir yaşamdır.</x:v>
      </x:c>
      <x:c r="J727" s="37" t="str">
        <x:v>Cerrah Atul Gawande, modern tıbbın ölümü bir yenilgi gibi gördüğünü fark eder: hastaneler ömrü uzatmaya kilitlenmiştir, ama o ömrün içinde nasıl yaşanacağını neredeyse hiç sormaz. Kitapta aktardığı bir çalışmada, ileri evre akciğer kanseri hastalarının bir bölümü standart tedaviyle birlikte erken palyatif bakım alır; bu hastalar daha az agresif müdahale görür, daha az acı çeker ve ortalamada bir miktar daha uzun yaşar. Gawande'ye göre dönüm noktası basit sorulardır: ‘Senin için vazgeçilmez olan ne?’, ‘En çok neyden korkuyorsun?’, ‘İyi bir gün senin için nasıl görünür?’ Bu sorular tedavi kararlarını hastanın kendi öncelikleriyle hizalar. ##Kitap yayımlandıktan sonra yaşam sonu konuşmaları tıp eğitiminin ve aile sohbetlerinin gündemine girdi; amaç, ne pahasına olursa olsun daha uzun yaşamak değil, kişinin kendi ölçütleriyle sonuna kadar iyi yaşaması olarak yeniden tanımlandı.## $$İyi bir yaşam sonu, seçenek listeleriyle değil, kişinin nelerden vazgeçemeyeceğini dürüstçe konuşmakla başlar.$$ &amp;&amp;Senin için ‘iyi bir gün’ nedir ve bunu yakınlarına hiç söyledin mi?&amp;&amp;</x:v>
      </x:c>
      <x:c r="K727" s="37" t="str">
        <x:v>Senin için ‘iyi bir gün’ nedir ve bunu yakınlarına hiç söyledin mi?</x:v>
      </x:c>
      <x:c r="L727" s="37" t="str">
        <x:v>Hedef iyi bir ölüm değil, sonuna kadar iyi bir yaşamdır.</x:v>
      </x:c>
      <x:c r="M727" s="37" t="str">
        <x:v>Cerrah Atul Gawande, modern tıbbın ölümü bir yenilgi gibi gördüğünü fark eder: hastaneler ömrü uzatmaya kilitlenmiştir, ama o ömrün içinde nasıl yaşanacağını neredeyse hiç sormaz. Kitap yayımlandıktan sonra yaşam sonu konuşmaları tıp eğitiminin ve aile sohbetlerinin gündemine girdi; amaç, ne pahasına olursa olsun daha uzun yaşamak değil, kişinin kendi ölçütleriyle sonuna kadar iyi yaşaması olarak yeniden tanımlandı.</x:v>
      </x:c>
      <x:c r="N727" s="37" t="str">
        <x:v>Senin için ‘iyi bir gün’ nedir ve bunu yakınlarına hiç söyledin mi?</x:v>
      </x:c>
      <x:c r="O727" s="37" t="str">
        <x:v>Daha çok tedavi, her zaman daha çok yaşam demek değildir.</x:v>
      </x:c>
    </x:row>
    <x:row r="728" ht="20" customHeight="1">
      <x:c r="A728" s="33" t="n">
        <x:v>1785</x:v>
      </x:c>
      <x:c r="B728" s="34" t="str">
        <x:v>F5</x:v>
      </x:c>
      <x:c r="C728" s="34" t="str">
        <x:v>İletişim</x:v>
      </x:c>
      <x:c r="D728" s="34" t="str">
        <x:v>İletişim</x:v>
      </x:c>
      <x:c r="E728" s="34" t="str">
        <x:v>Nonviolent Communication</x:v>
      </x:c>
      <x:c r="F728" s="34" t="str">
        <x:v>Marshall B. Rosenberg</x:v>
      </x:c>
      <x:c r="G728" s="34" t="str">
        <x:v>1999</x:v>
      </x:c>
      <x:c r="H728" s="37" t="str">
        <x:v>Suçlamanın Altındaki İhtiyaç</x:v>
      </x:c>
      <x:c r="I728" s="37" t="str">
        <x:v>Her eleştiri, karşılanmamış bir ihtiyacın kılık değiştirmiş hâlidir.</x:v>
      </x:c>
      <x:c r="J728" s="37" t="str">
        <x:v>Klinik psikolog Marshall Rosenberg, on yıllar boyunca okullarda, hapishanelerde ve çatışma bölgelerinde arabuluculuk yaparken hep aynı deseni görür: insanlar birbirine ihtiyaçlarını değil, yargılarını fırlatır. ‘Sen hep geç kalıyorsun, beni umursamıyorsun’ gibi bir cümle karşı tarafı anında savunmaya iter ve tartışma kilitlenir. Rosenberg bu tür cümleleri dört adımla yeniden kurar: gözlem, duygu, ihtiyaç ve açık bir rica. ‘Son üç buluşmaya yarım saat geç geldin; kendimi önemsiz hissediyorum çünkü zamanıma değer verilmesine ihtiyacım var. Gelecek sefer saatinde gelebilir misin?’ Aynı mesaj, ama artık suçlayan değil bağ kuran bir dil. ##Rosenberg'in Şiddetsiz İletişim modeli dünyanın dört bir yanında sınıflara, şirketlere ve barış görüşmelerine taşındı; özü tek cümleye sığar: her eleştirinin altında karşılanmamış bir ihtiyaç yatar ve onu adlandırmak çatışmayı yumuşatır.## $$Yargı dilini bırakıp gözlem, duygu, ihtiyaç ve rica ile konuşmak, en gergin ilişkide bile bir kapı aralar.$$ &amp;&amp;Son tartışmanda karşı tarafa fırlattığın yargının altında hangi karşılanmamış ihtiyaç vardı?&amp;&amp;</x:v>
      </x:c>
      <x:c r="K728" s="37" t="str">
        <x:v>Son tartışmanda karşı tarafa fırlattığın yargının altında hangi karşılanmamış ihtiyaç vardı?</x:v>
      </x:c>
      <x:c r="L728" s="37" t="str">
        <x:v>Her eleştiri, karşılanmamış bir ihtiyacın kılık değiştirmiş hâlidir.</x:v>
      </x:c>
      <x:c r="M728" s="37" t="str">
        <x:v>‘Sen hep geç kalıyorsun, beni umursamıyorsun’ gibi bir cümle karşı tarafı anında savunmaya iter ve tartışma kilitlenir. Rosenberg bu tür cümleleri dört adımla yeniden kurar: gözlem, duygu, ihtiyaç ve açık bir rica. Rosenberg'in Şiddetsiz İletişim modeli dünyanın dört bir yanında sınıflara, şirketlere ve barış görüşmelerine taşındı; özü tek cümleye sığar: her eleştirinin altında karşılanmamış bir ihtiyaç yatar ve onu adlandırmak çatışmayı yumuşatır.</x:v>
      </x:c>
      <x:c r="N728" s="37" t="str">
        <x:v>Son tartışmanda karşı tarafa fırlattığın yargının altında hangi karşılanmamış ihtiyaç vardı?</x:v>
      </x:c>
      <x:c r="O728" s="37" t="str">
        <x:v>Suçlama duvar örer; adlandırılan ihtiyaç köprü kurar.</x:v>
      </x:c>
    </x:row>
    <x:row r="729" ht="20" customHeight="1">
      <x:c r="A729" s="33" t="n">
        <x:v>1786</x:v>
      </x:c>
      <x:c r="B729" s="34" t="str">
        <x:v>F5</x:v>
      </x:c>
      <x:c r="C729" s="34" t="str">
        <x:v>Verimlilik</x:v>
      </x:c>
      <x:c r="D729" s="34" t="str">
        <x:v>Verimlilik</x:v>
      </x:c>
      <x:c r="E729" s="34" t="str">
        <x:v>Four Thousand Weeks</x:v>
      </x:c>
      <x:c r="F729" s="34" t="str">
        <x:v>Oliver Burkeman</x:v>
      </x:c>
      <x:c r="G729" s="34" t="str">
        <x:v>2021</x:v>
      </x:c>
      <x:c r="H729" s="37" t="str">
        <x:v>Dört Bin Haftalık Ömür</x:v>
      </x:c>
      <x:c r="I729" s="37" t="str">
        <x:v>Ortalama bir ömür sadece dört bin haftadır.</x:v>
      </x:c>
      <x:c r="J729" s="37" t="str">
        <x:v>Gazeteci Oliver Burkeman yıllarca verimlilik köşesi yazdı, her tekniği kendi üzerinde denedi ve sonunda rahatsız edici bir hesapla yüzleşti: ortalama bir insan ömrü yaklaşık dört bin haftadır. Daha rahatsız edici olanı ‘verimlilik tuzağı’ydı: e-postaları hızlandırdıkça daha çok e-posta gelir, listeyi boşalttıkça liste anında yeniden dolar; daha verimli olmak insanı rahatlatmaz, aksine üzerine daha çok iş çeker. Burkeman'a göre çıkış, her şeye yetişme hayalini bırakmaktır: sınırlı bir varlık olduğunu kabul ettiğinde, önemli birkaç işe gerçekten yer açmak ve gerisini bilinçli olarak ihmal etmek mümkün hâle gelir. ##Kitap, verimlilik kültürünün tam ortasında bir fren etkisi yarattı ve milyonlarca okura zaman yönetiminin asıl sorusunu hatırlattı: her şeyi nasıl sığdırırım değil, neyi bilerek ve gönül rahatlığıyla dışarıda bırakacağım.## $$Zamanı yönetmenin özü seçim yapmaktır; bilinçli vazgeçiş, dağınık bir meşguliyetten çok daha fazlasını üretir.$$ &amp;&amp;Bu hafta neye açıkça ve bilerek ‘hayır’ diyeceksin?&amp;&amp;</x:v>
      </x:c>
      <x:c r="K729" s="37" t="str">
        <x:v>Bu hafta neye açıkça ve bilerek ‘hayır’ diyeceksin?</x:v>
      </x:c>
      <x:c r="L729" s="37" t="str">
        <x:v>Ortalama bir ömür sadece dört bin haftadır.</x:v>
      </x:c>
      <x:c r="M729" s="37" t="str">
        <x:v>Gazeteci Oliver Burkeman yıllarca verimlilik köşesi yazdı, her tekniği kendi üzerinde denedi ve sonunda rahatsız edici bir hesapla yüzleşti: ortalama bir insan ömrü yaklaşık dört bin haftadır. Kitap, verimlilik kültürünün tam ortasında bir fren etkisi yarattı ve milyonlarca okura zaman yönetiminin asıl sorusunu hatırlattı: her şeyi nasıl sığdırırım değil, neyi bilerek ve gönül rahatlığıyla dışarıda bırakacağım.</x:v>
      </x:c>
      <x:c r="N729" s="37" t="str">
        <x:v>Bu hafta neye açıkça ve bilerek ‘hayır’ diyeceksin?</x:v>
      </x:c>
      <x:c r="O729" s="37" t="str">
        <x:v>Daha hızlı olmak, daha az meşgul olmak anlamına gelmez.</x:v>
      </x:c>
    </x:row>
    <x:row r="730" ht="20" customHeight="1">
      <x:c r="A730" s="33" t="n">
        <x:v>1787</x:v>
      </x:c>
      <x:c r="B730" s="34" t="str">
        <x:v>F5</x:v>
      </x:c>
      <x:c r="C730" s="34" t="str">
        <x:v>Felsefe</x:v>
      </x:c>
      <x:c r="D730" s="34" t="str">
        <x:v>Felsefe</x:v>
      </x:c>
      <x:c r="E730" s="34" t="str">
        <x:v>Tao Te Ching</x:v>
      </x:c>
      <x:c r="F730" s="34" t="str">
        <x:v>Lao Tzu</x:v>
      </x:c>
      <x:c r="G730" s="34" t="str">
        <x:v>-400</x:v>
      </x:c>
      <x:c r="H730" s="37" t="str">
        <x:v>Suyun Sessiz Gücü</x:v>
      </x:c>
      <x:c r="I730" s="37" t="str">
        <x:v>Su kadar yumuşak, kayayı delecek kadar kararlı.</x:v>
      </x:c>
      <x:c r="J730" s="37" t="str">
        <x:v>Yaklaşık iki bin dört yüz yıl önce Çin'de derlenen Tao Te Ching, seksen bir kısa bölümde güce dair alışılmadık bir iddia taşır: dünyada sudan daha yumuşak bir şey yoktur. Metnin ünlü imgesi de buradan gelir: su hiçbir kalıba direnmez, her çukura uyar, en alçak yere akar; yine de sert olanı aşındırmakta hiçbir şey onu geçemez. Vadiyi kaya değil, kayayı delen su biçimlendirir. Aynı düşünce ‘wu wei’ öğretisinde toplanır: zorlamadan eylemek. Bu tembellik değildir; nehrin akışını okumak, doğru anı beklemek ve gücü inatla değil uyumla kullanmak demektir. ##Bu kısacık metin iki bin yılı aşkın süredir liderlikten sanata, stratejiden gündelik yaşama kadar sayısız alana ilham verdi ve bugün de dünyanın en çok çevrilen kitaplarından biri olmayı sürdürüyor.## $$Güç her zaman sertlikte değildir; esneklik ve sabır, katı olanın kıramadığını aşındırarak kazanır.$$ &amp;&amp;Hangi sorununu zorlayarak değil, akışını okuyarak çözebilirsin?&amp;&amp;</x:v>
      </x:c>
      <x:c r="K730" s="37" t="str">
        <x:v>Hangi sorununu zorlayarak değil, akışını okuyarak çözebilirsin?</x:v>
      </x:c>
      <x:c r="L730" s="37" t="str">
        <x:v>Su kadar yumuşak, kayayı delecek kadar kararlı.</x:v>
      </x:c>
      <x:c r="M730" s="37" t="str">
        <x:v>Yaklaşık iki bin dört yüz yıl önce Çin'de derlenen Tao Te Ching, seksen bir kısa bölümde güce dair alışılmadık bir iddia taşır: dünyada sudan daha yumuşak bir şey yoktur. Bu kısacık metin iki bin yılı aşkın süredir liderlikten sanata, stratejiden gündelik yaşama kadar sayısız alana ilham verdi ve bugün de dünyanın en çok çevrilen kitaplarından biri olmayı sürdürüyor.</x:v>
      </x:c>
      <x:c r="N730" s="37" t="str">
        <x:v>Hangi sorununu zorlayarak değil, akışını okuyarak çözebilirsin?</x:v>
      </x:c>
      <x:c r="O730" s="37" t="str">
        <x:v>Sert olan kırılır; yumuşak olan aşındırıp kazanır.</x:v>
      </x:c>
    </x:row>
    <x:row r="731" ht="20" customHeight="1">
      <x:c r="A731" s="33" t="n">
        <x:v>1788</x:v>
      </x:c>
      <x:c r="B731" s="34" t="str">
        <x:v>F6</x:v>
      </x:c>
      <x:c r="C731" s="34" t="str">
        <x:v>Sağlık</x:v>
      </x:c>
      <x:c r="D731" s="34" t="str">
        <x:v>Sağlık</x:v>
      </x:c>
      <x:c r="E731" s="34" t="str">
        <x:v>Why Zebras Don't Get Ulcers</x:v>
      </x:c>
      <x:c r="F731" s="34" t="str">
        <x:v>Robert M. Sapolsky</x:v>
      </x:c>
      <x:c r="G731" s="34" t="str">
        <x:v>1994</x:v>
      </x:c>
      <x:c r="H731" s="37" t="str">
        <x:v>Aslandan Kaçan Zebra</x:v>
      </x:c>
      <x:c r="I731" s="37" t="str">
        <x:v>Zebranın stresi aslan gidince biter; bizimki kafamızda devam eder.</x:v>
      </x:c>
      <x:c r="J731" s="37" t="str">
        <x:v>Serengeti'de bir zebra düşün. Otlarken aniden bir aslan belirir ve zebra canını kurtarmak için koşmaya başlar. Kalbi küt küt atar, kasları yakıta boğulur, sindirimi durur. Bu, milyonlarca yıldır hayatta kalmayı sağlayan mükemmel bir acil durum sistemidir.
Ama önemli olan şu: aslan vazgeçtiğinde her şey biter. Birkaç dakika sonra zebra yeniden sakince otlar; bedeni alarmı kapatmıştır.
##İnsan ise aynı ilkel stres tepkisini bir düşünceyle, saatlerce ve günlerce açık tutabilir.## Sapolsky'nin çarpıcı gözlemi budur: Kira ödemesini, bir sınavı ya da yıllar sonrasını düşünürken bedenimiz sanki bir aslandan kaçıyormuş gibi tepki verir.
Zebra için stres nadir ve kısadır. Bizim içinse kronik hâle gelmiştir. Aynı adrenalin ve kortizol dalgası her gün, hiç durmadan aksa ne olur? Sürekli koşmaya hazırlanan ama hiç koşmayan bir beden yavaş yavaş yıpranır.
İşte Sapolsky'nin kitabının adı da buradan gelir: Zebralar ülser olmaz, çünkü tehlike geçince stresleri de geçer. Biz ise tehlikeyi kafamızda taşımaya devam ederiz.
$$Stres tepkisi kısa süreli tehlike için tasarlandı; onu düşüncelerimizle kronikleştirdiğimizde beden bunun bedelini öder.$$
&amp;&amp;Bugün bedenini alarma geçiren şey gerçek bir aslan mıydı, yoksa yalnızca kafandaki bir düşünce mi?&amp;&amp;</x:v>
      </x:c>
      <x:c r="K731" s="37" t="str">
        <x:v>Bugün bedenini alarma geçiren şey gerçek bir tehlike miydi, yoksa bir düşünce mi?</x:v>
      </x:c>
      <x:c r="L731" s="37" t="str">
        <x:v>Zebranın stresi aslan gidince biter; bizimki kafamızda devam eder.</x:v>
      </x:c>
      <x:c r="M731" s="37" t="str">
        <x:v>Serengeti'de bir zebra aslandan kaçarken kalbi hızlanır, kasları yakıta boğulur; ama aslan vazgeçince birkaç dakikada her şey normale döner. Sapolsky, insanın aynı ilkel stres tepkisini kira, sınav ya da gelecek kaygısıyla saatlerce açık tuttuğunu gösterir. Zebra için stres kısadır; bizde kronikleşir ve beden bunun bedelini öder.</x:v>
      </x:c>
      <x:c r="N731" s="37" t="str">
        <x:v>Bugün bedenini alarma geçiren şey gerçek bir tehlike miydi, yoksa bir düşünce mi?</x:v>
      </x:c>
      <x:c r="O731" s="37" t="str">
        <x:v>Kısa, akut tehlike bedeni korur; sürekli, kronik kaygı onu yıpratır.</x:v>
      </x:c>
    </x:row>
    <x:row r="732" ht="20" customHeight="1">
      <x:c r="A732" s="33" t="n">
        <x:v>1789</x:v>
      </x:c>
      <x:c r="B732" s="34" t="str">
        <x:v>F6</x:v>
      </x:c>
      <x:c r="C732" s="34" t="str">
        <x:v>Sağlık</x:v>
      </x:c>
      <x:c r="D732" s="34" t="str">
        <x:v>Sağlık</x:v>
      </x:c>
      <x:c r="E732" s="34" t="str">
        <x:v>Why Zebras Don't Get Ulcers</x:v>
      </x:c>
      <x:c r="F732" s="34" t="str">
        <x:v>Robert M. Sapolsky</x:v>
      </x:c>
      <x:c r="G732" s="34" t="str">
        <x:v>1994</x:v>
      </x:c>
      <x:c r="H732" s="37" t="str">
        <x:v>Bedenin Yakıtı Yanlış Yere Akınca</x:v>
      </x:c>
      <x:c r="I732" s="37" t="str">
        <x:v>Enerjiyi kaslara akıtan sistem sürekli açık kalınca bedeni onarım için kaynaksız bırakır.</x:v>
      </x:c>
      <x:c r="J732" s="37" t="str">
        <x:v>Stres tepkisi aslında dâhice bir kaynak yönetimidir. Beyin tehlikeyi algıladığı an bir komut zinciri başlar: adrenalin ve kortizol salgılanır, kalp hızlanır, şeker ve yağ kana pompalanır, kaslar hazır hâle gelir.
Aynı anda beden acil olmayan her şeyi askıya alır. Sindirim yavaşlar. Büyüme durur. Üreme sistemi beklemeye geçer. Bağışıklık gücü öne çıkan tehdide yönlendirilir. Kısa bir kaçış için bu muhteşemdir; enerjinin tamamı hayatta kalmaya akar.
##Sorun, sistemin haftalarca açık kalmasıdır. O zaman aynı mekanizma korumaktan çıkıp yıkmaya başlar.## Sapolsky bunu tek tek gösterir: kronik yüksek kortizol tansiyonu yükseltir, damarları zorlar, bağışıklığı baskılar, hafızayı bozar ve mide savunmasını zayıflatır.
Yani ülser, kalp hastalığı ya da sık enfeksiyon çoğu zaman doğrudan "stresten" değil, bedeni koruyan sistemin sürekli çalışıp kaynakları yanlış yere akıtmasından doğar. Bugünkü hayatı asıl bozan tehlikeler artık aslanlar değil, bitmeyen küçük baskılardır.
Sapolsky'nin verdiği mesaj karamsar değil: Bu tepki geçici olduğunda hayat kurtarır. Mesele onu sürekli tetikte tutmamayı öğrenmektir.
$$Stres tepkisi seni öldürmez; onu asla kapatmamak öldürür.$$
&amp;&amp;Bedenin sürekli "acil durum" modundaysa, hangi uzun vadeli onarımları erteliyor olabilir?&amp;&amp;</x:v>
      </x:c>
      <x:c r="K732" s="37" t="str">
        <x:v>Bedenin sürekli acil durum modundaysa hangi onarımları erteliyor olabilir?</x:v>
      </x:c>
      <x:c r="L732" s="37" t="str">
        <x:v>Enerjiyi kaslara akıtan sistem sürekli açık kalınca bedeni onarım için kaynaksız bırakır.</x:v>
      </x:c>
      <x:c r="M732" s="37" t="str">
        <x:v>Stres tepkisi zekice bir kaynak yönetimidir: adrenalin ve kortizol enerjiyi kaslara akıtır, sindirim, büyüme ve bağışıklık askıya alınır. Kısa bir kaçış için mükemmeldir. Ama Sapolsky sistem haftalarca açık kalınca aynı mekanizmanın tansiyonu yükselttiğini, bağışıklığı baskıladığını ve mideyi zayıflattığını gösterir. Hastalık çoğu zaman stresten değil, koruyucu sistemin hiç kapanmamasından doğar.</x:v>
      </x:c>
      <x:c r="N732" s="37" t="str">
        <x:v>Bedenin sürekli acil durum modundaysa hangi onarımları erteliyor olabilir?</x:v>
      </x:c>
      <x:c r="O732" s="37" t="str">
        <x:v>Kısa süreli stres kaynağı doğru yere yönlendirir; kronik stres onu tüketir.</x:v>
      </x:c>
    </x:row>
    <x:row r="733" ht="20" customHeight="1">
      <x:c r="A733" s="33" t="n">
        <x:v>1790</x:v>
      </x:c>
      <x:c r="B733" s="34" t="str">
        <x:v>F6</x:v>
      </x:c>
      <x:c r="C733" s="34" t="str">
        <x:v>Sağlık</x:v>
      </x:c>
      <x:c r="D733" s="34" t="str">
        <x:v>Sağlık</x:v>
      </x:c>
      <x:c r="E733" s="34" t="str">
        <x:v>Why Zebras Don't Get Ulcers</x:v>
      </x:c>
      <x:c r="F733" s="34" t="str">
        <x:v>Robert M. Sapolsky</x:v>
      </x:c>
      <x:c r="G733" s="34" t="str">
        <x:v>1994</x:v>
      </x:c>
      <x:c r="H733" s="37" t="str">
        <x:v>Serengeti'de Bir Pavyan Sürüsü</x:v>
      </x:c>
      <x:c r="I733" s="37" t="str">
        <x:v>Alttaki pavyanlar tehlike yokken bile daha yüksek stres hormonu taşıyordu.</x:v>
      </x:c>
      <x:c r="J733" s="37" t="str">
        <x:v>Sapolsky sıradan bir laboratuvar bilimcisi değildi. Otuz yılın yazlarını Doğu Afrika'da, vahşi pavyanlar arasında geçirdi. Nedeni basitti: bu maymunlar, tıpkı insanlar gibi, günün büyük kısmını fiziksel tehlikeyle değil, birbirleriyle uğraşarak geçirir. Yani stresleri sosyaldir.
Sürüde kim kimi ittiriyor, kim kime yem kaptırıyor, kim kimden korkuyor — tüm bunları izledi ve aynı anda hayvanların kanındaki stres hormonlarını ölçtü.
##Bulgu netti: Hiyerarşinin dibindeki pavyanlar, hiçbir aslan onları kovalamasa da dinlenirken bile daha yüksek kortizol taşıyordu.## Sürekli tetikte olmak, taciz edilmek ve kontrolün başkasında olması bedene bir bedel yazıyordu; yüksek tansiyon ve baskılanmış bağışıklık gibi.
Ama Sapolsky basit bir "alttakiler hep kaybeder" tablosu çizmedi. Asıl belirleyici olan salt rütbe değil, o rütbenin nasıl yaşandığıydı: Sürü istikrarlı mı yoksa kaotik mi, bireyin dostları var mı, gerginliğini boşaltacak bir yolu var mı.
Aynı sosyal basınç iki pavyanı çok farklı etkileyebiliyordu. Ders insan için de aynı: Bizi yıpratan çoğu zaman olayın kendisi değil, o olay içindeki yerimizi nasıl deneyimlediğimizdir.
$$Sağlığı belirleyen çoğu zaman hiyerarşideki yerin değil, o yeri nasıl yaşadığındır.$$
&amp;&amp;Kendi "süründe" gerginliğini boşaltabildiğin ve güvendiğin biri var mı?&amp;&amp;</x:v>
      </x:c>
      <x:c r="K733" s="37" t="str">
        <x:v>Kendi çevrende gerginliğini boşaltabildiğin ve güvendiğin biri var mı?</x:v>
      </x:c>
      <x:c r="L733" s="37" t="str">
        <x:v>Alttaki pavyanlar tehlike yokken bile daha yüksek stres hormonu taşıyordu.</x:v>
      </x:c>
      <x:c r="M733" s="37" t="str">
        <x:v>Sapolsky otuz yılın yazlarını vahşi pavyanlar arasında geçirdi, çünkü onların stresi de insanınki gibi sosyaldir. Sürüdeki ilişkileri izleyip kan hormonlarını ölçtü. Hiyerarşinin dibindeki pavyanlar, hiçbir tehlike yokken dinlenirken bile daha yüksek kortizol taşıyordu. Ama belirleyici olan salt rütbe değil, o rütbenin nasıl yaşandığıydı; istikrar, dostluk ve boşalma yolu her şeyi değiştiriyordu.</x:v>
      </x:c>
      <x:c r="N733" s="37" t="str">
        <x:v>Kendi çevrende gerginliğini boşaltabildiğin ve güvendiğin biri var mı?</x:v>
      </x:c>
      <x:c r="O733" s="37" t="str">
        <x:v>Rütbenin kendisi değil, o rütbeyi nasıl yaşadığın sağlığı belirler.</x:v>
      </x:c>
    </x:row>
    <x:row r="734" ht="20" customHeight="1">
      <x:c r="A734" s="33" t="n">
        <x:v>1791</x:v>
      </x:c>
      <x:c r="B734" s="34" t="str">
        <x:v>F6</x:v>
      </x:c>
      <x:c r="C734" s="34" t="str">
        <x:v>Sağlık</x:v>
      </x:c>
      <x:c r="D734" s="34" t="str">
        <x:v>Sağlık</x:v>
      </x:c>
      <x:c r="E734" s="34" t="str">
        <x:v>Why Zebras Don't Get Ulcers</x:v>
      </x:c>
      <x:c r="F734" s="34" t="str">
        <x:v>Robert M. Sapolsky</x:v>
      </x:c>
      <x:c r="G734" s="34" t="str">
        <x:v>1994</x:v>
      </x:c>
      <x:c r="H734" s="37" t="str">
        <x:v>Aynı Elektrik, İki Farklı Sıçan</x:v>
      </x:c>
      <x:c r="I734" s="37" t="str">
        <x:v>Aynı şok, önceden haber verilince çok daha az ülser yapar.</x:v>
      </x:c>
      <x:c r="J734" s="37" t="str">
        <x:v>Klasik bir deney düşün. İki sıçana tıpatıp aynı hafif elektrik şoku, aynı sıklıkta veriliyor. Fiziksel olarak yaşadıkları birebir aynı. Ama aralarında tek bir fark var.
Birinci sıçan, şok gelmeden önce kısa bir uyarı sesi duyuyor; ne zaman geleceğini biliyor. İkincisi ise hiçbir uyarı almıyor; şok her an, rastgele gelebilir.
##Sonuç şaşırtıcıdır: Ne zaman geleceğini bilen sıçan çok daha az ülser geliştirir. Stresi belirleyen tek başına şok değil, öngörülemezliktir.## Sapolsky bu tür deneyleri üst üste koyarak gösterir ki bedenin stres yükünü aynı olay değil, o olayın etrafındaki psikolojik koşullar belirler.
Dört şey her şeyi değiştirir: öngörülebilirlik, kontrol duygusu, gerginliği boşaltacak bir çıkış ve durumun daha kötüye değil iyiye gittiği hissi. Bir sıçana çevirebileceği bir tekerlek verin ya da bir insana "işini ne zaman yapacağına sen karar ver" deyin; aynı yük çok daha az yıpratıcı hâle gelir.
İşte bu yüzden trafikte sıkışmak ile maraton koşmak bedene bambaşka gelir; ikisinde de kalp hızlanır ama yalnızca birinde kontrol sendedir.
$$Bir olayın seni ne kadar yıprattığını çoğu zaman olay değil, ne kadar öngörebildiğin ve kontrol edebildiğin belirler.$$
&amp;&amp;Seni en çok yoran durumda gerçekten çaresiz misin, yoksa küçük bir kontrol alanı yaratabilir misin?&amp;&amp;</x:v>
      </x:c>
      <x:c r="K734" s="37" t="str">
        <x:v>Seni en çok yoran durumda çaresiz misin, yoksa küçük bir kontrol alanı yaratabilir misin?</x:v>
      </x:c>
      <x:c r="L734" s="37" t="str">
        <x:v>Aynı şok, önceden haber verilince çok daha az ülser yapar.</x:v>
      </x:c>
      <x:c r="M734" s="37" t="str">
        <x:v>İki sıçana aynı elektrik şoku veriliyor; tek fark, birinin şoku önceden haber alması. Sonuç çarpıcı: ne zaman geleceğini bilen sıçan çok daha az ülser geliştirir. Sapolsky bununla gösterir ki stresi belirleyen olayın kendisi değil, öngörülebilirlik, kontrol duygusu ve boşalma yoludur. Bu yüzden trafik ile maraton bedene bambaşka gelir; ikisinde de kalp hızlanır ama kontrol farklıdır.</x:v>
      </x:c>
      <x:c r="N734" s="37" t="str">
        <x:v>Seni en çok yoran durumda çaresiz misin, yoksa küçük bir kontrol alanı yaratabilir misin?</x:v>
      </x:c>
      <x:c r="O734" s="37" t="str">
        <x:v>Olayın kendisi değil, öngörülebilirliği ve kontrolü stresi belirler.</x:v>
      </x:c>
    </x:row>
    <x:row r="735" ht="20" customHeight="1">
      <x:c r="A735" s="33" t="n">
        <x:v>1792</x:v>
      </x:c>
      <x:c r="B735" s="34" t="str">
        <x:v>F6</x:v>
      </x:c>
      <x:c r="C735" s="34" t="str">
        <x:v>Sağlık</x:v>
      </x:c>
      <x:c r="D735" s="34" t="str">
        <x:v>Sağlık</x:v>
      </x:c>
      <x:c r="E735" s="34" t="str">
        <x:v>Why Zebras Don't Get Ulcers</x:v>
      </x:c>
      <x:c r="F735" s="34" t="str">
        <x:v>Robert M. Sapolsky</x:v>
      </x:c>
      <x:c r="G735" s="34" t="str">
        <x:v>1994</x:v>
      </x:c>
      <x:c r="H735" s="37" t="str">
        <x:v>Barışı Öğrenen Sürü</x:v>
      </x:c>
      <x:c r="I735" s="37" t="str">
        <x:v>En agresif erkekler ölünce sürünün kültürü kalıcı biçimde barışçıllaştı.</x:v>
      </x:c>
      <x:c r="J735" s="37" t="str">
        <x:v>Sapolsky yıllarca "Orman Sürüsü" adını verdiği bir pavyan grubunu izledi. Her sürü gibi burayı da en agresif, en kabadayı erkekler yönetiyordu; alttakilere hayatı dar ediyorlardı.
Sonra beklenmedik bir şey oldu. Sürünün en saldırgan erkekleri, komşu bir turist lokantasının çöplüğünden bulaşan hastalıklı etle beslenip tüberkülozdan topluca öldü. Geriye daha yumuşak huylu erkekler ve dişiler kaldı.
##Sürünün kültürü değişti: Daha az zorbalık, daha çok tımarlaşma, gerginlik yerine yakınlık. Ve en çarpıcısı, bu barışçıl kültür yıllarca, hatta yeni erkekler dışarıdan katıldıktan sonra bile sürdü.## Dışarıdan gelen sert erkekler bile birkaç ay içinde sürünün sakin tarzını öğreniyordu.
Ölçümler bunu doğruladı: alttaki bireyler artık çok daha düşük stres hormonları taşıyordu; beden yükten kurtulmuştu.
Sapolsky'nin bundan çıkardığı sonuç kitabın en umut veren mesajıdır: Stres kültürü, biyolojik bir kader değildir. Bir grup, hatta bir birey, tepki verme biçimini değiştirebilir — ve bu değişim bedene kadar iner.
$$Stres tepkimiz sabit bir yazgı değildir; bir topluluğun kültürü gibi, o da yeniden öğrenilebilir.$$
&amp;&amp;İçinde bulunduğun grupta gerginliği azaltan bir alışkanlığı sen başlatabilir misin?&amp;&amp;</x:v>
      </x:c>
      <x:c r="K735" s="37" t="str">
        <x:v>İçinde bulunduğun grupta gerginliği azaltan bir alışkanlığı sen başlatabilir misin?</x:v>
      </x:c>
      <x:c r="L735" s="37" t="str">
        <x:v>En agresif erkekler ölünce sürünün kültürü kalıcı biçimde barışçıllaştı.</x:v>
      </x:c>
      <x:c r="M735" s="37" t="str">
        <x:v>Sapolsky "Orman Sürüsü" adlı pavyan grubunu izledi; onu en agresif erkekler yönetiyordu. Bu erkekler bir çöplükten bulaşan tüberkülozdan topluca ölünce, geriye yumuşak huylu bireyler kaldı ve sürünün kültürü kalıcı biçimde barışçıllaştı; dışarıdan gelen sert erkekler bile bu tarzı öğreniyordu. Alttakilerin stres hormonları düştü. Ders: stres kültürü kader değildir, yeniden öğrenilebilir.</x:v>
      </x:c>
      <x:c r="N735" s="37" t="str">
        <x:v>İçinde bulunduğun grupta gerginliği azaltan bir alışkanlığı sen başlatabilir misin?</x:v>
      </x:c>
      <x:c r="O735" s="37" t="str">
        <x:v>Stres tepkisi sabit bir biyoloji değil, değiştirilebilir bir kültürdür.</x:v>
      </x:c>
    </x:row>
    <x:row r="736" ht="20" customHeight="1">
      <x:c r="A736" s="33" t="n">
        <x:v>1793</x:v>
      </x:c>
      <x:c r="B736" s="34" t="str">
        <x:v>F7</x:v>
      </x:c>
      <x:c r="C736" s="34" t="str">
        <x:v>Finans</x:v>
      </x:c>
      <x:c r="D736" s="34" t="str">
        <x:v>Finans</x:v>
      </x:c>
      <x:c r="E736" s="34" t="str">
        <x:v>The Intelligent Investor</x:v>
      </x:c>
      <x:c r="F736" s="34" t="str">
        <x:v>Benjamin Graham</x:v>
      </x:c>
      <x:c r="G736" s="34" t="str">
        <x:v>1949</x:v>
      </x:c>
      <x:c r="H736" s="37" t="str">
        <x:v>Kapını Her Sabah Çalan Ortak</x:v>
      </x:c>
      <x:c r="I736" s="37" t="str">
        <x:v>Piyasa sana hizmet etsin diye vardır, yol göstersin diye değil.</x:v>
      </x:c>
      <x:c r="J736" s="37" t="str">
        <x:v>Bir işi yarı yarıya bir ortakla kurduğunu düşün. Adı Bay Piyasa. Diğer ortaklardan tek farkı var: her sabah kapını çalar ve elindeki payı ya senden almak ya da sana satmak için bir fiyat söyler.
Sorun şu ki Bay Piyasa'nın ruh hali dengesizdir. Bazı sabahlar geleceğe dair coşkuyla dolar ve fahiş bir fiyat teklif eder. Başka sabahlar paniğe kapılır, her şeyin batacağını sanır ve aynı payı yok pahasına elden çıkarmaya çalışır.
##Bay Piyasa'nın sana söylediği fiyat, işin gerçek değerini değil, o günkü ruh halini yansıtır.##
İşte Benjamin Graham'ın 1949'da yatırımcılara öğrettiği kritik ayrım budur. Çünkü bir hissenin iki ayrı yüzü vardır ve onları karıştırmak en pahalı hatadır:
~~Fiyat: Bay Piyasa'nın her sabah bağırdığı, duygularıyla zıplayan rakam. :: Değer: İşletmenin gerçekte ne kazandığı; yavaş, sabırlı, kolay kolay değişmeyen gerçek.~~
Graham'ın vurgusu nettir: bu ortağa itaat etmek zorunda değilsin. Teklifini duymazdan gelebilirsin. Ama fiyat gerçek değerin çok altına düştüğünde, işte o zaman Bay Piyasa'nın paniği senin fırsatına dönüşür. Warren Buffett dahil kuşaklar boyu yatırımcı bunu tam da bu benzetmeden öğrendi.
$$Piyasa sana hizmet etmek için vardır, sana yol göstermek için değil; fiyatı sat, değeri satın al.$$
&amp;&amp;Son yatırım kararında işin değerini mi incelemiştin, yoksa o günkü kalabalığın ruh halini mi satın almıştın?&amp;&amp;</x:v>
      </x:c>
      <x:c r="K736" s="37" t="str">
        <x:v>Son yatırım kararında değeri mi incelemiştin, kalabalığın ruh halini mi satın almıştın?</x:v>
      </x:c>
      <x:c r="L736" s="37" t="str">
        <x:v>Piyasa sana hizmet etsin diye vardır, yol göstersin diye değil.</x:v>
      </x:c>
      <x:c r="M736" s="37" t="str">
        <x:v>Benjamin Graham yatırımcılara Bay Piyasa'yı hayal ettirir: her sabah kapını çalıp bir fiyat söyleyen dengesiz bir ortak. Bazı gün coşkuyla fahiş fiyat verir, bazı gün panikle her şeyi yok pahasına satmak ister. Verdiği rakam işin değerini değil ruh halini yansıtır. Ders: fiyat duygularla zıplar, değer sabittir; panik anını fırsata çevir.</x:v>
      </x:c>
      <x:c r="N736" s="37" t="str">
        <x:v>Son yatırım kararında değeri mi incelemiştin, kalabalığın ruh halini mi satın almıştın?</x:v>
      </x:c>
      <x:c r="O736" s="37" t="str">
        <x:v>Fiyat her sabah değişir; değer öyle kolay değişmez.</x:v>
      </x:c>
    </x:row>
    <x:row r="737" ht="20" customHeight="1">
      <x:c r="A737" s="33" t="n">
        <x:v>1794</x:v>
      </x:c>
      <x:c r="B737" s="34" t="str">
        <x:v>C1</x:v>
      </x:c>
      <x:c r="C737" s="34" t="str">
        <x:v>Liderlik</x:v>
      </x:c>
      <x:c r="D737" s="34" t="str">
        <x:v>Liderlik</x:v>
      </x:c>
      <x:c r="E737" s="34" t="str">
        <x:v>Delivering Happiness</x:v>
      </x:c>
      <x:c r="F737" s="34" t="str">
        <x:v>Tony Hsieh</x:v>
      </x:c>
      <x:c r="G737" s="34" t="str">
        <x:v>2010</x:v>
      </x:c>
      <x:c r="H737" s="37" t="str">
        <x:v>Boş Konfeti</x:v>
      </x:c>
      <x:c r="I737" s="37" t="str">
        <x:v>Bir şirket pahalıya satılabilir; asıl soru, insanların orada yaşarken neye dönüştüğüdür.</x:v>
      </x:c>
      <x:c r="J737" s="37" t="str">
        <x:v>LinkExchange satıldığında dışarıdan bakınca hikaye kusursuzdu: genç bir girişimci, hızla büyüyen bir internet şirketi ve Microsoft'a yapılan büyük bir satış. Masada para vardı, gazetelerde başarı vardı, kutlama için gereken her şey vardı.
Ama Tony Hsieh'in hafızasında kalan şey yalnızca rakam değildi. Şirket büyürken ofisin havası değişmişti. İlk günlerdeki merak ve oyun duygusu yerini, cuma gününü bekleyen insanlara bırakmıştı. İnsanlar kazanıyordu ama eskisi kadar canlı görünmüyordu.
##Kültür, hesap tablosunda görünmeyen ama her sabah kapıdan içeri giren asıl üründür.## Hsieh için LinkExchange'in satışı bir zafer kadar uyarıydı: Bir şirket çok değerli olabilir ve yine de içindeki insanlar oraya ait hissetmeyebilir.
Bu farkındalık Zappos'a taşındı. Amaç yalnızca daha çok ayakkabı satmak değildi; insanların müşteriye nasıl davrandığını, birbirine nasıl güvendiğini ve işe neden geldiğini ciddiye alan bir yer kurmaktı.
~~değerlemeyi büyütmek :: insanların kalmak istediği bir yer kurmak~~
$$Başarı yalnızca çıkış rakamı değil, o yola kim olarak devam ettiğindir.$$
&amp;&amp;Bugün büyüttüğün şey, insanlar orada daha canlı kalsın diye mi büyüyor?&amp;&amp;</x:v>
      </x:c>
      <x:c r="K737" s="37" t="str">
        <x:v>Bugün büyüttüğün şey, insanlar orada daha canlı kalsın diye mi büyüyor?</x:v>
      </x:c>
      <x:c r="L737" s="37" t="str">
        <x:v>Bir şirket pahalıya satılabilir; asıl soru, insanların orada yaşarken neye dönüştüğüdür.</x:v>
      </x:c>
      <x:c r="M737" s="37" t="str">
        <x:v>LinkExchange'in Microsoft'a satışı dışarıdan büyük başarıydı. Ama Tony Hsieh, şirket büyürken kültürün solduğunu gördü: insanlar kazanıyor ama işe eskisi kadar canlı gelmiyordu. Bu deneyim Zappos'ta yönünü değiştirdi. Sadece değerleme değil, insanların ait olmak isteyeceği bir şirket kurmak asıl mesele oldu.</x:v>
      </x:c>
      <x:c r="N737" s="37" t="str">
        <x:v>Bugün büyüttüğün şey, insanlar orada daha canlı kalsın diye mi büyüyor?</x:v>
      </x:c>
      <x:c r="O737" s="37" t="str">
        <x:v>Değerleme büyütmek değil, insanların kalmak istediği bir yer kurmak.</x:v>
      </x:c>
    </x:row>
    <x:row r="738" ht="20" customHeight="1">
      <x:c r="A738" s="33" t="n">
        <x:v>1795</x:v>
      </x:c>
      <x:c r="B738" s="34" t="str">
        <x:v>C1</x:v>
      </x:c>
      <x:c r="C738" s="34" t="str">
        <x:v>Liderlik</x:v>
      </x:c>
      <x:c r="D738" s="34" t="str">
        <x:v>Liderlik</x:v>
      </x:c>
      <x:c r="E738" s="34" t="str">
        <x:v>Delivering Happiness</x:v>
      </x:c>
      <x:c r="F738" s="34" t="str">
        <x:v>Tony Hsieh</x:v>
      </x:c>
      <x:c r="G738" s="34" t="str">
        <x:v>2010</x:v>
      </x:c>
      <x:c r="H738" s="37" t="str">
        <x:v>Salondaki Ayakkabı Mağazası</x:v>
      </x:c>
      <x:c r="I738" s="37" t="str">
        <x:v>Zappos ayakkabıdan önce müşterinin pişmanlık korkusunu sattı.</x:v>
      </x:c>
      <x:c r="J738" s="37" t="str">
        <x:v>İnternetten ayakkabı almak bir zamanlar tuhaf bir fikirdi. Ayakkabı elbise gibi değildi; numarası yarım beden şaşsa yürüyüşü bozar, rengi ekranda başka görünür, iade süreci uzarsa alışveriş hevesi kaybolurdu.
Zappos bu korkuyu küçük bir dipnot gibi görmedi. Müşterinin zihnindeki asıl engel "Bu ürünü beğenir miyim?" değil, "Yanlış çıkarsa ne olacak?" sorusuydu. Bu yüzden ücretsiz kargo, kolay iade ve uzun iade penceresi yalnızca operasyon kararı değildi.
##Müşteri güveni, reklamla değil riskin yer değiştirmesiyle doğdu.## Zappos, deneme kabinini mağazadan alıp müşterinin salonuna taşıdı; hatanın bedelini mümkün olduğunca şirket üstlendi.
Bu pahalı görünüyordu. Fakat Hsieh'in mantığında iade masrafı, güven inşa etmenin görünür maliyetiydi. İnsanlar ilk siparişi korkmadan verdiğinde, ikinci sipariş için pazarlama daha az bağırmak zorunda kalıyordu.
~~ürünü satmaya çalışmak :: müşterinin pişmanlık korkusunu üstlenmek~~
$$Güven, müşteriye "yanlış yaparsan yalnız değilsin" dedirtebildiğin anda başlar.$$
&amp;&amp;Müşterinin karar vermesini zorlaştıran hangi riski bugün onun üzerinden alabilirsin?&amp;&amp;</x:v>
      </x:c>
      <x:c r="K738" s="37" t="str">
        <x:v>Müşterinin karar vermesini zorlaştıran hangi riski bugün onun üzerinden alabilirsin?</x:v>
      </x:c>
      <x:c r="L738" s="37" t="str">
        <x:v>Zappos ayakkabıdan önce müşterinin pişmanlık korkusunu sattı.</x:v>
      </x:c>
      <x:c r="M738" s="37" t="str">
        <x:v>Zappos'un zor problemi ayakkabıyı internete koymak değildi; müşterinin "ya olmazsa?" korkusunu azaltmaktı. Ücretsiz kargo, kolay iade ve uzun iade penceresi salonu deneme kabinine çevirdi. Şirket riskin bir kısmını üstlenince müşteri ilk adımı daha rahat attı. Güven, reklamdan çok riskin paylaşılmasıyla doğdu.</x:v>
      </x:c>
      <x:c r="N738" s="37" t="str">
        <x:v>Müşterinin karar vermesini zorlaştıran hangi riski bugün onun üzerinden alabilirsin?</x:v>
      </x:c>
      <x:c r="O738" s="37" t="str">
        <x:v>Ürünü itmek değil, müşterinin riskini üstlenmek.</x:v>
      </x:c>
    </x:row>
    <x:row r="739" ht="20" customHeight="1">
      <x:c r="A739" s="33" t="n">
        <x:v>1796</x:v>
      </x:c>
      <x:c r="B739" s="34" t="str">
        <x:v>C1</x:v>
      </x:c>
      <x:c r="C739" s="34" t="str">
        <x:v>Liderlik</x:v>
      </x:c>
      <x:c r="D739" s="34" t="str">
        <x:v>Liderlik</x:v>
      </x:c>
      <x:c r="E739" s="34" t="str">
        <x:v>Delivering Happiness</x:v>
      </x:c>
      <x:c r="F739" s="34" t="str">
        <x:v>Tony Hsieh</x:v>
      </x:c>
      <x:c r="G739" s="34" t="str">
        <x:v>2010</x:v>
      </x:c>
      <x:c r="H739" s="37" t="str">
        <x:v>Telefonda Acele Yok</x:v>
      </x:c>
      <x:c r="I739" s="37" t="str">
        <x:v>Zappos telefonda saniye değil, müşterinin hatırlayacağı duyguyu ölçtü.</x:v>
      </x:c>
      <x:c r="J739" s="37" t="str">
        <x:v>Birçok çağrı merkezinde görünmez bir sayaç çalışır. Temsilci müşteriyi hızla karşılar, sorunu en kısa yoldan kapatır ve sıradaki aramaya geçer. Ölçülen şey çoğu zaman ilişkinin kalitesi değil, saniyelerin verimidir.
Zappos çağrı masasını başka türlü düşündü. Telefonda geçen zaman yalnızca maliyet kalemi değildi; markanın en gerçek sahnesiydi. Bir müşteri ayakkabı sorabilir, sonra seyahatinden bahsedebilir, sonra hediye aradığını söyleyebilirdi. Temsilcinin görevi konuşmayı aceleyle kesmek değil, güveni canlı tutmaktı.
##Zappos için müşteri hizmeti departman değil, şirketin kişiliğinin duyulduğu yerdi.## Bu yüzden kültür posterlerde değil, kulaklıktaki küçük kararlarda ortaya çıkıyordu: dinlemek, çözmek, bazen beklenenden fazlasını yapmak.
Bu yaklaşım verimsiz gibi görünebilir. Oysa unutulmayan bir konuşma, reklam bütçesinin satın alamayacağı bir sadakat bırakır. İnsanlar yalnızca ürünü değil, kendilerine nasıl hissettirildiğini hatırlar.
~~aramayı kısaltmak :: hatırlanacak bir güven anı yaratmak~~
$$Hız bazen hizmeti bitirir; dikkat ise hizmeti hikayeye dönüştürür.$$
&amp;&amp;Müşterinle temas ettiğin yerde verimliliği mi, hatırlanacak bir güven anını mı ölçüyorsun?&amp;&amp;</x:v>
      </x:c>
      <x:c r="K739" s="37" t="str">
        <x:v>Müşterinle temas ettiğin yerde verimliliği mi, hatırlanacak bir güven anını mı ölçüyorsun?</x:v>
      </x:c>
      <x:c r="L739" s="37" t="str">
        <x:v>Zappos telefonda saniye değil, müşterinin hatırlayacağı duyguyu ölçtü.</x:v>
      </x:c>
      <x:c r="M739" s="37" t="str">
        <x:v>Çağrı merkezleri genellikle saniyeyi ölçer: aramayı hızlı bitir, sıradakine geç. Zappos telefona başka baktı. Arama, maliyet değil markanın canlı sahnesiydi. Temsilci müşteriyi dinlediğinde, çözüm kadar his de kalıyordu. Hsieh'in kültür anlayışı burada görünür oldu: hızdan çok güven ve hatırlanacak bir temas.</x:v>
      </x:c>
      <x:c r="N739" s="37" t="str">
        <x:v>Müşterinle temas ettiğin yerde verimliliği mi, hatırlanacak bir güven anını mı ölçüyorsun?</x:v>
      </x:c>
      <x:c r="O739" s="37" t="str">
        <x:v>Aramayı kısaltmak değil, güveni hatırlanır kılmak.</x:v>
      </x:c>
    </x:row>
    <x:row r="740" ht="20" customHeight="1">
      <x:c r="A740" s="33" t="n">
        <x:v>1797</x:v>
      </x:c>
      <x:c r="B740" s="34" t="str">
        <x:v>C1</x:v>
      </x:c>
      <x:c r="C740" s="34" t="str">
        <x:v>Liderlik</x:v>
      </x:c>
      <x:c r="D740" s="34" t="str">
        <x:v>Liderlik</x:v>
      </x:c>
      <x:c r="E740" s="34" t="str">
        <x:v>Delivering Happiness</x:v>
      </x:c>
      <x:c r="F740" s="34" t="str">
        <x:v>Tony Hsieh</x:v>
      </x:c>
      <x:c r="G740" s="34" t="str">
        <x:v>2010</x:v>
      </x:c>
      <x:c r="H740" s="37" t="str">
        <x:v>Çıkış Kapısındaki Teklif</x:v>
      </x:c>
      <x:c r="I740" s="37" t="str">
        <x:v>Kapı açıkken kalan insanın bağlılığı, kilitli kapı ardındaki bağlılıktan daha değerlidir.</x:v>
      </x:c>
      <x:c r="J740" s="37" t="str">
        <x:v>Yeni bir çalışanın eğitimini bitirdiğini düşün. Şirket ona "Hoş geldin" demek yerine şaşırtıcı bir teklif yapıyor: İstersen şimdi ayrıl ve para al. Kulağa şirket yönetimine ters düşen bir fikir gibi gelir.
Zappos'un amacı insanları göndermek değildi. Ama kültüre gerçekten katılmak istemeyen birinin, yıllarca içeride kalıp enerjiyi ağırlaştırmasından daha erken ve dürüst bir ayrılık daha sağlıklıydı. Para, insanı düşünmeye zorlayan bir ayna oldu.
##Zappos sadakati zorlamadı; gönüllü kalmayı kültürün ilk testi yaptı.## "Lütfen bu teklifi alma" denirken bile asıl mesaj açıktı: Burada kalıyorsan yalnızca maaş için değil, bu oyunun parçası olmak istediğin için kal.
Bu uygulama seçiciliği pahalı bir jest gibi gösterdi. Fakat kötü uyumun görünmez maliyeti daha pahalıydı: ilgisizlik, içten içe direnç, müşteriye yansıyan donukluk. Erken ayrılık bazen geç kalmış bağlılıktan daha naziktir.
~~insanı elde tutmak :: doğru insanın kalmayı seçmesini sağlamak~~
$$Gerçek bağlılık, kapı açıkken kalmayı seçen insanlarla başlar.$$
&amp;&amp;Ekibinde kalanlar gerçekten seçtikleri için mi kalıyor, yoksa çıkış pahalı göründüğü için mi?&amp;&amp;</x:v>
      </x:c>
      <x:c r="K740" s="37" t="str">
        <x:v>Ekibinde kalanlar gerçekten seçtikleri için mi kalıyor, yoksa çıkış pahalı göründüğü için mi?</x:v>
      </x:c>
      <x:c r="L740" s="37" t="str">
        <x:v>Kapı açıkken kalan insanın bağlılığı, kilitli kapı ardındaki bağlılıktan daha değerlidir.</x:v>
      </x:c>
      <x:c r="M740" s="37" t="str">
        <x:v>Zappos eğitim sonrası yeni çalışanlara tuhaf bir teklif yaptı: İstersen ayrıl ve para al. Amaç insanları göndermek değil, uyumu erken test etmekti. Kalmak isteyen kişi yalnızca maaş için değil, kültürün parçası olmak için kalmalıydı. Hsieh için kötü uyumun görünmez maliyeti, çıkış teklifinden daha pahalıydı.</x:v>
      </x:c>
      <x:c r="N740" s="37" t="str">
        <x:v>Ekibinde kalanlar gerçekten seçtikleri için mi kalıyor, yoksa çıkış pahalı göründüğü için mi?</x:v>
      </x:c>
      <x:c r="O740" s="37" t="str">
        <x:v>İnsanı elde tutmak değil, doğru insanın kalmayı seçmesini sağlamak.</x:v>
      </x:c>
    </x:row>
    <x:row r="741" ht="20" customHeight="1">
      <x:c r="A741" s="33" t="n">
        <x:v>1798</x:v>
      </x:c>
      <x:c r="B741" s="34" t="str">
        <x:v>C1</x:v>
      </x:c>
      <x:c r="C741" s="34" t="str">
        <x:v>Liderlik</x:v>
      </x:c>
      <x:c r="D741" s="34" t="str">
        <x:v>Liderlik</x:v>
      </x:c>
      <x:c r="E741" s="34" t="str">
        <x:v>Delivering Happiness</x:v>
      </x:c>
      <x:c r="F741" s="34" t="str">
        <x:v>Tony Hsieh</x:v>
      </x:c>
      <x:c r="G741" s="34" t="str">
        <x:v>2010</x:v>
      </x:c>
      <x:c r="H741" s="37" t="str">
        <x:v>Kültür Pazarlığı</x:v>
      </x:c>
      <x:c r="I741" s="37" t="str">
        <x:v>En büyük anlaşmalarda fiyat kadar, kimliğin hayatta kalıp kalmayacağı da pazarlık konusudur.</x:v>
      </x:c>
      <x:c r="J741" s="37" t="str">
        <x:v>2009'da Amazon'un Zappos'u satın alma ihtimali masaya geldiğinde mesele yalnızca fiyat değildi. E-ticaret devinin gücü açıktı; kaynaklar, lojistik ve ölçek Zappos için büyük bir sıçrama anlamına gelebilirdi.
Ama Hsieh ve ekibi için başka bir soru vardı: Bu anlaşma olursa Zappos, Zappos kalabilecek miydi? Bir şirketi satın almak kolaydır; onun müşteriyle konuşma biçimini, çalışanların birbirine güvenini ve gündelik ritmini korumak çok daha zordur.
##Bazen en büyük pazarlık fiyat değil, kimliğin hangi koşulda yaşayacağıdır.## Hsieh'in ilgilendiği şey yalnızca kasaya girecek para değil, satıştan sonra kültürün bozulmadan nefes alıp alamayacağıydı.
Bu yüzden Amazon anlaşması, yalnızca bir çıkış hikayesi değil, kültürün ölçekle sınandığı bir deney oldu. Büyümek isteyen her topluluk aynı soruya gelir: Daha büyük bir yapıya girince, seni sen yapan küçük davranışlar kalacak mı?
~~fırsatı kapmak :: değerleri pazarlık dışı bırakmak~~
$$Büyük fırsatlar, hangi değeri satmayacağını gösterdiğinde gerçekten olgunlaştırır.$$
&amp;&amp;Büyük bir fırsat geldiğinde hangi değeri pazarlık dışı bırakman gerekir?&amp;&amp;</x:v>
      </x:c>
      <x:c r="K741" s="37" t="str">
        <x:v>Büyük bir fırsat geldiğinde hangi değeri pazarlık dışı bırakman gerekir?</x:v>
      </x:c>
      <x:c r="L741" s="37" t="str">
        <x:v>En büyük anlaşmalarda fiyat kadar, kimliğin hayatta kalıp kalmayacağı da pazarlık konusudur.</x:v>
      </x:c>
      <x:c r="M741" s="37" t="str">
        <x:v>Amazon'un Zappos'u satın alma ihtimali doğduğunda konu yalnızca fiyat değildi. Hsieh için asıl soru şuydu: Zappos, satıştan sonra kendi ruhunu koruyabilecek mi? Ölçek, kaynak ve güvenlik cazipti; ama kültür kaybolursa anlaşmanın anlamı eksilecekti. Büyük fırsat, hangi değerin pazarlık dışı kalacağını test etti.</x:v>
      </x:c>
      <x:c r="N741" s="37" t="str">
        <x:v>Büyük bir fırsat geldiğinde hangi değeri pazarlık dışı bırakman gerekir?</x:v>
      </x:c>
      <x:c r="O741" s="37" t="str">
        <x:v>Fırsatı kapmak değil, değerleri pazarlık dışı bırakmak.</x:v>
      </x:c>
    </x:row>
    <x:row r="742" ht="20" customHeight="1">
      <x:c r="A742" s="33" t="n">
        <x:v>1799</x:v>
      </x:c>
      <x:c r="B742" s="34" t="str">
        <x:v>C2</x:v>
      </x:c>
      <x:c r="C742" s="34" t="str">
        <x:v>Liderlik</x:v>
      </x:c>
      <x:c r="D742" s="34" t="str">
        <x:v>Liderlik</x:v>
      </x:c>
      <x:c r="E742" s="34" t="str">
        <x:v>The Culture Map</x:v>
      </x:c>
      <x:c r="F742" s="34" t="str">
        <x:v>Erin Meyer</x:v>
      </x:c>
      <x:c r="G742" s="34" t="str">
        <x:v>2014</x:v>
      </x:c>
      <x:c r="H742" s="37" t="str">
        <x:v>Havayı Okumak</x:v>
      </x:c>
      <x:c r="I742" s="37" t="str">
        <x:v>Küresel ekiplerde en tehlikeli mesaj, herkesin aynı anlama geldiğini sandığı sessizliktir.</x:v>
      </x:c>
      <x:c r="J742" s="37" t="str">
        <x:v>Tokyo'daki toplantıda Amerikalı yönetici sunumu bitirdi ve "Herkes aynı fikirde mi?" diye sordu. Odada kısa bir sessizlik oldu, sonra birkaç kişi başını hafifçe eğdi. Yönetici bunu açık onay sandı; toplantıdan memnun çıktı.
Ertesi hafta proje ilerlemedi. Japon ekip için sessizlik, "hayır" demenin kaba kaçmayacağı bir yolunu aramak demekti. Amerikalı içinse açık itiraz yoksa karar alınmış sayılıyordu.
##Kültür bazen söylenen cümlede değil, cümlenin etrafındaki sessizlikte yaşar.## Erin Meyer'in haritası tam bu görünmez alanı gösterir: bazı ekipler anlamı kelimelere yükler, bazıları bağlama, ilişkiye ve işaretlere.
Yanlış olan taraf yoktur; yalnızca farklı okuma alışkanlıkları vardır. Düşük bağlamlı biri açıklık bekler. Yüksek bağlamlı biri, herkesin yüzünü ve odanın havasını hesaba katar.
~~kelimeyi tek kanıt saymak :: bağlamı da verinin parçası görmek~~
$$Küresel ekiplerde netlik, bazen daha çok konuşmak değil, neyin konuşulmadığını sormaktır.$$
&amp;&amp;Son toplantında sessizliği onay mı sandın, yoksa ayrı bir mesaj gibi dinledin mi?&amp;&amp;</x:v>
      </x:c>
      <x:c r="K742" s="37" t="str">
        <x:v>Son toplantında sessizliği onay mı sandın, yoksa ayrı bir mesaj gibi dinledin mi?</x:v>
      </x:c>
      <x:c r="L742" s="37" t="str">
        <x:v>Küresel ekiplerde en tehlikeli mesaj, herkesin aynı anlama geldiğini sandığı sessizliktir.</x:v>
      </x:c>
      <x:c r="M742" s="37" t="str">
        <x:v>Bir toplantıda açık itiraz gelmeyince karar alınmış gibi görünebilir. Ama bazı kültürlerde sessizlik, nazik bir çekince ya da daha fazla bağlam arayışı olabilir. Erin Meyer'in fikri burada güçlenir: küresel ekiplerde anlam yalnızca kelimede değil, odanın havasında da taşınır. Netlik için sadece "ne dendi?" değil, "ne denmedi?" diye de bakmak gerekir.</x:v>
      </x:c>
      <x:c r="N742" s="37" t="str">
        <x:v>Son toplantında sessizliği onay mı sandın, yoksa ayrı bir mesaj gibi dinledin mi?</x:v>
      </x:c>
      <x:c r="O742" s="37" t="str">
        <x:v>Kelimeyi tek kanıt saymak değil, bağlamı da verinin parçası görmek.</x:v>
      </x:c>
    </x:row>
    <x:row r="743" ht="20" customHeight="1">
      <x:c r="A743" s="33" t="n">
        <x:v>1800</x:v>
      </x:c>
      <x:c r="B743" s="34" t="str">
        <x:v>C2</x:v>
      </x:c>
      <x:c r="C743" s="34" t="str">
        <x:v>Liderlik</x:v>
      </x:c>
      <x:c r="D743" s="34" t="str">
        <x:v>Liderlik</x:v>
      </x:c>
      <x:c r="E743" s="34" t="str">
        <x:v>The Culture Map</x:v>
      </x:c>
      <x:c r="F743" s="34" t="str">
        <x:v>Erin Meyer</x:v>
      </x:c>
      <x:c r="G743" s="34" t="str">
        <x:v>2014</x:v>
      </x:c>
      <x:c r="H743" s="37" t="str">
        <x:v>Sandviçin İçindeki Eleştiri</x:v>
      </x:c>
      <x:c r="I743" s="37" t="str">
        <x:v>Geri bildirimde iyi niyet yetmez; mesajın karşı tarafta hangi şiddette duyulduğunu bilmek gerekir.</x:v>
      </x:c>
      <x:c r="J743" s="37" t="str">
        <x:v>Paris'te çalışan Amerikalı yönetici, ekip üyesine geri bildirim verirken alıştığı yöntemi kullandı: önce güçlü yanları söyledi, sonra asıl sorunu yumuşattı, en sonda yine cesaret verici bir cümle ekledi. Ona göre bu saygılı ve dengeliydi.
Fransız çalışan toplantıdan çıktıktan sonra durumun çok iyi gittiğini düşündü. Eleştiri, övgülerin arasında o kadar incelmişti ki ağırlığı kaybolmuştu. Aynı konuşma Amsterdam'da yapılsa, bu kez de bazı kişiler onu fazla dolambaçlı bulabilirdi.
##Geri bildirimde nezaket, her kültürde aynı dozda yumuşaklık demek değildir.## Meyer'in işaret ettiği fark budur: Bazı yerlerde doğrudanlık saygıdır; bazı yerlerde doğrudanlık ilişkiye zarar verebilir.
Lider için mesele kendi üslubunu "evrensel profesyonellik" sanmamaktır. Karşı tarafın eleştiri ölçeğinde nerede durduğunu bilmeden verilen iyi niyetli mesaj, ya kaba ya da belirsiz duyulabilir.
~~herkese aynı yumuşaklığı vermek :: mesajı alıcının eleştiri diline ayarlamak~~
$$İyi geri bildirim, söylediğin kadar karşı tarafın duyabildiği şeydir.$$
&amp;&amp;Son verdiğin eleştiri gerçekten duyuldu mu, yoksa nezaketinin içinde kayboldu mu?&amp;&amp;</x:v>
      </x:c>
      <x:c r="K743" s="37" t="str">
        <x:v>Son verdiğin eleştiri gerçekten duyuldu mu, yoksa nezaketinin içinde kayboldu mu?</x:v>
      </x:c>
      <x:c r="L743" s="37" t="str">
        <x:v>Geri bildirimde iyi niyet yetmez; mesajın karşı tarafta hangi şiddette duyulduğunu bilmek gerekir.</x:v>
      </x:c>
      <x:c r="M743" s="37" t="str">
        <x:v>Bir Amerikalı yönetici eleştiriyi övgülerin arasına koyduğunda bunu saygılı sanabilir; bir Fransız çalışan ise mesajın ciddiyetini kaçırabilir. Meyer'in kültür haritası, geri bildirimin doğrudanlık ölçeğini gösterir. Aynı cümle bir yerde nazik, başka yerde belirsiz ya da kaba duyulabilir. Liderin görevi tonu alıcının kültürel kulağına göre ayarlamaktır.</x:v>
      </x:c>
      <x:c r="N743" s="37" t="str">
        <x:v>Son verdiğin eleştiri gerçekten duyuldu mu, yoksa nezaketinin içinde kayboldu mu?</x:v>
      </x:c>
      <x:c r="O743" s="37" t="str">
        <x:v>Herkese aynı yumuşaklığı vermek değil, mesajı alıcının eleştiri diline ayarlamak.</x:v>
      </x:c>
    </x:row>
    <x:row r="744" ht="20" customHeight="1">
      <x:c r="A744" s="33" t="n">
        <x:v>1801</x:v>
      </x:c>
      <x:c r="B744" s="34" t="str">
        <x:v>C2</x:v>
      </x:c>
      <x:c r="C744" s="34" t="str">
        <x:v>Liderlik</x:v>
      </x:c>
      <x:c r="D744" s="34" t="str">
        <x:v>Liderlik</x:v>
      </x:c>
      <x:c r="E744" s="34" t="str">
        <x:v>The Culture Map</x:v>
      </x:c>
      <x:c r="F744" s="34" t="str">
        <x:v>Erin Meyer</x:v>
      </x:c>
      <x:c r="G744" s="34" t="str">
        <x:v>2014</x:v>
      </x:c>
      <x:c r="H744" s="37" t="str">
        <x:v>Evet'in Ağırlığı</x:v>
      </x:c>
      <x:c r="I744" s="37" t="str">
        <x:v>Küresel müzakerede en pahalı hata, her eveti aynı taahhüt sanmaktır.</x:v>
      </x:c>
      <x:c r="J744" s="37" t="str">
        <x:v>Uluslararası pazarlıkta Tim, masanın karşı tarafındaki müşterinin birkaç kez "evet" dediğini duyunca rahatladı. Kendi eğitiminde evet, anlaşmaya yaklaşmak demekti. Sonraki hafta teklifin beklediği gibi ilerlemediğini görünce şaşırdı.
Bazı kültürlerde evet, "seni duyuyorum" anlamına gelebilir; bazı yerlerde "bunu düşüneceğiz"; bazı yerlerde ise gerçekten bağlayıcı bir kabul. Aynı kelime, masadaki ilişkinin ve hiyerarşinin içinde farklı ağırlık taşır.
##Müzakerede kelimenin sözlük anlamı yetmez; o kelimenin karar sürecindeki ağırlığını bilmek gerekir.## Meyer'in uyarısı bu yüzden değerlidir: Uluslararası masada sinyaller çoğu zaman doğrudan değil, dolaylı ve aşamalıdır.
Akıllı müzakereci yalnızca BATNA'sını bilmez; karşı tarafın onayı nasıl verdiğini de öğrenir. Kim konuşabilir, kim susar, kimin başını sallaması sadece nezakettir, kimin sessizliği gerçek karardır?
~~eveti kapanış sanmak :: evetin sistem içindeki ağırlığını test etmek~~
$$Kültürler arası anlaşmada ilerleme, aynı kelimeyi aynı taahhüt sanmamaktan geçer.$$
&amp;&amp;Birinin "evet" dediğinde gerçekten neye evet verdiğini nasıl kontrol ediyorsun?&amp;&amp;</x:v>
      </x:c>
      <x:c r="K744" s="37" t="str">
        <x:v>Birinin "evet" dediğinde gerçekten neye evet verdiğini nasıl kontrol ediyorsun?</x:v>
      </x:c>
      <x:c r="L744" s="37" t="str">
        <x:v>Küresel müzakerede en pahalı hata, her eveti aynı taahhüt sanmaktır.</x:v>
      </x:c>
      <x:c r="M744" s="37" t="str">
        <x:v>Bir müzakerede "evet" duymak rahatlatıcıdır; ama her kültürde aynı taahhüt anlamına gelmeyebilir. Bazen "seni duyuyorum", bazen "düşüneceğiz", bazen de gerçek kabul demektir. Meyer'in hatırlattığı şey şu: uluslararası masada kelimelerin sözlük anlamı kadar karar sürecindeki ağırlığı da okunmalıdır. Dikkat ister.</x:v>
      </x:c>
      <x:c r="N744" s="37" t="str">
        <x:v>Birinin "evet" dediğinde gerçekten neye evet verdiğini nasıl kontrol ediyorsun?</x:v>
      </x:c>
      <x:c r="O744" s="37" t="str">
        <x:v>Eveti kapanış sanmak değil, evetin sistem içindeki ağırlığını test etmek.</x:v>
      </x:c>
    </x:row>
    <x:row r="745" ht="20" customHeight="1">
      <x:c r="A745" s="33" t="n">
        <x:v>1802</x:v>
      </x:c>
      <x:c r="B745" s="34" t="str">
        <x:v>C2</x:v>
      </x:c>
      <x:c r="C745" s="34" t="str">
        <x:v>Liderlik</x:v>
      </x:c>
      <x:c r="D745" s="34" t="str">
        <x:v>Liderlik</x:v>
      </x:c>
      <x:c r="E745" s="34" t="str">
        <x:v>The Culture Map</x:v>
      </x:c>
      <x:c r="F745" s="34" t="str">
        <x:v>Erin Meyer</x:v>
      </x:c>
      <x:c r="G745" s="34" t="str">
        <x:v>2014</x:v>
      </x:c>
      <x:c r="H745" s="37" t="str">
        <x:v>Sözleşmeden Önce Kahve</x:v>
      </x:c>
      <x:c r="I745" s="37" t="str">
        <x:v>Aynı güveni arayan iki insan, kapıyı tamamen farklı yerlerde arayabilir.</x:v>
      </x:c>
      <x:c r="J745" s="37" t="str">
        <x:v>Stockholm'deki proje lideri yeni ortağıyla ilk görüşmede gündeme hızlı girdi: hedefler, roller, teslim tarihleri, riskler. Ona göre güven, iyi hazırlanmış plan ve tutulan sözlerle kurulurdu.
São Paulo'daki ortak ise görüşmenin başında biraz sohbet, geçmiş deneyim ve kişisel temas bekliyordu. Hemen maddelere geçmek soğuk ve aceleci geldi. O da güven arıyordu; yalnızca güvenin kapısı başka yerdeydi.
##Bazı kültürlerde güven önce işin kalitesinden, bazılarında önce ilişkinin sıcaklığından doğar.## Meyer'in haritasındaki güven ölçeği, bu görünmez başlangıç farkını anlatır.
Biri "önce çalışalım, sonra yakınlaşırız" der. Diğeri "önce birbirimizi tanıyalım, sonra iş hızlanır" diye düşünür. İkisi de mantıklıdır; sorun, kendi güven yolunu tek doğru yol sanmaktır. Orada sürtünme hemen başlar.
~~güveni sadece performansla kazanmak :: güvenin ilişki kapısını da açmak~~
$$Güvenin dili değiştiğinde, profesyonellik bazen önce kahve içmeyi bilmektir.$$
&amp;&amp;Senin için güven önce yetkinlikle mi, ilişkiyle mi başlıyor; karşındaki de aynı mı düşünüyor?&amp;&amp;</x:v>
      </x:c>
      <x:c r="K745" s="37" t="str">
        <x:v>Senin için güven önce yetkinlikle mi, ilişkiyle mi başlıyor; karşındaki de aynı mı düşünüyor?</x:v>
      </x:c>
      <x:c r="L745" s="37" t="str">
        <x:v>Aynı güveni arayan iki insan, kapıyı tamamen farklı yerlerde arayabilir.</x:v>
      </x:c>
      <x:c r="M745" s="37" t="str">
        <x:v>Bazı ekiplerde güven, iyi plan ve tutulan sözlerle başlar. Bazılarında önce ilişki, sohbet ve kişisel temas gerekir. Erin Meyer'in kültür haritası, güvenin bu iki kapısını görünür kılar. Bir taraf doğrudan işe geçince profesyonel hisseder; diğer taraf aynı davranışı soğuk bulabilir. Liderlik, güvenin hangi yoldan açıldığını anlamaktır.</x:v>
      </x:c>
      <x:c r="N745" s="37" t="str">
        <x:v>Senin için güven önce yetkinlikle mi, ilişkiyle mi başlıyor; karşındaki de aynı mı düşünüyor?</x:v>
      </x:c>
      <x:c r="O745" s="37" t="str">
        <x:v>Güveni sadece performansla kazanmak değil, güvenin ilişki kapısını da açmak.</x:v>
      </x:c>
    </x:row>
    <x:row r="746" ht="20" customHeight="1">
      <x:c r="A746" s="33" t="n">
        <x:v>1803</x:v>
      </x:c>
      <x:c r="B746" s="34" t="str">
        <x:v>C2</x:v>
      </x:c>
      <x:c r="C746" s="34" t="str">
        <x:v>Liderlik</x:v>
      </x:c>
      <x:c r="D746" s="34" t="str">
        <x:v>Liderlik</x:v>
      </x:c>
      <x:c r="E746" s="34" t="str">
        <x:v>The Culture Map</x:v>
      </x:c>
      <x:c r="F746" s="34" t="str">
        <x:v>Erin Meyer</x:v>
      </x:c>
      <x:c r="G746" s="34" t="str">
        <x:v>2014</x:v>
      </x:c>
      <x:c r="H746" s="37" t="str">
        <x:v>Saatin İki Dili</x:v>
      </x:c>
      <x:c r="I746" s="37" t="str">
        <x:v>Küresel ekiplerde saat aynı olabilir; dakikanın anlamı aynı olmayabilir.</x:v>
      </x:c>
      <x:c r="J746" s="37" t="str">
        <x:v>Berlin'deki ekip toplantıya 09.00 yazdıysa 08.58'de hazır olmayı saygı sayıyordu. İstanbul'daki ortak ise aynı sabah beklenmedik bir müşteri krizini çözdüğü için 09.12'de bağlandı ve bunu doğal bir öncelik değişimi olarak gördü.
İlk ekip gecikmeyi disiplinsizlik diye okudu. İkinci ekip ise katı zaman çizelgesini gerçek hayatı anlamayan bir tavır gibi gördü. İkisi de zaman yönetimi yapıyordu; yalnızca zamanı farklı bir ahlakla yorumluyordu.
##Kültür, dakikayı yalnızca saat üzerinde değil, ilişkiler ve öncelikler içinde de tanımlar.## Meyer'in zaman ölçeği, lineer plan ile esnek plan arasındaki bu gerilimi görünür kılar.
Bir tarafta sıra, takvim ve tek iş akışı vardır. Diğer tarafta fırsat, ilişki ve aynı anda değişen koşullar. Sorun dakikanın kendisi değil, dakikaya yüklenen saygı anlamıdır.
~~dakikliği tek saygı dili sanmak :: zamanın ilişki ve öncelik anlamını da okumak~~
$$Küresel işte zaman yönetimi, takvime sadakat kadar farklı zaman ahlaklarını açıklamaktır.$$
&amp;&amp;Ekibinde zaman çizelgesini mi yönetiyorsun, yoksa insanların zamana verdiği anlamı da mı konuşuyorsun?&amp;&amp;</x:v>
      </x:c>
      <x:c r="K746" s="37" t="str">
        <x:v>Ekibinde zaman çizelgesini mi yönetiyorsun, yoksa insanların zamana verdiği anlamı da mı konuşuyorsun?</x:v>
      </x:c>
      <x:c r="L746" s="37" t="str">
        <x:v>Küresel ekiplerde saat aynı olabilir; dakikanın anlamı aynı olmayabilir.</x:v>
      </x:c>
      <x:c r="M746" s="37" t="str">
        <x:v>Bir ekip için toplantıya iki dakika erken gelmek saygıdır; başka bir ekip için acil bir ilişkiyi çözmek daha önemli olabilir. Erin Meyer'in zaman ölçeği, lineer ve esnek zaman anlayışlarını görünür kılar. Çatışma çoğu zaman dakikadan değil, dakikaya yüklenen anlamdan doğar. Küresel lider, takvimi kadar zaman ahlakını da açıklar.</x:v>
      </x:c>
      <x:c r="N746" s="37" t="str">
        <x:v>Ekibinde zaman çizelgesini mi yönetiyorsun, yoksa insanların zamana verdiği anlamı da mı konuşuyorsun?</x:v>
      </x:c>
      <x:c r="O746" s="37" t="str">
        <x:v>Dakikliği tek saygı dili sanmak değil, zamanın ilişki ve öncelik anlamını da okumak.</x:v>
      </x:c>
    </x:row>
    <x:row r="747" ht="20" customHeight="1">
      <x:c r="A747" s="33" t="n">
        <x:v>1804</x:v>
      </x:c>
      <x:c r="B747" s="34" t="str">
        <x:v>C2</x:v>
      </x:c>
      <x:c r="C747" s="34" t="str">
        <x:v>Liderlik</x:v>
      </x:c>
      <x:c r="D747" s="34" t="str">
        <x:v>Liderlik</x:v>
      </x:c>
      <x:c r="E747" s="34" t="str">
        <x:v>Grinding It Out</x:v>
      </x:c>
      <x:c r="F747" s="34" t="str">
        <x:v>Ray Kroc</x:v>
      </x:c>
      <x:c r="G747" s="34" t="str">
        <x:v>1977</x:v>
      </x:c>
      <x:c r="H747" s="37" t="str">
        <x:v>Sekiz Mikserlik Sinyal</x:v>
      </x:c>
      <x:c r="I747" s="37" t="str">
        <x:v>Kroc’un fırsatı bir vizyon toplantısından değil, sekiz mikserlik tuhaf bir siparişten çıktı.</x:v>
      </x:c>
      <x:c r="J747" s="37" t="str">
        <x:v>Ray Kroc ellili yaşlarına geldiğinde hâlâ yollardaydı. Restoranlara milkshake mikseri satıyor, çoğu gününü direksiyon başında ve reddedilme ihtimalinin içinde geçiriyordu. Sonra Kaliforniya'daki küçük bir hamburgerci birden sekiz mikser sipariş etti.
Başka biri bunu iyi bir satış olarak görüp faturayı kapatabilirdi. Kroc ise sorunun peşine düştü: Bir restoran neden aynı anda bu kadar çok shake yapmaya ihtiyaç duyar? Merak onu San Bernardino'ya götürdü.
##Büyük fırsatlar çoğu zaman büyük vizyon cümleleriyle değil, küçük bir anormalliği ciddiye almakla başlar.## Kroc'un gördüğü şey yalnızca kalabalık bir tezgah değildi; hız, sadelik ve tekrar edilebilirlikti.
O gün ona başarı hazır bir fikir gibi görünmedi. Daha çok, başka herkesin normal sayıp geçtiği bir işaret gibi göründü. Sekiz mikser, görünürde ekipman siparişiydi; derinde ise yeni bir işletme dilinin habercisiydi.
~~satışı kapatıp geçmek :: anormalliğin nedenini takip etmek~~
$$Fırsat bazen sana bağırmaz; yalnızca beklenenden fazla sipariş verir.$$
&amp;&amp;Bugün karşına çıkan hangi küçük anormalliği sıradan sayıp geçiyorsun?&amp;&amp;</x:v>
      </x:c>
      <x:c r="K747" s="37" t="str">
        <x:v>Bugün karşına çıkan hangi küçük anormalliği sıradan sayıp geçiyorsun?</x:v>
      </x:c>
      <x:c r="L747" s="37" t="str">
        <x:v>Kroc’un fırsatı bir vizyon toplantısından değil, sekiz mikserlik tuhaf bir siparişten çıktı.</x:v>
      </x:c>
      <x:c r="M747" s="37" t="str">
        <x:v>Ray Kroc bir milkshake mikseri satıcısıyken Kaliforniya'daki küçük bir hamburgercinin sekiz mikser sipariş ettiğini fark etti. Çoğu kişi bunu iyi bir satış sayıp geçerdi; Kroc nedenini merak edip San Bernardino'ya gitti. Orada sadece yoğunluk değil, hız ve tekrar edilebilir bir sistem gördü. Büyük fırsat, küçük bir anormalliği ciddiye almakla başladı.</x:v>
      </x:c>
      <x:c r="N747" s="37" t="str">
        <x:v>Bugün karşına çıkan hangi küçük anormalliği sıradan sayıp geçiyorsun?</x:v>
      </x:c>
      <x:c r="O747" s="37" t="str">
        <x:v>Satışı kapatıp geçmek değil, anormalliğin nedenini takip etmek.</x:v>
      </x:c>
    </x:row>
    <x:row r="748" ht="20" customHeight="1">
      <x:c r="A748" s="33" t="n">
        <x:v>1805</x:v>
      </x:c>
      <x:c r="B748" s="34" t="str">
        <x:v>C2</x:v>
      </x:c>
      <x:c r="C748" s="34" t="str">
        <x:v>Liderlik</x:v>
      </x:c>
      <x:c r="D748" s="34" t="str">
        <x:v>Liderlik</x:v>
      </x:c>
      <x:c r="E748" s="34" t="str">
        <x:v>Grinding It Out</x:v>
      </x:c>
      <x:c r="F748" s="34" t="str">
        <x:v>Ray Kroc</x:v>
      </x:c>
      <x:c r="G748" s="34" t="str">
        <x:v>1977</x:v>
      </x:c>
      <x:c r="H748" s="37" t="str">
        <x:v>Menüyü Küçülten Mutfak</x:v>
      </x:c>
      <x:c r="I748" s="37" t="str">
        <x:v>McDonald’s sistemi büyüklüğünü daha çok seçenekten değil, cesurca azaltılmış seçeneklerden aldı.</x:v>
      </x:c>
      <x:c r="J748" s="37" t="str">
        <x:v>McDonald kardeşlerin yeniliği daha büyük bir mutfak kurmak değildi. Tam tersine, menüyü kısalttılar, gereksiz adımları attılar, çalışanların hareketlerini neredeyse bir dans provası gibi düzenlediler. Daha az seçenek, daha hızlı akış demekti.
Kroc bu sahneyi gördüğünde yalnızca hamburger satışı görmedi. Karmaşayı azaltarak hız kazanan bir işletme gördü. Müşteri beklemiyor, çalışan ne yapacağını biliyor, ürün her seferinde benzer çıkıyordu.
##Bazen ölçeklenebilirlik daha fazlasını eklemekten değil, çoğu şeyi bilinçli olarak çıkarmaktan doğar.## Sistem, parlak bir icattan çok acımasız bir sadeleştirme disiplinine benziyordu.
Bu ders bugünün ekipleri için hâlâ canlıdır. Her yeni özellik, her yeni süreç, her yeni onay adımı sistemi zenginleştirmek yerine yavaşlatabilir. Büyümek isteyen yapı önce neyi yapmayacağını bilmelidir.
~~seçenekleri çoğaltmak :: akışı hızlandıracak kadar sadeleşmek~~
$$Sadelik, eksik olmak değil; tekrar edilebilir değeri korumak için fazlalığı reddetmektir.$$
&amp;&amp;Bugün işini hızlandırmak için hangi iyi görünen seçeneği menüden çıkarman gerekir?&amp;&amp;</x:v>
      </x:c>
      <x:c r="K748" s="37" t="str">
        <x:v>Bugün işini hızlandırmak için hangi iyi görünen seçeneği menüden çıkarman gerekir?</x:v>
      </x:c>
      <x:c r="L748" s="37" t="str">
        <x:v>McDonald’s sistemi büyüklüğünü daha çok seçenekten değil, cesurca azaltılmış seçeneklerden aldı.</x:v>
      </x:c>
      <x:c r="M748" s="37" t="str">
        <x:v>McDonald kardeşlerin sistemi daha büyük bir mutfakla değil, daha küçük bir menüyle güçlendi. Gereksiz adımlar atıldı, çalışan hareketleri düzenlendi, ürün tekrar edilebilir hale geldi. Ray Kroc'un gördüğü şey hızlı hamburgerden fazlasıydı: sadeleşerek ölçeklenen bir işletme. Bazen büyümenin ilk adımı eklemek değil çıkarmaktır.</x:v>
      </x:c>
      <x:c r="N748" s="37" t="str">
        <x:v>Bugün işini hızlandırmak için hangi iyi görünen seçeneği menüden çıkarman gerekir?</x:v>
      </x:c>
      <x:c r="O748" s="37" t="str">
        <x:v>Seçenekleri çoğaltmak değil, akışı hızlandıracak kadar sadeleşmek.</x:v>
      </x:c>
    </x:row>
    <x:row r="749" ht="20" customHeight="1">
      <x:c r="A749" s="33" t="n">
        <x:v>1806</x:v>
      </x:c>
      <x:c r="B749" s="34" t="str">
        <x:v>C2</x:v>
      </x:c>
      <x:c r="C749" s="34" t="str">
        <x:v>Liderlik</x:v>
      </x:c>
      <x:c r="D749" s="34" t="str">
        <x:v>Liderlik</x:v>
      </x:c>
      <x:c r="E749" s="34" t="str">
        <x:v>Grinding It Out</x:v>
      </x:c>
      <x:c r="F749" s="34" t="str">
        <x:v>Ray Kroc</x:v>
      </x:c>
      <x:c r="G749" s="34" t="str">
        <x:v>1977</x:v>
      </x:c>
      <x:c r="H749" s="37" t="str">
        <x:v>Des Plaines’teki İlk Kopya</x:v>
      </x:c>
      <x:c r="I749" s="37" t="str">
        <x:v>Bir modelin gücü ilk başarıda değil, ikinci yerde aynı güveni üretebilmesinde saklıdır.</x:v>
      </x:c>
      <x:c r="J749" s="37" t="str">
        <x:v>1955'te Des Plaines'te açılan restoran yalnızca yeni bir şube değildi. Kroc için bu, fikrin Kaliforniya güneşinden çıkıp Chicago yakınındaki daha sert koşullarda da çalışıp çalışmayacağının sınavıydı.
Kopyalamak kulağa basit gelir. Oysa sistem başka bir şehirde, başka çalışanlarla, başka müşterilerle aynı etkiyi üretmek zorundaydı. Tabela benzer olabilir; asıl mesele davranışların, hızın ve standartların benzer kalmasıydı.
##Bir modeli büyüten şey ilk başarısı değil, ikinci yerde de aynı güveni üretebilmesidir.## Des Plaines bu yüzden semboldü: Artık mesele tek restoranın parlaklığı değil, formülün taşınabilirliğiydi.
Kroc'un liderliği burada keskinleşti. İlham verici fikir yetmezdi; ölçü, eğitim, denetim ve yerel işletmeciyle ilişki gerekiyordu. Kopya ancak ruhunu kaybetmeden tekrarlandığında marka olabilirdi.
~~tek başarıya hayran olmak :: ikinci yerde aynı standardı üretmek~~
$$Büyüme, iyi fikri çoğaltmak değil; güveni farklı yerlerde aynı şekilde hissettirmektir.$$
&amp;&amp;İşindeki başarı başka bir yerde tekrarlandığında hâlâ aynı güveni verebilir mi?&amp;&amp;</x:v>
      </x:c>
      <x:c r="K749" s="37" t="str">
        <x:v>İşindeki başarı başka bir yerde tekrarlandığında hâlâ aynı güveni verebilir mi?</x:v>
      </x:c>
      <x:c r="L749" s="37" t="str">
        <x:v>Bir modelin gücü ilk başarıda değil, ikinci yerde aynı güveni üretebilmesinde saklıdır.</x:v>
      </x:c>
      <x:c r="M749" s="37" t="str">
        <x:v>Kroc'un 1955'te Des Plaines'te açtığı restoran, yalnızca yeni bir şube değildi; modelin başka koşullarda çalışıp çalışmayacağının sınavıydı. Bir fikir ilk yerde parlayabilir, ama gerçek ölçek ikinci yerde aynı güveni üretince başlar. Kroc için mesele tabela kopyalamak değil, davranışı, hızı ve standardı taşınabilir kılmaktı.</x:v>
      </x:c>
      <x:c r="N749" s="37" t="str">
        <x:v>İşindeki başarı başka bir yerde tekrarlandığında hâlâ aynı güveni verebilir mi?</x:v>
      </x:c>
      <x:c r="O749" s="37" t="str">
        <x:v>Tek başarıya hayran olmak değil, ikinci yerde aynı standardı üretmek.</x:v>
      </x:c>
    </x:row>
    <x:row r="750" ht="20" customHeight="1">
      <x:c r="A750" s="33" t="n">
        <x:v>1807</x:v>
      </x:c>
      <x:c r="B750" s="34" t="str">
        <x:v>C2</x:v>
      </x:c>
      <x:c r="C750" s="34" t="str">
        <x:v>Liderlik</x:v>
      </x:c>
      <x:c r="D750" s="34" t="str">
        <x:v>Liderlik</x:v>
      </x:c>
      <x:c r="E750" s="34" t="str">
        <x:v>Grinding It Out</x:v>
      </x:c>
      <x:c r="F750" s="34" t="str">
        <x:v>Ray Kroc</x:v>
      </x:c>
      <x:c r="G750" s="34" t="str">
        <x:v>1977</x:v>
      </x:c>
      <x:c r="H750" s="37" t="str">
        <x:v>Hamburgerin Altındaki Arsa</x:v>
      </x:c>
      <x:c r="I750" s="37" t="str">
        <x:v>McDonald’s yalnızca hamburger satmadı; hamburgerlerin durduğu zemini de stratejiye çevirdi.</x:v>
      </x:c>
      <x:c r="J750" s="37" t="str">
        <x:v>Kroc'un ilk büyüme hamlesi iştahlıydı ama nakit açısından kırılgandı. Franchise gelirleri akıyordu, fakat hızlı büyüme sermaye istiyor, restoranların açılması masraf yaratıyordu. Hamburgerler satılıyordu; sistem hâlâ nefes nefese kalıyordu.
Harry Sonneborn başka bir pencere açtı: Yalnızca restoran lisansı vermek yerine, arsayı ve binayı kontrol etmek. Franchise sahibi işletmeyi yürütürken şirket kira akışı ve standart üzerinde daha güçlü bir konum elde edebilirdi.
##Bazen iş modelinin gerçek motoru, müşterinin gördüğü ürünün altında saklı duran varlıktır.## McDonald's dışarıdan hamburger zinciri gibi görünürken, büyümenin finansal omurgası büyük ölçüde gayrimenkulle güçlendi.
Bu fikir liderlere sert bir soru sorar: Geliri nereden kazandığını sanıyorsun, değeri gerçekte nerede tutuyorsun? Ürün vitrindir; ama sistemi ayakta tutan kaldıraç başka yerde olabilir.
~~hamburger işini tek iş sanmak :: değeri taşıyan varlığı görmek~~
$$Strateji, görünen üründen çok görünmeyen kaldıraçları fark ettiğinde derinleşir.$$
&amp;&amp;Senin işinde müşterinin gördüğü ürünün altında hangi gizli kaldıraç değeri taşıyor?&amp;&amp;</x:v>
      </x:c>
      <x:c r="K750" s="37" t="str">
        <x:v>Senin işinde müşterinin gördüğü ürünün altında hangi gizli kaldıraç değeri taşıyor?</x:v>
      </x:c>
      <x:c r="L750" s="37" t="str">
        <x:v>McDonald’s yalnızca hamburger satmadı; hamburgerlerin durduğu zemini de stratejiye çevirdi.</x:v>
      </x:c>
      <x:c r="M750" s="37" t="str">
        <x:v>Kroc franchise büyütürken nakit baskısı yaşıyordu. Harry Sonneborn daha farklı bir model önerdi: sadece restoran lisansı değil, arsa ve bina üzerinde kontrol. Böylece şirket kira akışı ve standart üzerinde güç kazandı. McDonald's dışarıdan hamburger işi gibi görünürken, büyümenin motoru büyük ölçüde gayrimenkul mantığıyla çalıştı.</x:v>
      </x:c>
      <x:c r="N750" s="37" t="str">
        <x:v>Senin işinde müşterinin gördüğü ürünün altında hangi gizli kaldıraç değeri taşıyor?</x:v>
      </x:c>
      <x:c r="O750" s="37" t="str">
        <x:v>Hamburger işini tek iş sanmak değil, değeri taşıyan varlığı görmek.</x:v>
      </x:c>
    </x:row>
    <x:row r="751" ht="20" customHeight="1">
      <x:c r="A751" s="35" t="n">
        <x:v>1808</x:v>
      </x:c>
      <x:c r="B751" s="36" t="str">
        <x:v>C2</x:v>
      </x:c>
      <x:c r="C751" s="36" t="str">
        <x:v>Liderlik</x:v>
      </x:c>
      <x:c r="D751" s="36" t="str">
        <x:v>Liderlik</x:v>
      </x:c>
      <x:c r="E751" s="36" t="str">
        <x:v>Grinding It Out</x:v>
      </x:c>
      <x:c r="F751" s="36" t="str">
        <x:v>Ray Kroc</x:v>
      </x:c>
      <x:c r="G751" s="36" t="str">
        <x:v>1977</x:v>
      </x:c>
      <x:c r="H751" s="38" t="str">
        <x:v>Hamburger Üniversitesi</x:v>
      </x:c>
      <x:c r="I751" s="38" t="str">
        <x:v>Bir marka, kurucunun sezgisinden çıkıp yeni insanların öğrenebileceği davranışa dönüşünce ölçeklenir.</x:v>
      </x:c>
      <x:c r="J751" s="38" t="str">
        <x:v>Bir zincir büyüdükçe en zor soru menü değil, davranıştır. Yeni şehirlerde yeni yöneticiler gelir; herkes işi biraz farklı yorumlamaya başlarsa, marka yavaşça gevşer. Kroc'un dünyasında standart bir posterle korunamazdı.
Hamburger University bu nedenle sembolik bir adı aşan bir fikirdi. Operasyon, müşteri hizmeti, liderlik ve prosedürler öğretilebilir hale getirildi. Yani büyüme yalnızca mağaza açmak değil, aynı düşünme biçimini yeniden üretmekti.
##Ölçek, bilgiyi kurucunun kafasından çıkarıp başkalarının uygulayabileceği bir öğrenme sistemine çevirdiğinde dayanıklı olur.## Eğitim, hızın düşmanı değil; tutarlılığın altyapısıydı.
Bu ders her ekip için geçerlidir. Eğer başarı yalnızca birkaç kişinin sezgisine bağlıysa, büyüdükçe şans azalır. Ama sezgi dile, pratiğe ve eğitime dönüşürse, yeni insanlar da aynı kaliteyi taşıyabilir.
~~ustanın sezgisine güvenmek :: standardı öğreten bir okul kurmak~~
$$Büyümek için sadece iyi insanlar değil, iyi davranışı çoğaltan bir öğrenme sistemi gerekir.$$
&amp;&amp;Ekibinde başarı kişilerin hafızasında mı duruyor, yoksa yeni gelenlerin öğrenebileceği bir sisteme mi dönüştü?&amp;&amp;</x:v>
      </x:c>
      <x:c r="K751" s="38" t="str">
        <x:v>Ekibinde başarı kişilerin hafızasında mı duruyor, yoksa yeni gelenlerin öğrenebileceği bir sisteme mi dönüştü?</x:v>
      </x:c>
      <x:c r="L751" s="38" t="str">
        <x:v>Bir marka, kurucunun sezgisinden çıkıp yeni insanların öğrenebileceği davranışa dönüşünce ölçeklenir.</x:v>
      </x:c>
      <x:c r="M751" s="38" t="str">
        <x:v>McDonald's büyüdükçe mesele yalnızca yeni restoran açmak değildi; aynı davranışı, hızı ve standardı yeni insanlara öğretebilmekti. Hamburger University bu yüzden önemliydi. Operasyon ve liderlik eğitime dönüştürüldü. Kroc'un dersi netti: Ölçek, kurucunun sezgisinin başkaları tarafından uygulanabilir bir sisteme dönüşmesiyle dayanır.</x:v>
      </x:c>
      <x:c r="N751" s="38" t="str">
        <x:v>Ekibinde başarı kişilerin hafızasında mı duruyor, yoksa yeni gelenlerin öğrenebileceği bir sisteme mi dönüştü?</x:v>
      </x:c>
      <x:c r="O751" s="38" t="str">
        <x:v>Ustanın sezgisine güvenmek değil, standardı öğreten bir okul kurmak.</x:v>
      </x:c>
    </x:row>
  </x:sheetData>
  <x:pageMargins left="0.7" right="0.7" top="0.75" bottom="0.75" header="0.3" footer="0.3"/>
  <x:tableParts count="1">
    <x:tablePart xmlns:r="http://schemas.openxmlformats.org/officeDocument/2006/relationships" r:id="Rf23ea2e61f794889"/>
  </x:tableParts>
</x:worksheet>
</file>